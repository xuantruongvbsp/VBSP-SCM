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>
    <mc:Choice Requires="x15">
      <x15ac:absPath xmlns:x15ac="http://schemas.microsoft.com/office/spreadsheetml/2010/11/ac" url="F:\1. Lap trinh\1. Excel mau\"/>
    </mc:Choice>
  </mc:AlternateContent>
  <xr:revisionPtr revIDLastSave="0" documentId="13_ncr:1_{4D904200-9BAA-49B5-A8F9-C4A3CE51F435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Dulieu" sheetId="1" r:id="rId1"/>
    <sheet name="TonghopBC" sheetId="4" r:id="rId2"/>
    <sheet name="Sheet2" sheetId="2" r:id="rId3"/>
    <sheet name="Sheet3" sheetId="3" r:id="rId4"/>
  </sheets>
  <definedNames>
    <definedName name="_xlnm.Print_Area" localSheetId="0">Dulieu!$A:$N</definedName>
    <definedName name="_xlnm.Print_Area" localSheetId="1">TonghopBC!$A:$N</definedName>
    <definedName name="_xlnm.Print_Titles" localSheetId="0">Dulieu!$6:$7</definedName>
    <definedName name="_xlnm.Print_Titles" localSheetId="1">TonghopBC!$6:$7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6" i="4" l="1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 s="1"/>
  <c r="Y185" i="4"/>
  <c r="X185" i="4"/>
  <c r="W185" i="4"/>
  <c r="V185" i="4"/>
  <c r="U185" i="4"/>
  <c r="T185" i="4"/>
  <c r="S185" i="4"/>
  <c r="R185" i="4"/>
  <c r="C185" i="4" s="1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 l="1"/>
  <c r="Y170" i="4" l="1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D183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68" i="4" l="1"/>
  <c r="C170" i="4"/>
  <c r="C169" i="4"/>
  <c r="C124" i="4"/>
  <c r="C123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C184" i="4" l="1"/>
  <c r="C183" i="4"/>
  <c r="Y161" i="4" l="1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61" i="4" l="1"/>
  <c r="C160" i="4"/>
  <c r="C159" i="4"/>
  <c r="Y167" i="4" l="1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6" i="4" l="1"/>
  <c r="C167" i="4"/>
  <c r="C165" i="4"/>
  <c r="Y158" i="4" l="1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6" i="4" l="1"/>
  <c r="C155" i="4"/>
  <c r="Y154" i="4" l="1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Y153" i="4"/>
  <c r="X153" i="4"/>
  <c r="W153" i="4"/>
  <c r="V153" i="4"/>
  <c r="U153" i="4"/>
  <c r="T153" i="4"/>
  <c r="S153" i="4"/>
  <c r="R153" i="4"/>
  <c r="Q153" i="4"/>
  <c r="P153" i="4"/>
  <c r="O153" i="4"/>
  <c r="Y152" i="4"/>
  <c r="X152" i="4"/>
  <c r="W152" i="4"/>
  <c r="V152" i="4"/>
  <c r="U152" i="4"/>
  <c r="T152" i="4"/>
  <c r="S152" i="4"/>
  <c r="R152" i="4"/>
  <c r="Q152" i="4"/>
  <c r="P152" i="4"/>
  <c r="O152" i="4"/>
  <c r="Y151" i="4"/>
  <c r="X151" i="4"/>
  <c r="W151" i="4"/>
  <c r="V151" i="4"/>
  <c r="U151" i="4"/>
  <c r="T151" i="4"/>
  <c r="S151" i="4"/>
  <c r="R151" i="4"/>
  <c r="Q151" i="4"/>
  <c r="P151" i="4"/>
  <c r="O151" i="4"/>
  <c r="Y150" i="4"/>
  <c r="X150" i="4"/>
  <c r="W150" i="4"/>
  <c r="V150" i="4"/>
  <c r="U150" i="4"/>
  <c r="T150" i="4"/>
  <c r="S150" i="4"/>
  <c r="R150" i="4"/>
  <c r="Q150" i="4"/>
  <c r="P150" i="4"/>
  <c r="O150" i="4"/>
  <c r="Y149" i="4"/>
  <c r="X149" i="4"/>
  <c r="W149" i="4"/>
  <c r="V149" i="4"/>
  <c r="U149" i="4"/>
  <c r="T149" i="4"/>
  <c r="S149" i="4"/>
  <c r="R149" i="4"/>
  <c r="Q149" i="4"/>
  <c r="P149" i="4"/>
  <c r="O149" i="4"/>
  <c r="Y148" i="4"/>
  <c r="X148" i="4"/>
  <c r="W148" i="4"/>
  <c r="V148" i="4"/>
  <c r="U148" i="4"/>
  <c r="T148" i="4"/>
  <c r="S148" i="4"/>
  <c r="R148" i="4"/>
  <c r="Q148" i="4"/>
  <c r="P148" i="4"/>
  <c r="O148" i="4"/>
  <c r="Y145" i="4"/>
  <c r="Y146" i="4" s="1"/>
  <c r="X145" i="4"/>
  <c r="X147" i="4" s="1"/>
  <c r="W145" i="4"/>
  <c r="W147" i="4" s="1"/>
  <c r="V145" i="4"/>
  <c r="V146" i="4" s="1"/>
  <c r="U145" i="4"/>
  <c r="U147" i="4" s="1"/>
  <c r="T145" i="4"/>
  <c r="T147" i="4" s="1"/>
  <c r="S145" i="4"/>
  <c r="S146" i="4" s="1"/>
  <c r="R145" i="4"/>
  <c r="R146" i="4" s="1"/>
  <c r="Q145" i="4"/>
  <c r="Q147" i="4" s="1"/>
  <c r="P145" i="4"/>
  <c r="O145" i="4"/>
  <c r="O147" i="4" s="1"/>
  <c r="Y87" i="4"/>
  <c r="X87" i="4"/>
  <c r="W87" i="4"/>
  <c r="V87" i="4"/>
  <c r="U87" i="4"/>
  <c r="T87" i="4"/>
  <c r="S87" i="4"/>
  <c r="R87" i="4"/>
  <c r="Q87" i="4"/>
  <c r="P87" i="4"/>
  <c r="O87" i="4"/>
  <c r="Y80" i="4"/>
  <c r="X80" i="4"/>
  <c r="W80" i="4"/>
  <c r="V80" i="4"/>
  <c r="U80" i="4"/>
  <c r="T80" i="4"/>
  <c r="S80" i="4"/>
  <c r="R80" i="4"/>
  <c r="Q80" i="4"/>
  <c r="P80" i="4"/>
  <c r="O80" i="4"/>
  <c r="Y73" i="4"/>
  <c r="X73" i="4"/>
  <c r="W73" i="4"/>
  <c r="V73" i="4"/>
  <c r="U73" i="4"/>
  <c r="T73" i="4"/>
  <c r="S73" i="4"/>
  <c r="R73" i="4"/>
  <c r="Q73" i="4"/>
  <c r="P73" i="4"/>
  <c r="O73" i="4"/>
  <c r="C164" i="4" l="1"/>
  <c r="C162" i="4"/>
  <c r="C157" i="4"/>
  <c r="C154" i="4"/>
  <c r="C163" i="4"/>
  <c r="C158" i="4"/>
  <c r="O146" i="4"/>
  <c r="T146" i="4"/>
  <c r="S147" i="4"/>
  <c r="U146" i="4"/>
  <c r="V147" i="4"/>
  <c r="P147" i="4"/>
  <c r="P146" i="4"/>
  <c r="R147" i="4"/>
  <c r="Q146" i="4"/>
  <c r="Y147" i="4"/>
  <c r="W146" i="4"/>
  <c r="X146" i="4"/>
  <c r="Y181" i="4" l="1"/>
  <c r="X181" i="4"/>
  <c r="W181" i="4"/>
  <c r="V181" i="4"/>
  <c r="U181" i="4"/>
  <c r="T181" i="4"/>
  <c r="S181" i="4"/>
  <c r="R181" i="4"/>
  <c r="Q181" i="4"/>
  <c r="P181" i="4"/>
  <c r="O181" i="4"/>
  <c r="Y178" i="4"/>
  <c r="X178" i="4"/>
  <c r="W178" i="4"/>
  <c r="V178" i="4"/>
  <c r="U178" i="4"/>
  <c r="T178" i="4"/>
  <c r="S178" i="4"/>
  <c r="R178" i="4"/>
  <c r="Q178" i="4"/>
  <c r="P178" i="4"/>
  <c r="O178" i="4"/>
  <c r="Y175" i="4"/>
  <c r="X175" i="4"/>
  <c r="W175" i="4"/>
  <c r="V175" i="4"/>
  <c r="U175" i="4"/>
  <c r="T175" i="4"/>
  <c r="S175" i="4"/>
  <c r="R175" i="4"/>
  <c r="Q175" i="4"/>
  <c r="P175" i="4"/>
  <c r="O175" i="4"/>
  <c r="Y171" i="4"/>
  <c r="X171" i="4"/>
  <c r="W171" i="4"/>
  <c r="V171" i="4"/>
  <c r="U171" i="4"/>
  <c r="T171" i="4"/>
  <c r="S171" i="4"/>
  <c r="R171" i="4"/>
  <c r="Q171" i="4"/>
  <c r="P171" i="4"/>
  <c r="O171" i="4"/>
  <c r="Y142" i="4"/>
  <c r="X142" i="4"/>
  <c r="W142" i="4"/>
  <c r="V142" i="4"/>
  <c r="U142" i="4"/>
  <c r="T142" i="4"/>
  <c r="S142" i="4"/>
  <c r="R142" i="4"/>
  <c r="Q142" i="4"/>
  <c r="P142" i="4"/>
  <c r="O142" i="4"/>
  <c r="Y141" i="4"/>
  <c r="X141" i="4"/>
  <c r="W141" i="4"/>
  <c r="V141" i="4"/>
  <c r="U141" i="4"/>
  <c r="T141" i="4"/>
  <c r="S141" i="4"/>
  <c r="R141" i="4"/>
  <c r="Q141" i="4"/>
  <c r="P141" i="4"/>
  <c r="O141" i="4"/>
  <c r="Y138" i="4"/>
  <c r="X138" i="4"/>
  <c r="W138" i="4"/>
  <c r="V138" i="4"/>
  <c r="U138" i="4"/>
  <c r="T138" i="4"/>
  <c r="S138" i="4"/>
  <c r="R138" i="4"/>
  <c r="Q138" i="4"/>
  <c r="P138" i="4"/>
  <c r="O138" i="4"/>
  <c r="Y137" i="4"/>
  <c r="X137" i="4"/>
  <c r="W137" i="4"/>
  <c r="V137" i="4"/>
  <c r="U137" i="4"/>
  <c r="T137" i="4"/>
  <c r="S137" i="4"/>
  <c r="R137" i="4"/>
  <c r="Q137" i="4"/>
  <c r="P137" i="4"/>
  <c r="O137" i="4"/>
  <c r="Y136" i="4"/>
  <c r="X136" i="4"/>
  <c r="W136" i="4"/>
  <c r="V136" i="4"/>
  <c r="U136" i="4"/>
  <c r="T136" i="4"/>
  <c r="S136" i="4"/>
  <c r="R136" i="4"/>
  <c r="Q136" i="4"/>
  <c r="P136" i="4"/>
  <c r="O136" i="4"/>
  <c r="Y133" i="4"/>
  <c r="X133" i="4"/>
  <c r="W133" i="4"/>
  <c r="V133" i="4"/>
  <c r="U133" i="4"/>
  <c r="T133" i="4"/>
  <c r="S133" i="4"/>
  <c r="R133" i="4"/>
  <c r="Q133" i="4"/>
  <c r="P133" i="4"/>
  <c r="O133" i="4"/>
  <c r="Y132" i="4"/>
  <c r="X132" i="4"/>
  <c r="W132" i="4"/>
  <c r="V132" i="4"/>
  <c r="U132" i="4"/>
  <c r="T132" i="4"/>
  <c r="S132" i="4"/>
  <c r="R132" i="4"/>
  <c r="Q132" i="4"/>
  <c r="P132" i="4"/>
  <c r="O132" i="4"/>
  <c r="Y131" i="4"/>
  <c r="X131" i="4"/>
  <c r="W131" i="4"/>
  <c r="V131" i="4"/>
  <c r="U131" i="4"/>
  <c r="T131" i="4"/>
  <c r="S131" i="4"/>
  <c r="R131" i="4"/>
  <c r="Q131" i="4"/>
  <c r="P131" i="4"/>
  <c r="O131" i="4"/>
  <c r="Y128" i="4"/>
  <c r="X128" i="4"/>
  <c r="W128" i="4"/>
  <c r="V128" i="4"/>
  <c r="U128" i="4"/>
  <c r="T128" i="4"/>
  <c r="S128" i="4"/>
  <c r="R128" i="4"/>
  <c r="Q128" i="4"/>
  <c r="P128" i="4"/>
  <c r="O128" i="4"/>
  <c r="Y125" i="4"/>
  <c r="X125" i="4"/>
  <c r="W125" i="4"/>
  <c r="V125" i="4"/>
  <c r="U125" i="4"/>
  <c r="T125" i="4"/>
  <c r="S125" i="4"/>
  <c r="R125" i="4"/>
  <c r="Q125" i="4"/>
  <c r="P125" i="4"/>
  <c r="O125" i="4"/>
  <c r="Y120" i="4"/>
  <c r="X120" i="4"/>
  <c r="W120" i="4"/>
  <c r="V120" i="4"/>
  <c r="U120" i="4"/>
  <c r="T120" i="4"/>
  <c r="S120" i="4"/>
  <c r="R120" i="4"/>
  <c r="Q120" i="4"/>
  <c r="P120" i="4"/>
  <c r="O120" i="4"/>
  <c r="Y112" i="4"/>
  <c r="X112" i="4"/>
  <c r="W112" i="4"/>
  <c r="V112" i="4"/>
  <c r="U112" i="4"/>
  <c r="T112" i="4"/>
  <c r="S112" i="4"/>
  <c r="R112" i="4"/>
  <c r="Q112" i="4"/>
  <c r="P112" i="4"/>
  <c r="O112" i="4"/>
  <c r="Y107" i="4"/>
  <c r="Y111" i="4" s="1"/>
  <c r="X107" i="4"/>
  <c r="X111" i="4" s="1"/>
  <c r="W107" i="4"/>
  <c r="W111" i="4" s="1"/>
  <c r="V107" i="4"/>
  <c r="V111" i="4" s="1"/>
  <c r="U107" i="4"/>
  <c r="U111" i="4" s="1"/>
  <c r="T107" i="4"/>
  <c r="T111" i="4" s="1"/>
  <c r="S107" i="4"/>
  <c r="S111" i="4" s="1"/>
  <c r="R107" i="4"/>
  <c r="R111" i="4" s="1"/>
  <c r="Q107" i="4"/>
  <c r="Q111" i="4" s="1"/>
  <c r="P107" i="4"/>
  <c r="P111" i="4" s="1"/>
  <c r="O107" i="4"/>
  <c r="O111" i="4" s="1"/>
  <c r="Y106" i="4"/>
  <c r="X106" i="4"/>
  <c r="W106" i="4"/>
  <c r="V106" i="4"/>
  <c r="U106" i="4"/>
  <c r="T106" i="4"/>
  <c r="S106" i="4"/>
  <c r="R106" i="4"/>
  <c r="Q106" i="4"/>
  <c r="P106" i="4"/>
  <c r="O106" i="4"/>
  <c r="Y105" i="4"/>
  <c r="X105" i="4"/>
  <c r="W105" i="4"/>
  <c r="V105" i="4"/>
  <c r="U105" i="4"/>
  <c r="T105" i="4"/>
  <c r="S105" i="4"/>
  <c r="R105" i="4"/>
  <c r="Q105" i="4"/>
  <c r="P105" i="4"/>
  <c r="O105" i="4"/>
  <c r="Y104" i="4"/>
  <c r="X104" i="4"/>
  <c r="W104" i="4"/>
  <c r="V104" i="4"/>
  <c r="U104" i="4"/>
  <c r="T104" i="4"/>
  <c r="S104" i="4"/>
  <c r="R104" i="4"/>
  <c r="Q104" i="4"/>
  <c r="P104" i="4"/>
  <c r="O104" i="4"/>
  <c r="Y103" i="4"/>
  <c r="X103" i="4"/>
  <c r="W103" i="4"/>
  <c r="V103" i="4"/>
  <c r="U103" i="4"/>
  <c r="T103" i="4"/>
  <c r="S103" i="4"/>
  <c r="R103" i="4"/>
  <c r="Q103" i="4"/>
  <c r="P103" i="4"/>
  <c r="O103" i="4"/>
  <c r="Y102" i="4"/>
  <c r="X102" i="4"/>
  <c r="W102" i="4"/>
  <c r="V102" i="4"/>
  <c r="U102" i="4"/>
  <c r="T102" i="4"/>
  <c r="S102" i="4"/>
  <c r="R102" i="4"/>
  <c r="Q102" i="4"/>
  <c r="P102" i="4"/>
  <c r="O102" i="4"/>
  <c r="Y101" i="4"/>
  <c r="X101" i="4"/>
  <c r="W101" i="4"/>
  <c r="V101" i="4"/>
  <c r="U101" i="4"/>
  <c r="T101" i="4"/>
  <c r="S101" i="4"/>
  <c r="R101" i="4"/>
  <c r="Q101" i="4"/>
  <c r="P101" i="4"/>
  <c r="O101" i="4"/>
  <c r="Y100" i="4"/>
  <c r="X100" i="4"/>
  <c r="W100" i="4"/>
  <c r="V100" i="4"/>
  <c r="U100" i="4"/>
  <c r="T100" i="4"/>
  <c r="S100" i="4"/>
  <c r="R100" i="4"/>
  <c r="Q100" i="4"/>
  <c r="P100" i="4"/>
  <c r="O100" i="4"/>
  <c r="Y97" i="4"/>
  <c r="X97" i="4"/>
  <c r="W97" i="4"/>
  <c r="V97" i="4"/>
  <c r="U97" i="4"/>
  <c r="T97" i="4"/>
  <c r="S97" i="4"/>
  <c r="R97" i="4"/>
  <c r="Q97" i="4"/>
  <c r="P97" i="4"/>
  <c r="O97" i="4"/>
  <c r="Y96" i="4"/>
  <c r="X96" i="4"/>
  <c r="W96" i="4"/>
  <c r="V96" i="4"/>
  <c r="U96" i="4"/>
  <c r="T96" i="4"/>
  <c r="S96" i="4"/>
  <c r="R96" i="4"/>
  <c r="Q96" i="4"/>
  <c r="P96" i="4"/>
  <c r="O96" i="4"/>
  <c r="Y95" i="4"/>
  <c r="X95" i="4"/>
  <c r="W95" i="4"/>
  <c r="V95" i="4"/>
  <c r="U95" i="4"/>
  <c r="T95" i="4"/>
  <c r="S95" i="4"/>
  <c r="R95" i="4"/>
  <c r="Q95" i="4"/>
  <c r="P95" i="4"/>
  <c r="O95" i="4"/>
  <c r="Y92" i="4"/>
  <c r="X92" i="4"/>
  <c r="W92" i="4"/>
  <c r="V92" i="4"/>
  <c r="U92" i="4"/>
  <c r="T92" i="4"/>
  <c r="S92" i="4"/>
  <c r="R92" i="4"/>
  <c r="Q92" i="4"/>
  <c r="P92" i="4"/>
  <c r="O92" i="4"/>
  <c r="Y89" i="4"/>
  <c r="X89" i="4"/>
  <c r="W89" i="4"/>
  <c r="V89" i="4"/>
  <c r="U89" i="4"/>
  <c r="T89" i="4"/>
  <c r="S89" i="4"/>
  <c r="R89" i="4"/>
  <c r="Q89" i="4"/>
  <c r="P89" i="4"/>
  <c r="O89" i="4"/>
  <c r="Y86" i="4"/>
  <c r="X86" i="4"/>
  <c r="W86" i="4"/>
  <c r="V86" i="4"/>
  <c r="U86" i="4"/>
  <c r="T86" i="4"/>
  <c r="S86" i="4"/>
  <c r="R86" i="4"/>
  <c r="Q86" i="4"/>
  <c r="P86" i="4"/>
  <c r="O86" i="4"/>
  <c r="Y85" i="4"/>
  <c r="X85" i="4"/>
  <c r="W85" i="4"/>
  <c r="V85" i="4"/>
  <c r="U85" i="4"/>
  <c r="T85" i="4"/>
  <c r="S85" i="4"/>
  <c r="R85" i="4"/>
  <c r="Q85" i="4"/>
  <c r="P85" i="4"/>
  <c r="O85" i="4"/>
  <c r="Y82" i="4"/>
  <c r="X82" i="4"/>
  <c r="W82" i="4"/>
  <c r="V82" i="4"/>
  <c r="U82" i="4"/>
  <c r="T82" i="4"/>
  <c r="S82" i="4"/>
  <c r="R82" i="4"/>
  <c r="Q82" i="4"/>
  <c r="P82" i="4"/>
  <c r="O82" i="4"/>
  <c r="Y79" i="4"/>
  <c r="X79" i="4"/>
  <c r="W79" i="4"/>
  <c r="V79" i="4"/>
  <c r="U79" i="4"/>
  <c r="T79" i="4"/>
  <c r="S79" i="4"/>
  <c r="R79" i="4"/>
  <c r="Q79" i="4"/>
  <c r="P79" i="4"/>
  <c r="O79" i="4"/>
  <c r="Y78" i="4"/>
  <c r="X78" i="4"/>
  <c r="W78" i="4"/>
  <c r="V78" i="4"/>
  <c r="U78" i="4"/>
  <c r="T78" i="4"/>
  <c r="S78" i="4"/>
  <c r="R78" i="4"/>
  <c r="Q78" i="4"/>
  <c r="P78" i="4"/>
  <c r="O78" i="4"/>
  <c r="Y75" i="4"/>
  <c r="X75" i="4"/>
  <c r="W75" i="4"/>
  <c r="V75" i="4"/>
  <c r="U75" i="4"/>
  <c r="T75" i="4"/>
  <c r="S75" i="4"/>
  <c r="R75" i="4"/>
  <c r="Q75" i="4"/>
  <c r="P75" i="4"/>
  <c r="O75" i="4"/>
  <c r="Y72" i="4"/>
  <c r="X72" i="4"/>
  <c r="W72" i="4"/>
  <c r="V72" i="4"/>
  <c r="U72" i="4"/>
  <c r="T72" i="4"/>
  <c r="S72" i="4"/>
  <c r="R72" i="4"/>
  <c r="Q72" i="4"/>
  <c r="P72" i="4"/>
  <c r="O72" i="4"/>
  <c r="Y71" i="4"/>
  <c r="X71" i="4"/>
  <c r="W71" i="4"/>
  <c r="V71" i="4"/>
  <c r="U71" i="4"/>
  <c r="T71" i="4"/>
  <c r="S71" i="4"/>
  <c r="R71" i="4"/>
  <c r="Q71" i="4"/>
  <c r="P71" i="4"/>
  <c r="O71" i="4"/>
  <c r="Y68" i="4"/>
  <c r="X68" i="4"/>
  <c r="W68" i="4"/>
  <c r="V68" i="4"/>
  <c r="U68" i="4"/>
  <c r="T68" i="4"/>
  <c r="S68" i="4"/>
  <c r="R68" i="4"/>
  <c r="Q68" i="4"/>
  <c r="P68" i="4"/>
  <c r="O68" i="4"/>
  <c r="Y65" i="4"/>
  <c r="X65" i="4"/>
  <c r="W65" i="4"/>
  <c r="V65" i="4"/>
  <c r="U65" i="4"/>
  <c r="T65" i="4"/>
  <c r="S65" i="4"/>
  <c r="R65" i="4"/>
  <c r="Q65" i="4"/>
  <c r="P65" i="4"/>
  <c r="O65" i="4"/>
  <c r="Y64" i="4"/>
  <c r="X64" i="4"/>
  <c r="W64" i="4"/>
  <c r="V64" i="4"/>
  <c r="U64" i="4"/>
  <c r="T64" i="4"/>
  <c r="S64" i="4"/>
  <c r="R64" i="4"/>
  <c r="Q64" i="4"/>
  <c r="P64" i="4"/>
  <c r="O64" i="4"/>
  <c r="Y63" i="4"/>
  <c r="X63" i="4"/>
  <c r="W63" i="4"/>
  <c r="V63" i="4"/>
  <c r="U63" i="4"/>
  <c r="T63" i="4"/>
  <c r="S63" i="4"/>
  <c r="R63" i="4"/>
  <c r="Q63" i="4"/>
  <c r="P63" i="4"/>
  <c r="O63" i="4"/>
  <c r="Y62" i="4"/>
  <c r="X62" i="4"/>
  <c r="W62" i="4"/>
  <c r="V62" i="4"/>
  <c r="U62" i="4"/>
  <c r="T62" i="4"/>
  <c r="S62" i="4"/>
  <c r="R62" i="4"/>
  <c r="Q62" i="4"/>
  <c r="P62" i="4"/>
  <c r="O62" i="4"/>
  <c r="Y61" i="4"/>
  <c r="X61" i="4"/>
  <c r="W61" i="4"/>
  <c r="V61" i="4"/>
  <c r="U61" i="4"/>
  <c r="T61" i="4"/>
  <c r="S61" i="4"/>
  <c r="R61" i="4"/>
  <c r="Q61" i="4"/>
  <c r="P61" i="4"/>
  <c r="O61" i="4"/>
  <c r="Y60" i="4"/>
  <c r="X60" i="4"/>
  <c r="W60" i="4"/>
  <c r="V60" i="4"/>
  <c r="U60" i="4"/>
  <c r="T60" i="4"/>
  <c r="S60" i="4"/>
  <c r="R60" i="4"/>
  <c r="Q60" i="4"/>
  <c r="P60" i="4"/>
  <c r="O60" i="4"/>
  <c r="Y58" i="4"/>
  <c r="X58" i="4"/>
  <c r="W58" i="4"/>
  <c r="V58" i="4"/>
  <c r="U58" i="4"/>
  <c r="T58" i="4"/>
  <c r="S58" i="4"/>
  <c r="R58" i="4"/>
  <c r="Q58" i="4"/>
  <c r="P58" i="4"/>
  <c r="O58" i="4"/>
  <c r="Y57" i="4"/>
  <c r="X57" i="4"/>
  <c r="W57" i="4"/>
  <c r="V57" i="4"/>
  <c r="U57" i="4"/>
  <c r="T57" i="4"/>
  <c r="S57" i="4"/>
  <c r="R57" i="4"/>
  <c r="Q57" i="4"/>
  <c r="P57" i="4"/>
  <c r="O57" i="4"/>
  <c r="Y56" i="4"/>
  <c r="X56" i="4"/>
  <c r="W56" i="4"/>
  <c r="V56" i="4"/>
  <c r="U56" i="4"/>
  <c r="T56" i="4"/>
  <c r="S56" i="4"/>
  <c r="R56" i="4"/>
  <c r="Q56" i="4"/>
  <c r="P56" i="4"/>
  <c r="O56" i="4"/>
  <c r="Y55" i="4"/>
  <c r="X55" i="4"/>
  <c r="W55" i="4"/>
  <c r="V55" i="4"/>
  <c r="U55" i="4"/>
  <c r="T55" i="4"/>
  <c r="S55" i="4"/>
  <c r="R55" i="4"/>
  <c r="Q55" i="4"/>
  <c r="P55" i="4"/>
  <c r="O55" i="4"/>
  <c r="Y54" i="4"/>
  <c r="X54" i="4"/>
  <c r="W54" i="4"/>
  <c r="V54" i="4"/>
  <c r="U54" i="4"/>
  <c r="T54" i="4"/>
  <c r="S54" i="4"/>
  <c r="R54" i="4"/>
  <c r="Q54" i="4"/>
  <c r="P54" i="4"/>
  <c r="O54" i="4"/>
  <c r="Y53" i="4"/>
  <c r="X53" i="4"/>
  <c r="W53" i="4"/>
  <c r="V53" i="4"/>
  <c r="U53" i="4"/>
  <c r="T53" i="4"/>
  <c r="S53" i="4"/>
  <c r="R53" i="4"/>
  <c r="Q53" i="4"/>
  <c r="P53" i="4"/>
  <c r="O53" i="4"/>
  <c r="Y46" i="4"/>
  <c r="X46" i="4"/>
  <c r="W46" i="4"/>
  <c r="V46" i="4"/>
  <c r="U46" i="4"/>
  <c r="T46" i="4"/>
  <c r="S46" i="4"/>
  <c r="R46" i="4"/>
  <c r="Q46" i="4"/>
  <c r="P46" i="4"/>
  <c r="O46" i="4"/>
  <c r="Y43" i="4"/>
  <c r="X43" i="4"/>
  <c r="W43" i="4"/>
  <c r="V43" i="4"/>
  <c r="U43" i="4"/>
  <c r="T43" i="4"/>
  <c r="S43" i="4"/>
  <c r="R43" i="4"/>
  <c r="Q43" i="4"/>
  <c r="P43" i="4"/>
  <c r="O43" i="4"/>
  <c r="Y40" i="4"/>
  <c r="X40" i="4"/>
  <c r="W40" i="4"/>
  <c r="V40" i="4"/>
  <c r="U40" i="4"/>
  <c r="T40" i="4"/>
  <c r="S40" i="4"/>
  <c r="R40" i="4"/>
  <c r="Q40" i="4"/>
  <c r="P40" i="4"/>
  <c r="O40" i="4"/>
  <c r="Y33" i="4"/>
  <c r="X33" i="4"/>
  <c r="W33" i="4"/>
  <c r="V33" i="4"/>
  <c r="U33" i="4"/>
  <c r="T33" i="4"/>
  <c r="S33" i="4"/>
  <c r="R33" i="4"/>
  <c r="Q33" i="4"/>
  <c r="P33" i="4"/>
  <c r="O33" i="4"/>
  <c r="Y30" i="4"/>
  <c r="X30" i="4"/>
  <c r="W30" i="4"/>
  <c r="V30" i="4"/>
  <c r="U30" i="4"/>
  <c r="T30" i="4"/>
  <c r="S30" i="4"/>
  <c r="R30" i="4"/>
  <c r="Q30" i="4"/>
  <c r="P30" i="4"/>
  <c r="O30" i="4"/>
  <c r="Y27" i="4"/>
  <c r="X27" i="4"/>
  <c r="W27" i="4"/>
  <c r="V27" i="4"/>
  <c r="U27" i="4"/>
  <c r="T27" i="4"/>
  <c r="S27" i="4"/>
  <c r="R27" i="4"/>
  <c r="Q27" i="4"/>
  <c r="P27" i="4"/>
  <c r="O27" i="4"/>
  <c r="Y26" i="4"/>
  <c r="X26" i="4"/>
  <c r="W26" i="4"/>
  <c r="V26" i="4"/>
  <c r="U26" i="4"/>
  <c r="T26" i="4"/>
  <c r="S26" i="4"/>
  <c r="R26" i="4"/>
  <c r="Q26" i="4"/>
  <c r="P26" i="4"/>
  <c r="O26" i="4"/>
  <c r="Y25" i="4"/>
  <c r="X25" i="4"/>
  <c r="W25" i="4"/>
  <c r="V25" i="4"/>
  <c r="U25" i="4"/>
  <c r="T25" i="4"/>
  <c r="S25" i="4"/>
  <c r="R25" i="4"/>
  <c r="Q25" i="4"/>
  <c r="P25" i="4"/>
  <c r="O25" i="4"/>
  <c r="Y22" i="4"/>
  <c r="X22" i="4"/>
  <c r="W22" i="4"/>
  <c r="V22" i="4"/>
  <c r="U22" i="4"/>
  <c r="T22" i="4"/>
  <c r="S22" i="4"/>
  <c r="R22" i="4"/>
  <c r="Q22" i="4"/>
  <c r="P22" i="4"/>
  <c r="O22" i="4"/>
  <c r="Y18" i="4"/>
  <c r="X18" i="4"/>
  <c r="W18" i="4"/>
  <c r="V18" i="4"/>
  <c r="U18" i="4"/>
  <c r="T18" i="4"/>
  <c r="S18" i="4"/>
  <c r="R18" i="4"/>
  <c r="Q18" i="4"/>
  <c r="P18" i="4"/>
  <c r="O18" i="4"/>
  <c r="Y172" i="4" s="1"/>
  <c r="X172" i="4" s="1"/>
  <c r="W172" i="4" s="1"/>
  <c r="V172" i="4" s="1"/>
  <c r="U172" i="4" s="1"/>
  <c r="T172" i="4" s="1"/>
  <c r="S172" i="4" s="1"/>
  <c r="R172" i="4" s="1"/>
  <c r="Q172" i="4" s="1"/>
  <c r="P172" i="4" s="1"/>
  <c r="O172" i="4" s="1"/>
  <c r="Y67" i="4" s="1"/>
  <c r="X67" i="4" s="1"/>
  <c r="W67" i="4" s="1"/>
  <c r="V67" i="4" s="1"/>
  <c r="U67" i="4" s="1"/>
  <c r="T67" i="4" s="1"/>
  <c r="S67" i="4" s="1"/>
  <c r="R67" i="4" s="1"/>
  <c r="Q67" i="4" s="1"/>
  <c r="P67" i="4" s="1"/>
  <c r="O67" i="4" s="1"/>
  <c r="Y66" i="4" s="1"/>
  <c r="X66" i="4" s="1"/>
  <c r="W66" i="4" s="1"/>
  <c r="V66" i="4" s="1"/>
  <c r="U66" i="4" s="1"/>
  <c r="T66" i="4" s="1"/>
  <c r="S66" i="4" s="1"/>
  <c r="R66" i="4" s="1"/>
  <c r="Q66" i="4" s="1"/>
  <c r="P66" i="4" s="1"/>
  <c r="O66" i="4" s="1"/>
  <c r="Y59" i="4" s="1"/>
  <c r="X59" i="4" s="1"/>
  <c r="W59" i="4" s="1"/>
  <c r="V59" i="4" s="1"/>
  <c r="U59" i="4" s="1"/>
  <c r="T59" i="4" s="1"/>
  <c r="S59" i="4" s="1"/>
  <c r="R59" i="4" s="1"/>
  <c r="Q59" i="4" s="1"/>
  <c r="P59" i="4" s="1"/>
  <c r="O59" i="4" s="1"/>
  <c r="S50" i="4" s="1"/>
  <c r="R50" i="4" s="1"/>
  <c r="Q50" i="4" s="1"/>
  <c r="P50" i="4" s="1"/>
  <c r="O50" i="4" s="1"/>
  <c r="Y36" i="4" s="1"/>
  <c r="X36" i="4" s="1"/>
  <c r="W36" i="4" s="1"/>
  <c r="V36" i="4" s="1"/>
  <c r="U36" i="4" s="1"/>
  <c r="T36" i="4" s="1"/>
  <c r="S36" i="4" s="1"/>
  <c r="R36" i="4" s="1"/>
  <c r="Q36" i="4" s="1"/>
  <c r="P36" i="4" s="1"/>
  <c r="O36" i="4" s="1"/>
  <c r="U41" i="4" l="1"/>
  <c r="U42" i="4"/>
  <c r="W91" i="4"/>
  <c r="W90" i="4"/>
  <c r="O130" i="4"/>
  <c r="O129" i="4"/>
  <c r="W44" i="4"/>
  <c r="W45" i="4"/>
  <c r="P32" i="4"/>
  <c r="P31" i="4"/>
  <c r="Y93" i="4"/>
  <c r="Y94" i="4"/>
  <c r="T23" i="4"/>
  <c r="T24" i="4"/>
  <c r="X31" i="4"/>
  <c r="X32" i="4"/>
  <c r="T41" i="4"/>
  <c r="T42" i="4"/>
  <c r="W70" i="4"/>
  <c r="W69" i="4"/>
  <c r="T91" i="4"/>
  <c r="T90" i="4"/>
  <c r="X99" i="4"/>
  <c r="X98" i="4"/>
  <c r="U114" i="4"/>
  <c r="U113" i="4"/>
  <c r="W126" i="4"/>
  <c r="W127" i="4"/>
  <c r="R139" i="4"/>
  <c r="R140" i="4"/>
  <c r="T143" i="4"/>
  <c r="T144" i="4"/>
  <c r="T176" i="4"/>
  <c r="T177" i="4"/>
  <c r="V91" i="4"/>
  <c r="V90" i="4"/>
  <c r="V143" i="4"/>
  <c r="V144" i="4"/>
  <c r="U139" i="4"/>
  <c r="U140" i="4"/>
  <c r="X24" i="4"/>
  <c r="X23" i="4"/>
  <c r="O28" i="4"/>
  <c r="O29" i="4"/>
  <c r="Q34" i="4"/>
  <c r="Q35" i="4"/>
  <c r="X41" i="4"/>
  <c r="X42" i="4"/>
  <c r="R77" i="4"/>
  <c r="R76" i="4"/>
  <c r="X91" i="4"/>
  <c r="X90" i="4"/>
  <c r="Y113" i="4"/>
  <c r="Y114" i="4"/>
  <c r="P129" i="4"/>
  <c r="P130" i="4"/>
  <c r="V140" i="4"/>
  <c r="V139" i="4"/>
  <c r="X144" i="4"/>
  <c r="X143" i="4"/>
  <c r="X176" i="4"/>
  <c r="X177" i="4"/>
  <c r="Y24" i="4"/>
  <c r="Y23" i="4"/>
  <c r="P28" i="4"/>
  <c r="P29" i="4"/>
  <c r="R34" i="4"/>
  <c r="R35" i="4"/>
  <c r="Y42" i="4"/>
  <c r="Y41" i="4"/>
  <c r="S77" i="4"/>
  <c r="S76" i="4"/>
  <c r="Y91" i="4"/>
  <c r="Y90" i="4"/>
  <c r="O121" i="4"/>
  <c r="O122" i="4"/>
  <c r="Q130" i="4"/>
  <c r="Q129" i="4"/>
  <c r="W139" i="4"/>
  <c r="W140" i="4"/>
  <c r="Y143" i="4"/>
  <c r="Y144" i="4"/>
  <c r="Y176" i="4"/>
  <c r="Y177" i="4"/>
  <c r="Q28" i="4"/>
  <c r="Q29" i="4"/>
  <c r="S34" i="4"/>
  <c r="S35" i="4"/>
  <c r="O45" i="4"/>
  <c r="O44" i="4"/>
  <c r="T77" i="4"/>
  <c r="T76" i="4"/>
  <c r="O94" i="4"/>
  <c r="O93" i="4"/>
  <c r="P121" i="4"/>
  <c r="P122" i="4"/>
  <c r="R130" i="4"/>
  <c r="R129" i="4"/>
  <c r="X139" i="4"/>
  <c r="X140" i="4"/>
  <c r="O180" i="4"/>
  <c r="O179" i="4"/>
  <c r="U143" i="4"/>
  <c r="U144" i="4"/>
  <c r="W143" i="4"/>
  <c r="W144" i="4"/>
  <c r="P44" i="4"/>
  <c r="P45" i="4"/>
  <c r="S29" i="4"/>
  <c r="S28" i="4"/>
  <c r="U34" i="4"/>
  <c r="U35" i="4"/>
  <c r="Q45" i="4"/>
  <c r="Q44" i="4"/>
  <c r="V76" i="4"/>
  <c r="V77" i="4"/>
  <c r="Q94" i="4"/>
  <c r="Q93" i="4"/>
  <c r="P108" i="4"/>
  <c r="P109" i="4"/>
  <c r="T129" i="4"/>
  <c r="T130" i="4"/>
  <c r="Q180" i="4"/>
  <c r="Q179" i="4"/>
  <c r="T121" i="4"/>
  <c r="T122" i="4"/>
  <c r="R19" i="4"/>
  <c r="R20" i="4"/>
  <c r="S109" i="4"/>
  <c r="S108" i="4"/>
  <c r="W129" i="4"/>
  <c r="W130" i="4"/>
  <c r="T179" i="4"/>
  <c r="T180" i="4"/>
  <c r="O34" i="4"/>
  <c r="O35" i="4"/>
  <c r="P94" i="4"/>
  <c r="P93" i="4"/>
  <c r="P20" i="4"/>
  <c r="P19" i="4"/>
  <c r="T29" i="4"/>
  <c r="T28" i="4"/>
  <c r="V34" i="4"/>
  <c r="V35" i="4"/>
  <c r="R44" i="4"/>
  <c r="R45" i="4"/>
  <c r="W77" i="4"/>
  <c r="W76" i="4"/>
  <c r="R94" i="4"/>
  <c r="R93" i="4"/>
  <c r="Q108" i="4"/>
  <c r="Q109" i="4"/>
  <c r="S121" i="4"/>
  <c r="S122" i="4"/>
  <c r="U129" i="4"/>
  <c r="U130" i="4"/>
  <c r="R179" i="4"/>
  <c r="R180" i="4"/>
  <c r="Q20" i="4"/>
  <c r="Q19" i="4"/>
  <c r="W35" i="4"/>
  <c r="W34" i="4"/>
  <c r="S44" i="4"/>
  <c r="S45" i="4"/>
  <c r="X76" i="4"/>
  <c r="X77" i="4"/>
  <c r="S94" i="4"/>
  <c r="S93" i="4"/>
  <c r="R108" i="4"/>
  <c r="R109" i="4"/>
  <c r="S180" i="4"/>
  <c r="S179" i="4"/>
  <c r="V28" i="4"/>
  <c r="V29" i="4"/>
  <c r="T44" i="4"/>
  <c r="T45" i="4"/>
  <c r="Y76" i="4"/>
  <c r="Y77" i="4"/>
  <c r="P83" i="4"/>
  <c r="P84" i="4"/>
  <c r="T93" i="4"/>
  <c r="T94" i="4"/>
  <c r="U121" i="4"/>
  <c r="U122" i="4"/>
  <c r="S19" i="4"/>
  <c r="S20" i="4"/>
  <c r="W28" i="4"/>
  <c r="W29" i="4"/>
  <c r="Y35" i="4"/>
  <c r="Y34" i="4"/>
  <c r="U44" i="4"/>
  <c r="U45" i="4"/>
  <c r="Q83" i="4"/>
  <c r="Q84" i="4"/>
  <c r="U94" i="4"/>
  <c r="U93" i="4"/>
  <c r="T109" i="4"/>
  <c r="T108" i="4"/>
  <c r="V121" i="4"/>
  <c r="V122" i="4"/>
  <c r="X129" i="4"/>
  <c r="X130" i="4"/>
  <c r="O135" i="4" a="1"/>
  <c r="O135" i="4" s="1"/>
  <c r="O134" i="4" a="1"/>
  <c r="O134" i="4" s="1"/>
  <c r="U179" i="4"/>
  <c r="U180" i="4"/>
  <c r="V41" i="4"/>
  <c r="V42" i="4"/>
  <c r="Y127" i="4"/>
  <c r="Y126" i="4"/>
  <c r="W176" i="4"/>
  <c r="W177" i="4"/>
  <c r="R28" i="4"/>
  <c r="R29" i="4"/>
  <c r="T34" i="4"/>
  <c r="T35" i="4"/>
  <c r="U77" i="4"/>
  <c r="U76" i="4"/>
  <c r="O108" i="4"/>
  <c r="O109" i="4"/>
  <c r="Q121" i="4"/>
  <c r="Q122" i="4"/>
  <c r="S129" i="4"/>
  <c r="S130" i="4"/>
  <c r="Y139" i="4"/>
  <c r="Y140" i="4"/>
  <c r="P180" i="4"/>
  <c r="P179" i="4"/>
  <c r="O20" i="4"/>
  <c r="O19" i="4"/>
  <c r="R121" i="4"/>
  <c r="R122" i="4"/>
  <c r="U29" i="4"/>
  <c r="U28" i="4"/>
  <c r="O84" i="4"/>
  <c r="O83" i="4"/>
  <c r="V130" i="4"/>
  <c r="V129" i="4"/>
  <c r="X35" i="4"/>
  <c r="X34" i="4"/>
  <c r="T20" i="4"/>
  <c r="T19" i="4"/>
  <c r="X29" i="4"/>
  <c r="X28" i="4"/>
  <c r="V44" i="4"/>
  <c r="V45" i="4"/>
  <c r="R83" i="4"/>
  <c r="R84" i="4"/>
  <c r="V94" i="4"/>
  <c r="V93" i="4"/>
  <c r="U109" i="4"/>
  <c r="U108" i="4"/>
  <c r="W122" i="4"/>
  <c r="W121" i="4"/>
  <c r="Y129" i="4"/>
  <c r="Y130" i="4"/>
  <c r="P134" i="4" a="1"/>
  <c r="P134" i="4" s="1"/>
  <c r="P135" i="4" a="1"/>
  <c r="P135" i="4" s="1"/>
  <c r="V179" i="4"/>
  <c r="V180" i="4"/>
  <c r="U23" i="4"/>
  <c r="U24" i="4"/>
  <c r="Y31" i="4"/>
  <c r="Y32" i="4"/>
  <c r="O77" i="4"/>
  <c r="O76" i="4"/>
  <c r="U91" i="4"/>
  <c r="U90" i="4"/>
  <c r="Y99" i="4"/>
  <c r="Y98" i="4"/>
  <c r="V114" i="4"/>
  <c r="V113" i="4"/>
  <c r="X126" i="4"/>
  <c r="X127" i="4"/>
  <c r="S139" i="4"/>
  <c r="S140" i="4"/>
  <c r="U176" i="4"/>
  <c r="U177" i="4"/>
  <c r="V177" i="4"/>
  <c r="V176" i="4"/>
  <c r="W24" i="4"/>
  <c r="W23" i="4"/>
  <c r="W41" i="4"/>
  <c r="W42" i="4"/>
  <c r="Q77" i="4"/>
  <c r="Q76" i="4"/>
  <c r="X93" i="4"/>
  <c r="X94" i="4"/>
  <c r="W83" i="4"/>
  <c r="W84" i="4"/>
  <c r="Q126" i="4"/>
  <c r="Q127" i="4"/>
  <c r="O23" i="4"/>
  <c r="O24" i="4"/>
  <c r="S31" i="4"/>
  <c r="S32" i="4"/>
  <c r="O42" i="4"/>
  <c r="O41" i="4"/>
  <c r="R70" i="4"/>
  <c r="R69" i="4"/>
  <c r="X84" i="4"/>
  <c r="X83" i="4"/>
  <c r="O91" i="4"/>
  <c r="O90" i="4"/>
  <c r="S99" i="4"/>
  <c r="S98" i="4"/>
  <c r="P114" i="4"/>
  <c r="P113" i="4"/>
  <c r="R126" i="4"/>
  <c r="R127" i="4"/>
  <c r="V134" i="4" a="1"/>
  <c r="V134" i="4" s="1"/>
  <c r="V135" i="4" a="1"/>
  <c r="V135" i="4" s="1"/>
  <c r="O144" i="4"/>
  <c r="O143" i="4"/>
  <c r="O177" i="4"/>
  <c r="O176" i="4"/>
  <c r="P77" i="4"/>
  <c r="P76" i="4"/>
  <c r="W114" i="4"/>
  <c r="W113" i="4"/>
  <c r="T139" i="4"/>
  <c r="T140" i="4"/>
  <c r="P34" i="4"/>
  <c r="P35" i="4"/>
  <c r="S84" i="4"/>
  <c r="S83" i="4"/>
  <c r="V20" i="4"/>
  <c r="V19" i="4"/>
  <c r="O31" i="4"/>
  <c r="O32" i="4"/>
  <c r="X44" i="4"/>
  <c r="X45" i="4"/>
  <c r="T83" i="4"/>
  <c r="T84" i="4"/>
  <c r="O98" i="4"/>
  <c r="O99" i="4"/>
  <c r="W108" i="4"/>
  <c r="W109" i="4"/>
  <c r="Y122" i="4"/>
  <c r="Y121" i="4"/>
  <c r="R135" i="4" a="1"/>
  <c r="R135" i="4" s="1"/>
  <c r="R134" i="4" a="1"/>
  <c r="R134" i="4" s="1"/>
  <c r="X180" i="4"/>
  <c r="X179" i="4"/>
  <c r="P23" i="4"/>
  <c r="P24" i="4"/>
  <c r="T31" i="4"/>
  <c r="T32" i="4"/>
  <c r="P42" i="4"/>
  <c r="P41" i="4"/>
  <c r="S70" i="4"/>
  <c r="S69" i="4"/>
  <c r="Y84" i="4"/>
  <c r="Y83" i="4"/>
  <c r="P91" i="4"/>
  <c r="P90" i="4"/>
  <c r="T98" i="4"/>
  <c r="T99" i="4"/>
  <c r="Q113" i="4"/>
  <c r="Q114" i="4"/>
  <c r="S126" i="4"/>
  <c r="S127" i="4"/>
  <c r="W135" i="4" a="1"/>
  <c r="W135" i="4" s="1"/>
  <c r="W134" i="4" a="1"/>
  <c r="W134" i="4" s="1"/>
  <c r="P144" i="4"/>
  <c r="P143" i="4"/>
  <c r="P176" i="4"/>
  <c r="P177" i="4"/>
  <c r="V24" i="4"/>
  <c r="V23" i="4"/>
  <c r="Y70" i="4"/>
  <c r="Y69" i="4"/>
  <c r="U20" i="4"/>
  <c r="U19" i="4"/>
  <c r="Y29" i="4"/>
  <c r="Y28" i="4"/>
  <c r="W93" i="4"/>
  <c r="W94" i="4"/>
  <c r="V108" i="4"/>
  <c r="V109" i="4"/>
  <c r="X122" i="4"/>
  <c r="X121" i="4"/>
  <c r="W179" i="4"/>
  <c r="W180" i="4"/>
  <c r="W20" i="4"/>
  <c r="W19" i="4"/>
  <c r="Y44" i="4"/>
  <c r="Y45" i="4"/>
  <c r="O69" i="4"/>
  <c r="O70" i="4"/>
  <c r="U83" i="4"/>
  <c r="U84" i="4"/>
  <c r="P98" i="4"/>
  <c r="P99" i="4"/>
  <c r="X109" i="4"/>
  <c r="X108" i="4"/>
  <c r="O127" i="4"/>
  <c r="O126" i="4"/>
  <c r="Y179" i="4"/>
  <c r="Y180" i="4"/>
  <c r="Q31" i="4"/>
  <c r="Q32" i="4"/>
  <c r="V83" i="4"/>
  <c r="V84" i="4"/>
  <c r="Y109" i="4"/>
  <c r="Y108" i="4"/>
  <c r="Q24" i="4"/>
  <c r="Q23" i="4"/>
  <c r="U32" i="4"/>
  <c r="U31" i="4"/>
  <c r="Q41" i="4"/>
  <c r="Q42" i="4"/>
  <c r="T70" i="4"/>
  <c r="T69" i="4"/>
  <c r="Q91" i="4"/>
  <c r="Q90" i="4"/>
  <c r="U98" i="4"/>
  <c r="U99" i="4"/>
  <c r="R113" i="4"/>
  <c r="R114" i="4"/>
  <c r="T127" i="4"/>
  <c r="T126" i="4"/>
  <c r="X134" i="4" a="1"/>
  <c r="X134" i="4" s="1"/>
  <c r="X135" i="4" a="1"/>
  <c r="X135" i="4" s="1"/>
  <c r="O140" i="4"/>
  <c r="O139" i="4"/>
  <c r="Q144" i="4"/>
  <c r="Q143" i="4"/>
  <c r="Q177" i="4"/>
  <c r="Q176" i="4"/>
  <c r="X70" i="4"/>
  <c r="X69" i="4"/>
  <c r="P69" i="4"/>
  <c r="P70" i="4"/>
  <c r="Q99" i="4"/>
  <c r="Q98" i="4"/>
  <c r="P127" i="4"/>
  <c r="P126" i="4"/>
  <c r="T134" i="4" a="1"/>
  <c r="T134" i="4" s="1"/>
  <c r="T135" i="4" a="1"/>
  <c r="T135" i="4" s="1"/>
  <c r="Y20" i="4"/>
  <c r="Y19" i="4"/>
  <c r="R31" i="4"/>
  <c r="R32" i="4"/>
  <c r="Q69" i="4"/>
  <c r="Q70" i="4"/>
  <c r="R99" i="4"/>
  <c r="R98" i="4"/>
  <c r="O113" i="4"/>
  <c r="O114" i="4"/>
  <c r="U134" i="4" a="1"/>
  <c r="U134" i="4" s="1"/>
  <c r="U135" i="4" a="1"/>
  <c r="U135" i="4" s="1"/>
  <c r="R24" i="4"/>
  <c r="R23" i="4"/>
  <c r="V32" i="4"/>
  <c r="V31" i="4"/>
  <c r="R41" i="4"/>
  <c r="R42" i="4"/>
  <c r="R38" i="4" s="1"/>
  <c r="U69" i="4"/>
  <c r="U70" i="4"/>
  <c r="R90" i="4"/>
  <c r="R91" i="4"/>
  <c r="V99" i="4"/>
  <c r="V98" i="4"/>
  <c r="S113" i="4"/>
  <c r="S114" i="4"/>
  <c r="U126" i="4"/>
  <c r="U127" i="4"/>
  <c r="Y134" i="4" a="1"/>
  <c r="Y134" i="4" s="1"/>
  <c r="Y135" i="4" a="1"/>
  <c r="Y135" i="4" s="1"/>
  <c r="P139" i="4"/>
  <c r="P140" i="4"/>
  <c r="R143" i="4"/>
  <c r="R144" i="4"/>
  <c r="R177" i="4"/>
  <c r="R176" i="4"/>
  <c r="X113" i="4"/>
  <c r="X114" i="4"/>
  <c r="Q134" i="4" a="1"/>
  <c r="Q134" i="4" s="1"/>
  <c r="Q135" i="4" a="1"/>
  <c r="Q135" i="4" s="1"/>
  <c r="S135" i="4" a="1"/>
  <c r="S135" i="4" s="1"/>
  <c r="S134" i="4" a="1"/>
  <c r="S134" i="4" s="1"/>
  <c r="X20" i="4"/>
  <c r="X19" i="4"/>
  <c r="S24" i="4"/>
  <c r="S23" i="4"/>
  <c r="W32" i="4"/>
  <c r="W31" i="4"/>
  <c r="S41" i="4"/>
  <c r="S42" i="4"/>
  <c r="V69" i="4"/>
  <c r="V70" i="4"/>
  <c r="S90" i="4"/>
  <c r="S91" i="4"/>
  <c r="W99" i="4"/>
  <c r="W98" i="4"/>
  <c r="T113" i="4"/>
  <c r="T114" i="4"/>
  <c r="V126" i="4"/>
  <c r="V127" i="4"/>
  <c r="Q140" i="4"/>
  <c r="Q139" i="4"/>
  <c r="S144" i="4"/>
  <c r="S143" i="4"/>
  <c r="S176" i="4"/>
  <c r="S177" i="4"/>
  <c r="X52" i="4"/>
  <c r="Y52" i="4"/>
  <c r="P51" i="4"/>
  <c r="Q88" i="4"/>
  <c r="Y81" i="4"/>
  <c r="O51" i="4"/>
  <c r="W81" i="4"/>
  <c r="W52" i="4"/>
  <c r="S52" i="4"/>
  <c r="Q51" i="4"/>
  <c r="R88" i="4"/>
  <c r="T52" i="4"/>
  <c r="P74" i="4"/>
  <c r="U81" i="4"/>
  <c r="Y88" i="4"/>
  <c r="P81" i="4"/>
  <c r="R51" i="4"/>
  <c r="T51" i="4"/>
  <c r="O52" i="4"/>
  <c r="P52" i="4"/>
  <c r="Q52" i="4"/>
  <c r="R52" i="4"/>
  <c r="U52" i="4"/>
  <c r="X81" i="4"/>
  <c r="V8" i="4" s="1"/>
  <c r="V11" i="4" s="1"/>
  <c r="V14" i="4" s="1"/>
  <c r="W74" i="4"/>
  <c r="O88" i="4"/>
  <c r="V52" i="4"/>
  <c r="V81" i="4"/>
  <c r="P88" i="4"/>
  <c r="V51" i="4"/>
  <c r="T47" i="4" s="1"/>
  <c r="U8" i="4" s="1"/>
  <c r="U11" i="4" s="1"/>
  <c r="U14" i="4" s="1"/>
  <c r="Y51" i="4"/>
  <c r="O74" i="4"/>
  <c r="W8" i="4" s="1"/>
  <c r="W11" i="4" s="1"/>
  <c r="W14" i="4" s="1"/>
  <c r="Q81" i="4"/>
  <c r="S88" i="4"/>
  <c r="X8" i="4" s="1"/>
  <c r="X11" i="4" s="1"/>
  <c r="X14" i="4" s="1"/>
  <c r="Y8" i="4" s="1"/>
  <c r="Y11" i="4" s="1"/>
  <c r="Y14" i="4" s="1"/>
  <c r="O81" i="4"/>
  <c r="U74" i="4"/>
  <c r="T50" i="4"/>
  <c r="U50" i="4"/>
  <c r="V50" i="4"/>
  <c r="W51" i="4"/>
  <c r="S74" i="4"/>
  <c r="W50" i="4"/>
  <c r="X50" i="4"/>
  <c r="Y50" i="4"/>
  <c r="S81" i="4"/>
  <c r="X51" i="4"/>
  <c r="X74" i="4"/>
  <c r="R81" i="4"/>
  <c r="V74" i="4"/>
  <c r="T88" i="4"/>
  <c r="X88" i="4"/>
  <c r="Y74" i="4"/>
  <c r="W88" i="4"/>
  <c r="T81" i="4"/>
  <c r="T74" i="4"/>
  <c r="R74" i="4"/>
  <c r="Q74" i="4"/>
  <c r="U88" i="4"/>
  <c r="S51" i="4"/>
  <c r="V88" i="4"/>
  <c r="U51" i="4"/>
  <c r="Y47" i="4" s="1"/>
  <c r="X47" i="4" s="1"/>
  <c r="W47" i="4" s="1"/>
  <c r="V47" i="4" s="1"/>
  <c r="U47" i="4" s="1"/>
  <c r="S17" i="4" s="1"/>
  <c r="R47" i="4" s="1"/>
  <c r="Q8" i="4" s="1"/>
  <c r="Q11" i="4" s="1"/>
  <c r="Q14" i="4" s="1"/>
  <c r="P47" i="4" s="1"/>
  <c r="O47" i="4" s="1"/>
  <c r="O8" i="4" s="1"/>
  <c r="O11" i="4" s="1"/>
  <c r="O14" i="4" s="1"/>
  <c r="R8" i="4" s="1"/>
  <c r="R11" i="4" s="1"/>
  <c r="R14" i="4" s="1"/>
  <c r="T8" i="4" s="1"/>
  <c r="T11" i="4" s="1"/>
  <c r="T14" i="4" s="1"/>
  <c r="Q47" i="4" s="1"/>
  <c r="S47" i="4" s="1"/>
  <c r="P8" i="4" s="1"/>
  <c r="P11" i="4" s="1"/>
  <c r="P14" i="4" s="1"/>
  <c r="P38" i="4" l="1"/>
  <c r="U174" i="4"/>
  <c r="P174" i="4"/>
  <c r="P10" i="4" s="1"/>
  <c r="P37" i="4"/>
  <c r="O174" i="4"/>
  <c r="O49" i="4" s="1"/>
  <c r="S174" i="4"/>
  <c r="S49" i="4" s="1"/>
  <c r="U38" i="4"/>
  <c r="T38" i="4"/>
  <c r="V37" i="4"/>
  <c r="Q174" i="4"/>
  <c r="Q10" i="4" s="1"/>
  <c r="V38" i="4"/>
  <c r="X174" i="4"/>
  <c r="X10" i="4" s="1"/>
  <c r="Y37" i="4"/>
  <c r="T173" i="4"/>
  <c r="T9" i="4" s="1"/>
  <c r="V174" i="4"/>
  <c r="V10" i="4" s="1"/>
  <c r="Y174" i="4"/>
  <c r="Y10" i="4" s="1"/>
  <c r="W38" i="4"/>
  <c r="S37" i="4"/>
  <c r="Y38" i="4"/>
  <c r="R37" i="4"/>
  <c r="Q37" i="4"/>
  <c r="R174" i="4"/>
  <c r="R10" i="4" s="1"/>
  <c r="R13" i="4" s="1"/>
  <c r="R16" i="4" s="1"/>
  <c r="W174" i="4"/>
  <c r="W49" i="4" s="1"/>
  <c r="X38" i="4"/>
  <c r="X17" i="4" s="1"/>
  <c r="P173" i="4"/>
  <c r="P48" i="4" s="1"/>
  <c r="Y173" i="4"/>
  <c r="Y9" i="4" s="1"/>
  <c r="O38" i="4"/>
  <c r="X21" i="4" s="1"/>
  <c r="X173" i="4"/>
  <c r="X9" i="4" s="1"/>
  <c r="V173" i="4"/>
  <c r="V9" i="4" s="1"/>
  <c r="Q173" i="4"/>
  <c r="Q48" i="4" s="1"/>
  <c r="O173" i="4"/>
  <c r="O9" i="4" s="1"/>
  <c r="R173" i="4"/>
  <c r="U49" i="4"/>
  <c r="W21" i="4" s="1"/>
  <c r="U173" i="4"/>
  <c r="U48" i="4" s="1"/>
  <c r="T37" i="4"/>
  <c r="V39" i="4" s="1"/>
  <c r="V21" i="4" s="1"/>
  <c r="W17" i="4" s="1"/>
  <c r="V17" i="4" s="1"/>
  <c r="Y17" i="4" s="1"/>
  <c r="Q38" i="4"/>
  <c r="Q39" i="4" s="1"/>
  <c r="Y39" i="4" s="1"/>
  <c r="U37" i="4"/>
  <c r="W37" i="4"/>
  <c r="U17" i="4" s="1"/>
  <c r="Q17" i="4" s="1"/>
  <c r="X39" i="4" s="1"/>
  <c r="W39" i="4" s="1"/>
  <c r="Q21" i="4" s="1"/>
  <c r="U21" i="4" s="1"/>
  <c r="U39" i="4" s="1"/>
  <c r="S38" i="4"/>
  <c r="Y21" i="4" s="1"/>
  <c r="W173" i="4"/>
  <c r="W48" i="4" s="1"/>
  <c r="S39" i="4" s="1"/>
  <c r="S8" i="4"/>
  <c r="S11" i="4" s="1"/>
  <c r="S14" i="4" s="1"/>
  <c r="S173" i="4"/>
  <c r="S9" i="4" s="1"/>
  <c r="U10" i="4"/>
  <c r="X37" i="4"/>
  <c r="T174" i="4"/>
  <c r="O37" i="4"/>
  <c r="S21" i="4" s="1"/>
  <c r="T17" i="4" s="1"/>
  <c r="T21" i="4" s="1"/>
  <c r="R21" i="4" s="1"/>
  <c r="R39" i="4" s="1"/>
  <c r="R17" i="4" s="1"/>
  <c r="O21" i="4" s="1"/>
  <c r="O17" i="4" s="1"/>
  <c r="O39" i="4" s="1"/>
  <c r="P21" i="4" s="1"/>
  <c r="P39" i="4" s="1"/>
  <c r="P17" i="4" s="1"/>
  <c r="T39" i="4" s="1"/>
  <c r="O10" i="4" l="1"/>
  <c r="S10" i="4"/>
  <c r="R49" i="4"/>
  <c r="P49" i="4"/>
  <c r="X13" i="4"/>
  <c r="X16" i="4" s="1"/>
  <c r="P13" i="4"/>
  <c r="P16" i="4" s="1"/>
  <c r="Y12" i="4"/>
  <c r="Y15" i="4" s="1"/>
  <c r="X49" i="4"/>
  <c r="W10" i="4"/>
  <c r="T48" i="4"/>
  <c r="Y13" i="4"/>
  <c r="Y16" i="4" s="1"/>
  <c r="V13" i="4"/>
  <c r="V16" i="4" s="1"/>
  <c r="Q49" i="4"/>
  <c r="X48" i="4"/>
  <c r="U13" i="4"/>
  <c r="U16" i="4" s="1"/>
  <c r="V49" i="4"/>
  <c r="W13" i="4"/>
  <c r="W16" i="4" s="1"/>
  <c r="V12" i="4"/>
  <c r="V15" i="4" s="1"/>
  <c r="Y49" i="4"/>
  <c r="S12" i="4"/>
  <c r="S15" i="4" s="1"/>
  <c r="P9" i="4"/>
  <c r="P12" i="4" s="1"/>
  <c r="P15" i="4" s="1"/>
  <c r="S13" i="4"/>
  <c r="S16" i="4" s="1"/>
  <c r="T12" i="4"/>
  <c r="T15" i="4" s="1"/>
  <c r="W9" i="4"/>
  <c r="W12" i="4" s="1"/>
  <c r="W15" i="4" s="1"/>
  <c r="O13" i="4"/>
  <c r="O16" i="4" s="1"/>
  <c r="Y48" i="4"/>
  <c r="V48" i="4"/>
  <c r="O48" i="4"/>
  <c r="Q9" i="4"/>
  <c r="Q12" i="4" s="1"/>
  <c r="Q15" i="4" s="1"/>
  <c r="S48" i="4"/>
  <c r="R48" i="4"/>
  <c r="R9" i="4"/>
  <c r="R12" i="4" s="1"/>
  <c r="R15" i="4" s="1"/>
  <c r="U9" i="4"/>
  <c r="U12" i="4" s="1"/>
  <c r="U15" i="4" s="1"/>
  <c r="Q13" i="4"/>
  <c r="Q16" i="4" s="1"/>
  <c r="O12" i="4"/>
  <c r="O15" i="4" s="1"/>
  <c r="X12" i="4"/>
  <c r="X15" i="4" s="1"/>
  <c r="T10" i="4"/>
  <c r="T13" i="4" s="1"/>
  <c r="T16" i="4" s="1"/>
  <c r="T49" i="4"/>
  <c r="N142" i="4" l="1"/>
  <c r="N143" i="4" s="1"/>
  <c r="M142" i="4"/>
  <c r="M144" i="4" s="1"/>
  <c r="L142" i="4"/>
  <c r="L144" i="4" s="1"/>
  <c r="K142" i="4"/>
  <c r="K144" i="4" s="1"/>
  <c r="J142" i="4"/>
  <c r="J144" i="4" s="1"/>
  <c r="I142" i="4"/>
  <c r="I144" i="4" s="1"/>
  <c r="H142" i="4"/>
  <c r="H143" i="4" s="1"/>
  <c r="G142" i="4"/>
  <c r="G144" i="4" s="1"/>
  <c r="F142" i="4"/>
  <c r="F144" i="4" s="1"/>
  <c r="E142" i="4"/>
  <c r="E144" i="4" s="1"/>
  <c r="D142" i="4"/>
  <c r="N153" i="4"/>
  <c r="M153" i="4"/>
  <c r="L153" i="4"/>
  <c r="K153" i="4"/>
  <c r="J153" i="4"/>
  <c r="I153" i="4"/>
  <c r="H153" i="4"/>
  <c r="G153" i="4"/>
  <c r="F153" i="4"/>
  <c r="E153" i="4"/>
  <c r="D153" i="4"/>
  <c r="N152" i="4"/>
  <c r="M152" i="4"/>
  <c r="L152" i="4"/>
  <c r="K152" i="4"/>
  <c r="J152" i="4"/>
  <c r="I152" i="4"/>
  <c r="H152" i="4"/>
  <c r="G152" i="4"/>
  <c r="F152" i="4"/>
  <c r="E152" i="4"/>
  <c r="D152" i="4"/>
  <c r="N151" i="4"/>
  <c r="M151" i="4"/>
  <c r="L151" i="4"/>
  <c r="K151" i="4"/>
  <c r="J151" i="4"/>
  <c r="I151" i="4"/>
  <c r="H151" i="4"/>
  <c r="G151" i="4"/>
  <c r="F151" i="4"/>
  <c r="E151" i="4"/>
  <c r="D151" i="4"/>
  <c r="N87" i="4"/>
  <c r="M87" i="4"/>
  <c r="L87" i="4"/>
  <c r="K87" i="4"/>
  <c r="J87" i="4"/>
  <c r="I87" i="4"/>
  <c r="H87" i="4"/>
  <c r="G87" i="4"/>
  <c r="F87" i="4"/>
  <c r="E87" i="4"/>
  <c r="D87" i="4"/>
  <c r="N80" i="4"/>
  <c r="M80" i="4"/>
  <c r="L80" i="4"/>
  <c r="K80" i="4"/>
  <c r="J80" i="4"/>
  <c r="I80" i="4"/>
  <c r="H80" i="4"/>
  <c r="G80" i="4"/>
  <c r="F80" i="4"/>
  <c r="E80" i="4"/>
  <c r="D80" i="4"/>
  <c r="N73" i="4"/>
  <c r="M73" i="4"/>
  <c r="L73" i="4"/>
  <c r="K73" i="4"/>
  <c r="J73" i="4"/>
  <c r="I73" i="4"/>
  <c r="H73" i="4"/>
  <c r="G73" i="4"/>
  <c r="F73" i="4"/>
  <c r="E73" i="4"/>
  <c r="D73" i="4"/>
  <c r="C151" i="4" l="1"/>
  <c r="C152" i="4"/>
  <c r="C80" i="4"/>
  <c r="C87" i="4"/>
  <c r="C73" i="4"/>
  <c r="D144" i="4"/>
  <c r="C144" i="4" s="1"/>
  <c r="C142" i="4"/>
  <c r="C153" i="4"/>
  <c r="D143" i="4"/>
  <c r="C143" i="4" s="1"/>
  <c r="E143" i="4"/>
  <c r="F143" i="4"/>
  <c r="J143" i="4"/>
  <c r="K143" i="4"/>
  <c r="H144" i="4"/>
  <c r="G143" i="4"/>
  <c r="I143" i="4"/>
  <c r="N144" i="4"/>
  <c r="L143" i="4"/>
  <c r="M143" i="4"/>
  <c r="N150" i="4" l="1"/>
  <c r="M150" i="4"/>
  <c r="L150" i="4"/>
  <c r="K150" i="4"/>
  <c r="J150" i="4"/>
  <c r="I150" i="4"/>
  <c r="H150" i="4"/>
  <c r="G150" i="4"/>
  <c r="F150" i="4"/>
  <c r="E150" i="4"/>
  <c r="D150" i="4"/>
  <c r="N149" i="4"/>
  <c r="M149" i="4"/>
  <c r="L149" i="4"/>
  <c r="K149" i="4"/>
  <c r="J149" i="4"/>
  <c r="I149" i="4"/>
  <c r="H149" i="4"/>
  <c r="G149" i="4"/>
  <c r="F149" i="4"/>
  <c r="E149" i="4"/>
  <c r="D149" i="4"/>
  <c r="N148" i="4"/>
  <c r="M148" i="4"/>
  <c r="L148" i="4"/>
  <c r="K148" i="4"/>
  <c r="J148" i="4"/>
  <c r="I148" i="4"/>
  <c r="H148" i="4"/>
  <c r="G148" i="4"/>
  <c r="F148" i="4"/>
  <c r="E148" i="4"/>
  <c r="D148" i="4"/>
  <c r="N145" i="4"/>
  <c r="N147" i="4" s="1"/>
  <c r="M145" i="4"/>
  <c r="M146" i="4" s="1"/>
  <c r="L145" i="4"/>
  <c r="L147" i="4" s="1"/>
  <c r="K145" i="4"/>
  <c r="K147" i="4" s="1"/>
  <c r="J145" i="4"/>
  <c r="J146" i="4" s="1"/>
  <c r="I145" i="4"/>
  <c r="I146" i="4" s="1"/>
  <c r="H145" i="4"/>
  <c r="H146" i="4" s="1"/>
  <c r="G145" i="4"/>
  <c r="G146" i="4" s="1"/>
  <c r="F145" i="4"/>
  <c r="F147" i="4" s="1"/>
  <c r="E145" i="4"/>
  <c r="E147" i="4" s="1"/>
  <c r="D145" i="4"/>
  <c r="C150" i="4" l="1"/>
  <c r="C149" i="4"/>
  <c r="C148" i="4"/>
  <c r="D147" i="4"/>
  <c r="C147" i="4" s="1"/>
  <c r="C145" i="4"/>
  <c r="M147" i="4"/>
  <c r="E146" i="4"/>
  <c r="K146" i="4"/>
  <c r="G147" i="4"/>
  <c r="D146" i="4"/>
  <c r="C146" i="4" s="1"/>
  <c r="L146" i="4"/>
  <c r="H147" i="4"/>
  <c r="F146" i="4"/>
  <c r="N146" i="4"/>
  <c r="J147" i="4"/>
  <c r="I147" i="4"/>
  <c r="E54" i="4"/>
  <c r="F54" i="4"/>
  <c r="G54" i="4"/>
  <c r="H54" i="4"/>
  <c r="I54" i="4"/>
  <c r="J54" i="4"/>
  <c r="K54" i="4"/>
  <c r="L54" i="4"/>
  <c r="M54" i="4"/>
  <c r="N54" i="4"/>
  <c r="E55" i="4"/>
  <c r="F55" i="4"/>
  <c r="G55" i="4"/>
  <c r="H55" i="4"/>
  <c r="I55" i="4"/>
  <c r="J55" i="4"/>
  <c r="K55" i="4"/>
  <c r="L55" i="4"/>
  <c r="M55" i="4"/>
  <c r="N55" i="4"/>
  <c r="E56" i="4"/>
  <c r="F56" i="4"/>
  <c r="G56" i="4"/>
  <c r="H56" i="4"/>
  <c r="I56" i="4"/>
  <c r="J56" i="4"/>
  <c r="K56" i="4"/>
  <c r="L56" i="4"/>
  <c r="M56" i="4"/>
  <c r="N56" i="4"/>
  <c r="D54" i="4"/>
  <c r="D55" i="4"/>
  <c r="E61" i="4"/>
  <c r="F61" i="4"/>
  <c r="G61" i="4"/>
  <c r="H61" i="4"/>
  <c r="I61" i="4"/>
  <c r="J61" i="4"/>
  <c r="K61" i="4"/>
  <c r="L61" i="4"/>
  <c r="M61" i="4"/>
  <c r="N61" i="4"/>
  <c r="E62" i="4"/>
  <c r="F62" i="4"/>
  <c r="G62" i="4"/>
  <c r="H62" i="4"/>
  <c r="I62" i="4"/>
  <c r="J62" i="4"/>
  <c r="K62" i="4"/>
  <c r="L62" i="4"/>
  <c r="M62" i="4"/>
  <c r="N62" i="4"/>
  <c r="E63" i="4"/>
  <c r="F63" i="4"/>
  <c r="G63" i="4"/>
  <c r="H63" i="4"/>
  <c r="I63" i="4"/>
  <c r="J63" i="4"/>
  <c r="K63" i="4"/>
  <c r="L63" i="4"/>
  <c r="M63" i="4"/>
  <c r="N63" i="4"/>
  <c r="D61" i="4"/>
  <c r="D62" i="4"/>
  <c r="E57" i="4"/>
  <c r="F57" i="4"/>
  <c r="G57" i="4"/>
  <c r="H57" i="4"/>
  <c r="I57" i="4"/>
  <c r="J57" i="4"/>
  <c r="K57" i="4"/>
  <c r="L57" i="4"/>
  <c r="M57" i="4"/>
  <c r="N57" i="4"/>
  <c r="E58" i="4"/>
  <c r="F58" i="4"/>
  <c r="G58" i="4"/>
  <c r="H58" i="4"/>
  <c r="I58" i="4"/>
  <c r="J58" i="4"/>
  <c r="K58" i="4"/>
  <c r="L58" i="4"/>
  <c r="M58" i="4"/>
  <c r="N58" i="4"/>
  <c r="D57" i="4"/>
  <c r="D58" i="4"/>
  <c r="E64" i="4"/>
  <c r="F64" i="4"/>
  <c r="G64" i="4"/>
  <c r="H64" i="4"/>
  <c r="I64" i="4"/>
  <c r="J64" i="4"/>
  <c r="K64" i="4"/>
  <c r="L64" i="4"/>
  <c r="M64" i="4"/>
  <c r="N64" i="4"/>
  <c r="E65" i="4"/>
  <c r="F65" i="4"/>
  <c r="G65" i="4"/>
  <c r="H65" i="4"/>
  <c r="I65" i="4"/>
  <c r="J65" i="4"/>
  <c r="K65" i="4"/>
  <c r="L65" i="4"/>
  <c r="M65" i="4"/>
  <c r="N65" i="4"/>
  <c r="D64" i="4"/>
  <c r="D65" i="4"/>
  <c r="N181" i="4"/>
  <c r="M181" i="4"/>
  <c r="L181" i="4"/>
  <c r="K181" i="4"/>
  <c r="J181" i="4"/>
  <c r="I181" i="4"/>
  <c r="H181" i="4"/>
  <c r="G181" i="4"/>
  <c r="F181" i="4"/>
  <c r="E181" i="4"/>
  <c r="D181" i="4"/>
  <c r="N178" i="4"/>
  <c r="N180" i="4" s="1"/>
  <c r="M178" i="4"/>
  <c r="M180" i="4" s="1"/>
  <c r="L178" i="4"/>
  <c r="L179" i="4" s="1"/>
  <c r="K178" i="4"/>
  <c r="K179" i="4" s="1"/>
  <c r="J178" i="4"/>
  <c r="J179" i="4" s="1"/>
  <c r="I178" i="4"/>
  <c r="I180" i="4" s="1"/>
  <c r="H178" i="4"/>
  <c r="H180" i="4" s="1"/>
  <c r="G178" i="4"/>
  <c r="G180" i="4" s="1"/>
  <c r="F178" i="4"/>
  <c r="F180" i="4" s="1"/>
  <c r="E178" i="4"/>
  <c r="E180" i="4" s="1"/>
  <c r="D178" i="4"/>
  <c r="N175" i="4"/>
  <c r="N177" i="4" s="1"/>
  <c r="M175" i="4"/>
  <c r="M176" i="4" s="1"/>
  <c r="L175" i="4"/>
  <c r="L176" i="4" s="1"/>
  <c r="K175" i="4"/>
  <c r="K176" i="4" s="1"/>
  <c r="J175" i="4"/>
  <c r="J177" i="4" s="1"/>
  <c r="I175" i="4"/>
  <c r="I177" i="4" s="1"/>
  <c r="H175" i="4"/>
  <c r="H177" i="4" s="1"/>
  <c r="G175" i="4"/>
  <c r="G177" i="4" s="1"/>
  <c r="F175" i="4"/>
  <c r="F177" i="4" s="1"/>
  <c r="E175" i="4"/>
  <c r="E176" i="4" s="1"/>
  <c r="D175" i="4"/>
  <c r="N171" i="4"/>
  <c r="M171" i="4"/>
  <c r="L171" i="4"/>
  <c r="K171" i="4"/>
  <c r="J171" i="4"/>
  <c r="I171" i="4"/>
  <c r="H171" i="4"/>
  <c r="G171" i="4"/>
  <c r="F171" i="4"/>
  <c r="E171" i="4"/>
  <c r="D171" i="4"/>
  <c r="N141" i="4"/>
  <c r="M141" i="4"/>
  <c r="L141" i="4"/>
  <c r="K141" i="4"/>
  <c r="J141" i="4"/>
  <c r="I141" i="4"/>
  <c r="H141" i="4"/>
  <c r="G141" i="4"/>
  <c r="F141" i="4"/>
  <c r="E141" i="4"/>
  <c r="D141" i="4"/>
  <c r="N138" i="4"/>
  <c r="M138" i="4"/>
  <c r="L138" i="4"/>
  <c r="K138" i="4"/>
  <c r="J138" i="4"/>
  <c r="I138" i="4"/>
  <c r="H138" i="4"/>
  <c r="G138" i="4"/>
  <c r="F138" i="4"/>
  <c r="E138" i="4"/>
  <c r="D138" i="4"/>
  <c r="N137" i="4"/>
  <c r="M137" i="4"/>
  <c r="L137" i="4"/>
  <c r="K137" i="4"/>
  <c r="J137" i="4"/>
  <c r="I137" i="4"/>
  <c r="H137" i="4"/>
  <c r="G137" i="4"/>
  <c r="F137" i="4"/>
  <c r="E137" i="4"/>
  <c r="D137" i="4"/>
  <c r="N136" i="4"/>
  <c r="M136" i="4"/>
  <c r="L136" i="4"/>
  <c r="K136" i="4"/>
  <c r="J136" i="4"/>
  <c r="I136" i="4"/>
  <c r="H136" i="4"/>
  <c r="G136" i="4"/>
  <c r="F136" i="4"/>
  <c r="E136" i="4"/>
  <c r="D136" i="4"/>
  <c r="N133" i="4"/>
  <c r="M133" i="4"/>
  <c r="L133" i="4"/>
  <c r="K133" i="4"/>
  <c r="J133" i="4"/>
  <c r="I133" i="4"/>
  <c r="H133" i="4"/>
  <c r="G133" i="4"/>
  <c r="F133" i="4"/>
  <c r="E133" i="4"/>
  <c r="D133" i="4"/>
  <c r="N132" i="4"/>
  <c r="M132" i="4"/>
  <c r="L132" i="4"/>
  <c r="K132" i="4"/>
  <c r="J132" i="4"/>
  <c r="I132" i="4"/>
  <c r="H132" i="4"/>
  <c r="G132" i="4"/>
  <c r="F132" i="4"/>
  <c r="E132" i="4"/>
  <c r="D132" i="4"/>
  <c r="N131" i="4"/>
  <c r="M131" i="4"/>
  <c r="L131" i="4"/>
  <c r="K131" i="4"/>
  <c r="J131" i="4"/>
  <c r="I131" i="4"/>
  <c r="H131" i="4"/>
  <c r="G131" i="4"/>
  <c r="F131" i="4"/>
  <c r="E131" i="4"/>
  <c r="D131" i="4"/>
  <c r="N128" i="4"/>
  <c r="M128" i="4"/>
  <c r="L128" i="4"/>
  <c r="K128" i="4"/>
  <c r="J128" i="4"/>
  <c r="I128" i="4"/>
  <c r="H128" i="4"/>
  <c r="G128" i="4"/>
  <c r="F128" i="4"/>
  <c r="E128" i="4"/>
  <c r="D128" i="4"/>
  <c r="N125" i="4"/>
  <c r="M125" i="4"/>
  <c r="L125" i="4"/>
  <c r="K125" i="4"/>
  <c r="J125" i="4"/>
  <c r="I125" i="4"/>
  <c r="H125" i="4"/>
  <c r="G125" i="4"/>
  <c r="F125" i="4"/>
  <c r="E125" i="4"/>
  <c r="D125" i="4"/>
  <c r="N120" i="4"/>
  <c r="M120" i="4"/>
  <c r="L120" i="4"/>
  <c r="K120" i="4"/>
  <c r="J120" i="4"/>
  <c r="I120" i="4"/>
  <c r="H120" i="4"/>
  <c r="G120" i="4"/>
  <c r="F120" i="4"/>
  <c r="E120" i="4"/>
  <c r="D120" i="4"/>
  <c r="N112" i="4"/>
  <c r="M112" i="4"/>
  <c r="L112" i="4"/>
  <c r="K112" i="4"/>
  <c r="J112" i="4"/>
  <c r="I112" i="4"/>
  <c r="H112" i="4"/>
  <c r="G112" i="4"/>
  <c r="F112" i="4"/>
  <c r="E112" i="4"/>
  <c r="D112" i="4"/>
  <c r="N107" i="4"/>
  <c r="N111" i="4" s="1"/>
  <c r="M107" i="4"/>
  <c r="M111" i="4" s="1"/>
  <c r="L107" i="4"/>
  <c r="L111" i="4" s="1"/>
  <c r="K107" i="4"/>
  <c r="K111" i="4" s="1"/>
  <c r="J107" i="4"/>
  <c r="J111" i="4" s="1"/>
  <c r="I107" i="4"/>
  <c r="I111" i="4" s="1"/>
  <c r="H107" i="4"/>
  <c r="H111" i="4" s="1"/>
  <c r="G107" i="4"/>
  <c r="G111" i="4" s="1"/>
  <c r="F107" i="4"/>
  <c r="F111" i="4" s="1"/>
  <c r="E107" i="4"/>
  <c r="E111" i="4" s="1"/>
  <c r="D107" i="4"/>
  <c r="D111" i="4" s="1"/>
  <c r="C111" i="4" s="1"/>
  <c r="N106" i="4"/>
  <c r="M106" i="4"/>
  <c r="L106" i="4"/>
  <c r="K106" i="4"/>
  <c r="J106" i="4"/>
  <c r="I106" i="4"/>
  <c r="H106" i="4"/>
  <c r="G106" i="4"/>
  <c r="F106" i="4"/>
  <c r="E106" i="4"/>
  <c r="D106" i="4"/>
  <c r="N105" i="4"/>
  <c r="M105" i="4"/>
  <c r="L105" i="4"/>
  <c r="K105" i="4"/>
  <c r="J105" i="4"/>
  <c r="I105" i="4"/>
  <c r="H105" i="4"/>
  <c r="G105" i="4"/>
  <c r="F105" i="4"/>
  <c r="E105" i="4"/>
  <c r="D105" i="4"/>
  <c r="N104" i="4"/>
  <c r="M104" i="4"/>
  <c r="L104" i="4"/>
  <c r="K104" i="4"/>
  <c r="J104" i="4"/>
  <c r="I104" i="4"/>
  <c r="H104" i="4"/>
  <c r="G104" i="4"/>
  <c r="F104" i="4"/>
  <c r="E104" i="4"/>
  <c r="D104" i="4"/>
  <c r="N103" i="4"/>
  <c r="M103" i="4"/>
  <c r="L103" i="4"/>
  <c r="K103" i="4"/>
  <c r="J103" i="4"/>
  <c r="I103" i="4"/>
  <c r="H103" i="4"/>
  <c r="G103" i="4"/>
  <c r="F103" i="4"/>
  <c r="E103" i="4"/>
  <c r="D103" i="4"/>
  <c r="N102" i="4"/>
  <c r="M102" i="4"/>
  <c r="L102" i="4"/>
  <c r="K102" i="4"/>
  <c r="J102" i="4"/>
  <c r="I102" i="4"/>
  <c r="H102" i="4"/>
  <c r="G102" i="4"/>
  <c r="F102" i="4"/>
  <c r="E102" i="4"/>
  <c r="D102" i="4"/>
  <c r="N101" i="4"/>
  <c r="M101" i="4"/>
  <c r="L101" i="4"/>
  <c r="K101" i="4"/>
  <c r="J101" i="4"/>
  <c r="I101" i="4"/>
  <c r="H101" i="4"/>
  <c r="G101" i="4"/>
  <c r="F101" i="4"/>
  <c r="E101" i="4"/>
  <c r="D101" i="4"/>
  <c r="N100" i="4"/>
  <c r="M100" i="4"/>
  <c r="L100" i="4"/>
  <c r="K100" i="4"/>
  <c r="J100" i="4"/>
  <c r="I100" i="4"/>
  <c r="H100" i="4"/>
  <c r="G100" i="4"/>
  <c r="F100" i="4"/>
  <c r="E100" i="4"/>
  <c r="D100" i="4"/>
  <c r="N97" i="4"/>
  <c r="M97" i="4"/>
  <c r="L97" i="4"/>
  <c r="K97" i="4"/>
  <c r="J97" i="4"/>
  <c r="I97" i="4"/>
  <c r="H97" i="4"/>
  <c r="G97" i="4"/>
  <c r="F97" i="4"/>
  <c r="E97" i="4"/>
  <c r="D97" i="4"/>
  <c r="N96" i="4"/>
  <c r="M96" i="4"/>
  <c r="L96" i="4"/>
  <c r="K96" i="4"/>
  <c r="J96" i="4"/>
  <c r="I96" i="4"/>
  <c r="H96" i="4"/>
  <c r="G96" i="4"/>
  <c r="F96" i="4"/>
  <c r="E96" i="4"/>
  <c r="D96" i="4"/>
  <c r="N95" i="4"/>
  <c r="M95" i="4"/>
  <c r="L95" i="4"/>
  <c r="K95" i="4"/>
  <c r="J95" i="4"/>
  <c r="I95" i="4"/>
  <c r="H95" i="4"/>
  <c r="G95" i="4"/>
  <c r="F95" i="4"/>
  <c r="E95" i="4"/>
  <c r="D95" i="4"/>
  <c r="N92" i="4"/>
  <c r="M92" i="4"/>
  <c r="L92" i="4"/>
  <c r="K92" i="4"/>
  <c r="J92" i="4"/>
  <c r="I92" i="4"/>
  <c r="H92" i="4"/>
  <c r="G92" i="4"/>
  <c r="F92" i="4"/>
  <c r="E92" i="4"/>
  <c r="D92" i="4"/>
  <c r="N89" i="4"/>
  <c r="M89" i="4"/>
  <c r="L89" i="4"/>
  <c r="K89" i="4"/>
  <c r="J89" i="4"/>
  <c r="I89" i="4"/>
  <c r="H89" i="4"/>
  <c r="G89" i="4"/>
  <c r="F89" i="4"/>
  <c r="E89" i="4"/>
  <c r="D89" i="4"/>
  <c r="N86" i="4"/>
  <c r="N88" i="4" s="1"/>
  <c r="M86" i="4"/>
  <c r="M88" i="4" s="1"/>
  <c r="L86" i="4"/>
  <c r="L88" i="4" s="1"/>
  <c r="K86" i="4"/>
  <c r="K88" i="4" s="1"/>
  <c r="J86" i="4"/>
  <c r="J88" i="4" s="1"/>
  <c r="I86" i="4"/>
  <c r="I88" i="4" s="1"/>
  <c r="H86" i="4"/>
  <c r="H88" i="4" s="1"/>
  <c r="G86" i="4"/>
  <c r="G88" i="4" s="1"/>
  <c r="F86" i="4"/>
  <c r="F88" i="4" s="1"/>
  <c r="E86" i="4"/>
  <c r="E88" i="4" s="1"/>
  <c r="D86" i="4"/>
  <c r="N85" i="4"/>
  <c r="M85" i="4"/>
  <c r="L85" i="4"/>
  <c r="K85" i="4"/>
  <c r="J85" i="4"/>
  <c r="I85" i="4"/>
  <c r="H85" i="4"/>
  <c r="G85" i="4"/>
  <c r="F85" i="4"/>
  <c r="E85" i="4"/>
  <c r="D85" i="4"/>
  <c r="N82" i="4"/>
  <c r="M82" i="4"/>
  <c r="L82" i="4"/>
  <c r="K82" i="4"/>
  <c r="J82" i="4"/>
  <c r="I82" i="4"/>
  <c r="H82" i="4"/>
  <c r="G82" i="4"/>
  <c r="F82" i="4"/>
  <c r="E82" i="4"/>
  <c r="D82" i="4"/>
  <c r="N79" i="4"/>
  <c r="N81" i="4" s="1"/>
  <c r="M79" i="4"/>
  <c r="M81" i="4" s="1"/>
  <c r="L79" i="4"/>
  <c r="L81" i="4" s="1"/>
  <c r="K79" i="4"/>
  <c r="K81" i="4" s="1"/>
  <c r="J79" i="4"/>
  <c r="J81" i="4" s="1"/>
  <c r="I79" i="4"/>
  <c r="I81" i="4" s="1"/>
  <c r="H79" i="4"/>
  <c r="H81" i="4" s="1"/>
  <c r="G79" i="4"/>
  <c r="G81" i="4" s="1"/>
  <c r="F79" i="4"/>
  <c r="F81" i="4" s="1"/>
  <c r="E79" i="4"/>
  <c r="E81" i="4" s="1"/>
  <c r="D79" i="4"/>
  <c r="N78" i="4"/>
  <c r="M78" i="4"/>
  <c r="L78" i="4"/>
  <c r="K78" i="4"/>
  <c r="J78" i="4"/>
  <c r="I78" i="4"/>
  <c r="H78" i="4"/>
  <c r="G78" i="4"/>
  <c r="F78" i="4"/>
  <c r="E78" i="4"/>
  <c r="D78" i="4"/>
  <c r="N75" i="4"/>
  <c r="M75" i="4"/>
  <c r="L75" i="4"/>
  <c r="K75" i="4"/>
  <c r="J75" i="4"/>
  <c r="I75" i="4"/>
  <c r="H75" i="4"/>
  <c r="G75" i="4"/>
  <c r="F75" i="4"/>
  <c r="E75" i="4"/>
  <c r="D75" i="4"/>
  <c r="N72" i="4"/>
  <c r="N74" i="4" s="1"/>
  <c r="M72" i="4"/>
  <c r="M74" i="4" s="1"/>
  <c r="L72" i="4"/>
  <c r="L74" i="4" s="1"/>
  <c r="K72" i="4"/>
  <c r="K74" i="4" s="1"/>
  <c r="J72" i="4"/>
  <c r="J74" i="4" s="1"/>
  <c r="I72" i="4"/>
  <c r="I74" i="4" s="1"/>
  <c r="H72" i="4"/>
  <c r="H74" i="4" s="1"/>
  <c r="G72" i="4"/>
  <c r="G74" i="4" s="1"/>
  <c r="F72" i="4"/>
  <c r="F74" i="4" s="1"/>
  <c r="E72" i="4"/>
  <c r="E74" i="4" s="1"/>
  <c r="D72" i="4"/>
  <c r="N71" i="4"/>
  <c r="M71" i="4"/>
  <c r="L71" i="4"/>
  <c r="K71" i="4"/>
  <c r="J71" i="4"/>
  <c r="I71" i="4"/>
  <c r="H71" i="4"/>
  <c r="G71" i="4"/>
  <c r="F71" i="4"/>
  <c r="E71" i="4"/>
  <c r="D71" i="4"/>
  <c r="N68" i="4"/>
  <c r="M68" i="4"/>
  <c r="L68" i="4"/>
  <c r="K68" i="4"/>
  <c r="J68" i="4"/>
  <c r="I68" i="4"/>
  <c r="H68" i="4"/>
  <c r="G68" i="4"/>
  <c r="F68" i="4"/>
  <c r="E68" i="4"/>
  <c r="D68" i="4"/>
  <c r="D63" i="4"/>
  <c r="N60" i="4"/>
  <c r="M60" i="4"/>
  <c r="L60" i="4"/>
  <c r="K60" i="4"/>
  <c r="J60" i="4"/>
  <c r="I60" i="4"/>
  <c r="H60" i="4"/>
  <c r="G60" i="4"/>
  <c r="F60" i="4"/>
  <c r="E60" i="4"/>
  <c r="D60" i="4"/>
  <c r="D56" i="4"/>
  <c r="N53" i="4"/>
  <c r="M53" i="4"/>
  <c r="L53" i="4"/>
  <c r="K53" i="4"/>
  <c r="J53" i="4"/>
  <c r="I53" i="4"/>
  <c r="H53" i="4"/>
  <c r="G53" i="4"/>
  <c r="F53" i="4"/>
  <c r="E53" i="4"/>
  <c r="D53" i="4"/>
  <c r="N46" i="4"/>
  <c r="M46" i="4"/>
  <c r="L46" i="4"/>
  <c r="K46" i="4"/>
  <c r="J46" i="4"/>
  <c r="I46" i="4"/>
  <c r="H46" i="4"/>
  <c r="G46" i="4"/>
  <c r="F46" i="4"/>
  <c r="E46" i="4"/>
  <c r="D46" i="4"/>
  <c r="N43" i="4"/>
  <c r="N44" i="4" s="1"/>
  <c r="M43" i="4"/>
  <c r="L43" i="4"/>
  <c r="K43" i="4"/>
  <c r="J43" i="4"/>
  <c r="I43" i="4"/>
  <c r="H43" i="4"/>
  <c r="G43" i="4"/>
  <c r="G44" i="4" s="1"/>
  <c r="F43" i="4"/>
  <c r="F44" i="4" s="1"/>
  <c r="E43" i="4"/>
  <c r="D43" i="4"/>
  <c r="N40" i="4"/>
  <c r="N42" i="4" s="1"/>
  <c r="M40" i="4"/>
  <c r="M41" i="4" s="1"/>
  <c r="L40" i="4"/>
  <c r="L42" i="4" s="1"/>
  <c r="K40" i="4"/>
  <c r="K42" i="4" s="1"/>
  <c r="J40" i="4"/>
  <c r="J41" i="4" s="1"/>
  <c r="I40" i="4"/>
  <c r="I41" i="4" s="1"/>
  <c r="H40" i="4"/>
  <c r="H41" i="4" s="1"/>
  <c r="G40" i="4"/>
  <c r="G41" i="4" s="1"/>
  <c r="F40" i="4"/>
  <c r="F42" i="4" s="1"/>
  <c r="E40" i="4"/>
  <c r="E42" i="4" s="1"/>
  <c r="D40" i="4"/>
  <c r="N33" i="4"/>
  <c r="N34" i="4" s="1"/>
  <c r="M33" i="4"/>
  <c r="M35" i="4" s="1"/>
  <c r="L33" i="4"/>
  <c r="L35" i="4" s="1"/>
  <c r="K33" i="4"/>
  <c r="K35" i="4" s="1"/>
  <c r="J33" i="4"/>
  <c r="J35" i="4" s="1"/>
  <c r="I33" i="4"/>
  <c r="I34" i="4" s="1"/>
  <c r="H33" i="4"/>
  <c r="H34" i="4" s="1"/>
  <c r="G33" i="4"/>
  <c r="G34" i="4" s="1"/>
  <c r="F33" i="4"/>
  <c r="F34" i="4" s="1"/>
  <c r="E33" i="4"/>
  <c r="E35" i="4" s="1"/>
  <c r="D33" i="4"/>
  <c r="N30" i="4"/>
  <c r="N32" i="4" s="1"/>
  <c r="M30" i="4"/>
  <c r="M31" i="4" s="1"/>
  <c r="L30" i="4"/>
  <c r="L32" i="4" s="1"/>
  <c r="K30" i="4"/>
  <c r="K32" i="4" s="1"/>
  <c r="J30" i="4"/>
  <c r="J31" i="4" s="1"/>
  <c r="I30" i="4"/>
  <c r="I31" i="4" s="1"/>
  <c r="H30" i="4"/>
  <c r="H31" i="4" s="1"/>
  <c r="G30" i="4"/>
  <c r="G31" i="4" s="1"/>
  <c r="F30" i="4"/>
  <c r="F31" i="4" s="1"/>
  <c r="E30" i="4"/>
  <c r="E32" i="4" s="1"/>
  <c r="D30" i="4"/>
  <c r="N27" i="4"/>
  <c r="N29" i="4" s="1"/>
  <c r="M27" i="4"/>
  <c r="M29" i="4" s="1"/>
  <c r="L27" i="4"/>
  <c r="L29" i="4" s="1"/>
  <c r="K27" i="4"/>
  <c r="K28" i="4" s="1"/>
  <c r="J27" i="4"/>
  <c r="J28" i="4" s="1"/>
  <c r="I27" i="4"/>
  <c r="I28" i="4" s="1"/>
  <c r="H27" i="4"/>
  <c r="H28" i="4" s="1"/>
  <c r="G27" i="4"/>
  <c r="G28" i="4" s="1"/>
  <c r="F27" i="4"/>
  <c r="F28" i="4" s="1"/>
  <c r="E27" i="4"/>
  <c r="E29" i="4" s="1"/>
  <c r="D27" i="4"/>
  <c r="N26" i="4"/>
  <c r="M26" i="4"/>
  <c r="L26" i="4"/>
  <c r="K26" i="4"/>
  <c r="J26" i="4"/>
  <c r="I26" i="4"/>
  <c r="H26" i="4"/>
  <c r="G26" i="4"/>
  <c r="F26" i="4"/>
  <c r="E26" i="4"/>
  <c r="D26" i="4"/>
  <c r="N25" i="4"/>
  <c r="M25" i="4"/>
  <c r="L25" i="4"/>
  <c r="K25" i="4"/>
  <c r="J25" i="4"/>
  <c r="I25" i="4"/>
  <c r="H25" i="4"/>
  <c r="G25" i="4"/>
  <c r="F25" i="4"/>
  <c r="E25" i="4"/>
  <c r="D25" i="4"/>
  <c r="N22" i="4"/>
  <c r="M22" i="4"/>
  <c r="L22" i="4"/>
  <c r="K22" i="4"/>
  <c r="J22" i="4"/>
  <c r="I22" i="4"/>
  <c r="H22" i="4"/>
  <c r="G22" i="4"/>
  <c r="F22" i="4"/>
  <c r="E22" i="4"/>
  <c r="D22" i="4"/>
  <c r="N18" i="4"/>
  <c r="M18" i="4"/>
  <c r="L18" i="4"/>
  <c r="K18" i="4"/>
  <c r="J18" i="4"/>
  <c r="I18" i="4"/>
  <c r="H18" i="4"/>
  <c r="G18" i="4"/>
  <c r="F18" i="4"/>
  <c r="E18" i="4"/>
  <c r="D18" i="4"/>
  <c r="A3" i="4"/>
  <c r="C18" i="4" l="1"/>
  <c r="C85" i="4"/>
  <c r="C138" i="4"/>
  <c r="C106" i="4"/>
  <c r="C25" i="4"/>
  <c r="C55" i="4"/>
  <c r="C89" i="4"/>
  <c r="C171" i="4"/>
  <c r="C104" i="4"/>
  <c r="C136" i="4"/>
  <c r="C102" i="4"/>
  <c r="C75" i="4"/>
  <c r="C132" i="4"/>
  <c r="C100" i="4"/>
  <c r="C71" i="4"/>
  <c r="C128" i="4"/>
  <c r="C60" i="4"/>
  <c r="C96" i="4"/>
  <c r="C181" i="4"/>
  <c r="C46" i="4"/>
  <c r="C120" i="4"/>
  <c r="C92" i="4"/>
  <c r="C43" i="4"/>
  <c r="C112" i="4"/>
  <c r="C54" i="4"/>
  <c r="D81" i="4"/>
  <c r="C81" i="4" s="1"/>
  <c r="C79" i="4"/>
  <c r="D176" i="4"/>
  <c r="C176" i="4" s="1"/>
  <c r="C175" i="4"/>
  <c r="D42" i="4"/>
  <c r="C42" i="4" s="1"/>
  <c r="C40" i="4"/>
  <c r="C107" i="4"/>
  <c r="D35" i="4"/>
  <c r="C35" i="4" s="1"/>
  <c r="C33" i="4"/>
  <c r="C105" i="4"/>
  <c r="C82" i="4"/>
  <c r="C137" i="4"/>
  <c r="D88" i="4"/>
  <c r="C88" i="4" s="1"/>
  <c r="C86" i="4"/>
  <c r="D32" i="4"/>
  <c r="C32" i="4" s="1"/>
  <c r="C30" i="4"/>
  <c r="C103" i="4"/>
  <c r="C78" i="4"/>
  <c r="C61" i="4"/>
  <c r="D29" i="4"/>
  <c r="C29" i="4" s="1"/>
  <c r="C27" i="4"/>
  <c r="C141" i="4"/>
  <c r="C133" i="4"/>
  <c r="C101" i="4"/>
  <c r="C58" i="4"/>
  <c r="D74" i="4"/>
  <c r="C74" i="4" s="1"/>
  <c r="C72" i="4"/>
  <c r="C131" i="4"/>
  <c r="C57" i="4"/>
  <c r="C62" i="4"/>
  <c r="C22" i="4"/>
  <c r="C63" i="4"/>
  <c r="C97" i="4"/>
  <c r="C65" i="4"/>
  <c r="C56" i="4"/>
  <c r="C53" i="4"/>
  <c r="C68" i="4"/>
  <c r="C125" i="4"/>
  <c r="C64" i="4"/>
  <c r="C26" i="4"/>
  <c r="C95" i="4"/>
  <c r="D179" i="4"/>
  <c r="C179" i="4" s="1"/>
  <c r="C178" i="4"/>
  <c r="I45" i="4"/>
  <c r="I44" i="4"/>
  <c r="I37" i="4" s="1"/>
  <c r="D45" i="4"/>
  <c r="C45" i="4" s="1"/>
  <c r="D44" i="4"/>
  <c r="L45" i="4"/>
  <c r="L38" i="4" s="1"/>
  <c r="L44" i="4"/>
  <c r="E45" i="4"/>
  <c r="E38" i="4" s="1"/>
  <c r="E44" i="4"/>
  <c r="J45" i="4"/>
  <c r="J44" i="4"/>
  <c r="K45" i="4"/>
  <c r="K38" i="4" s="1"/>
  <c r="K44" i="4"/>
  <c r="H45" i="4"/>
  <c r="H44" i="4"/>
  <c r="H37" i="4" s="1"/>
  <c r="M45" i="4"/>
  <c r="M44" i="4"/>
  <c r="M37" i="4" s="1"/>
  <c r="I93" i="4"/>
  <c r="I94" i="4"/>
  <c r="J93" i="4"/>
  <c r="J94" i="4"/>
  <c r="M94" i="4"/>
  <c r="M93" i="4"/>
  <c r="N94" i="4"/>
  <c r="N93" i="4"/>
  <c r="L94" i="4"/>
  <c r="L93" i="4"/>
  <c r="D93" i="4"/>
  <c r="C93" i="4" s="1"/>
  <c r="D94" i="4"/>
  <c r="C94" i="4" s="1"/>
  <c r="E93" i="4"/>
  <c r="E94" i="4"/>
  <c r="F93" i="4"/>
  <c r="F94" i="4"/>
  <c r="G93" i="4"/>
  <c r="G94" i="4"/>
  <c r="K94" i="4"/>
  <c r="K93" i="4"/>
  <c r="H93" i="4"/>
  <c r="H94" i="4"/>
  <c r="D135" i="4" a="1"/>
  <c r="D135" i="4" s="1"/>
  <c r="C135" i="4" s="1"/>
  <c r="D134" i="4" a="1"/>
  <c r="D134" i="4" s="1"/>
  <c r="C134" i="4" s="1"/>
  <c r="E135" i="4" a="1"/>
  <c r="E135" i="4" s="1"/>
  <c r="E134" i="4" a="1"/>
  <c r="E134" i="4" s="1"/>
  <c r="F135" i="4" a="1"/>
  <c r="F135" i="4" s="1"/>
  <c r="F134" i="4" a="1"/>
  <c r="F134" i="4" s="1"/>
  <c r="G135" i="4" a="1"/>
  <c r="G135" i="4" s="1"/>
  <c r="G134" i="4" a="1"/>
  <c r="G134" i="4" s="1"/>
  <c r="H134" i="4" a="1"/>
  <c r="H134" i="4" s="1"/>
  <c r="H135" i="4" a="1"/>
  <c r="H135" i="4" s="1"/>
  <c r="N135" i="4" a="1"/>
  <c r="N135" i="4" s="1"/>
  <c r="N134" i="4" a="1"/>
  <c r="N134" i="4" s="1"/>
  <c r="L135" i="4" a="1"/>
  <c r="L135" i="4" s="1"/>
  <c r="L134" i="4" a="1"/>
  <c r="L134" i="4" s="1"/>
  <c r="I134" i="4" a="1"/>
  <c r="I134" i="4" s="1"/>
  <c r="I135" i="4" a="1"/>
  <c r="I135" i="4" s="1"/>
  <c r="J134" i="4" a="1"/>
  <c r="J134" i="4" s="1"/>
  <c r="J135" i="4" a="1"/>
  <c r="J135" i="4" s="1"/>
  <c r="K134" i="4" a="1"/>
  <c r="K134" i="4" s="1"/>
  <c r="K135" i="4" a="1"/>
  <c r="K135" i="4" s="1"/>
  <c r="M135" i="4" a="1"/>
  <c r="M135" i="4" s="1"/>
  <c r="M134" i="4" a="1"/>
  <c r="M134" i="4" s="1"/>
  <c r="E99" i="4"/>
  <c r="E98" i="4"/>
  <c r="N122" i="4"/>
  <c r="N121" i="4"/>
  <c r="E69" i="4"/>
  <c r="E70" i="4"/>
  <c r="M69" i="4"/>
  <c r="M70" i="4"/>
  <c r="D76" i="4"/>
  <c r="C76" i="4" s="1"/>
  <c r="D77" i="4"/>
  <c r="C77" i="4" s="1"/>
  <c r="L76" i="4"/>
  <c r="L77" i="4"/>
  <c r="K84" i="4"/>
  <c r="K83" i="4"/>
  <c r="J91" i="4"/>
  <c r="J90" i="4"/>
  <c r="F99" i="4"/>
  <c r="F98" i="4"/>
  <c r="N99" i="4"/>
  <c r="N98" i="4"/>
  <c r="F109" i="4"/>
  <c r="F108" i="4"/>
  <c r="N109" i="4"/>
  <c r="N108" i="4"/>
  <c r="K114" i="4"/>
  <c r="K113" i="4"/>
  <c r="G122" i="4"/>
  <c r="G121" i="4"/>
  <c r="D127" i="4"/>
  <c r="C127" i="4" s="1"/>
  <c r="D126" i="4"/>
  <c r="C126" i="4" s="1"/>
  <c r="L127" i="4"/>
  <c r="L126" i="4"/>
  <c r="I130" i="4"/>
  <c r="I129" i="4"/>
  <c r="G140" i="4"/>
  <c r="G139" i="4"/>
  <c r="I91" i="4"/>
  <c r="I90" i="4"/>
  <c r="F122" i="4"/>
  <c r="F121" i="4"/>
  <c r="F140" i="4"/>
  <c r="F139" i="4"/>
  <c r="F70" i="4"/>
  <c r="F69" i="4"/>
  <c r="N70" i="4"/>
  <c r="N69" i="4"/>
  <c r="E77" i="4"/>
  <c r="E76" i="4"/>
  <c r="M77" i="4"/>
  <c r="M76" i="4"/>
  <c r="D84" i="4"/>
  <c r="C84" i="4" s="1"/>
  <c r="D83" i="4"/>
  <c r="C83" i="4" s="1"/>
  <c r="L84" i="4"/>
  <c r="L83" i="4"/>
  <c r="K91" i="4"/>
  <c r="K90" i="4"/>
  <c r="G99" i="4"/>
  <c r="G98" i="4"/>
  <c r="G109" i="4"/>
  <c r="G108" i="4"/>
  <c r="D114" i="4"/>
  <c r="C114" i="4" s="1"/>
  <c r="D113" i="4"/>
  <c r="C113" i="4" s="1"/>
  <c r="L114" i="4"/>
  <c r="L113" i="4"/>
  <c r="H122" i="4"/>
  <c r="H121" i="4"/>
  <c r="E127" i="4"/>
  <c r="E126" i="4"/>
  <c r="M127" i="4"/>
  <c r="M126" i="4"/>
  <c r="J130" i="4"/>
  <c r="J129" i="4"/>
  <c r="H140" i="4"/>
  <c r="H139" i="4"/>
  <c r="D69" i="4"/>
  <c r="C69" i="4" s="1"/>
  <c r="D70" i="4"/>
  <c r="C70" i="4" s="1"/>
  <c r="G70" i="4"/>
  <c r="G69" i="4"/>
  <c r="F77" i="4"/>
  <c r="F76" i="4"/>
  <c r="N77" i="4"/>
  <c r="N76" i="4"/>
  <c r="E84" i="4"/>
  <c r="E83" i="4"/>
  <c r="M84" i="4"/>
  <c r="M83" i="4"/>
  <c r="D91" i="4"/>
  <c r="C91" i="4" s="1"/>
  <c r="D90" i="4"/>
  <c r="C90" i="4" s="1"/>
  <c r="L91" i="4"/>
  <c r="L90" i="4"/>
  <c r="H99" i="4"/>
  <c r="H98" i="4"/>
  <c r="H108" i="4"/>
  <c r="H109" i="4"/>
  <c r="E113" i="4"/>
  <c r="E114" i="4"/>
  <c r="M113" i="4"/>
  <c r="M114" i="4"/>
  <c r="I121" i="4"/>
  <c r="I122" i="4"/>
  <c r="F127" i="4"/>
  <c r="F126" i="4"/>
  <c r="N127" i="4"/>
  <c r="N126" i="4"/>
  <c r="K130" i="4"/>
  <c r="K129" i="4"/>
  <c r="I139" i="4"/>
  <c r="I140" i="4"/>
  <c r="J84" i="4"/>
  <c r="J83" i="4"/>
  <c r="E109" i="4"/>
  <c r="E108" i="4"/>
  <c r="K127" i="4"/>
  <c r="K126" i="4"/>
  <c r="H70" i="4"/>
  <c r="H69" i="4"/>
  <c r="G77" i="4"/>
  <c r="G76" i="4"/>
  <c r="F84" i="4"/>
  <c r="F83" i="4"/>
  <c r="N84" i="4"/>
  <c r="N83" i="4"/>
  <c r="E90" i="4"/>
  <c r="E91" i="4"/>
  <c r="M90" i="4"/>
  <c r="M91" i="4"/>
  <c r="I98" i="4"/>
  <c r="I99" i="4"/>
  <c r="I108" i="4"/>
  <c r="I109" i="4"/>
  <c r="F113" i="4"/>
  <c r="F114" i="4"/>
  <c r="N113" i="4"/>
  <c r="N114" i="4"/>
  <c r="J121" i="4"/>
  <c r="J122" i="4"/>
  <c r="G126" i="4"/>
  <c r="G127" i="4"/>
  <c r="D130" i="4"/>
  <c r="C130" i="4" s="1"/>
  <c r="D129" i="4"/>
  <c r="C129" i="4" s="1"/>
  <c r="L130" i="4"/>
  <c r="L129" i="4"/>
  <c r="J139" i="4"/>
  <c r="J140" i="4"/>
  <c r="L69" i="4"/>
  <c r="L70" i="4"/>
  <c r="J114" i="4"/>
  <c r="J113" i="4"/>
  <c r="H129" i="4"/>
  <c r="H130" i="4"/>
  <c r="N140" i="4"/>
  <c r="N139" i="4"/>
  <c r="I70" i="4"/>
  <c r="I69" i="4"/>
  <c r="H77" i="4"/>
  <c r="H76" i="4"/>
  <c r="G83" i="4"/>
  <c r="G84" i="4"/>
  <c r="F90" i="4"/>
  <c r="F91" i="4"/>
  <c r="N90" i="4"/>
  <c r="N91" i="4"/>
  <c r="J98" i="4"/>
  <c r="J99" i="4"/>
  <c r="J109" i="4"/>
  <c r="J108" i="4"/>
  <c r="G113" i="4"/>
  <c r="G114" i="4"/>
  <c r="K121" i="4"/>
  <c r="K122" i="4"/>
  <c r="H126" i="4"/>
  <c r="H127" i="4"/>
  <c r="E129" i="4"/>
  <c r="E130" i="4"/>
  <c r="M130" i="4"/>
  <c r="M129" i="4"/>
  <c r="K139" i="4"/>
  <c r="K140" i="4"/>
  <c r="K76" i="4"/>
  <c r="K77" i="4"/>
  <c r="M99" i="4"/>
  <c r="M98" i="4"/>
  <c r="M109" i="4"/>
  <c r="M108" i="4"/>
  <c r="J70" i="4"/>
  <c r="J69" i="4"/>
  <c r="I76" i="4"/>
  <c r="I77" i="4"/>
  <c r="H83" i="4"/>
  <c r="H84" i="4"/>
  <c r="G90" i="4"/>
  <c r="G91" i="4"/>
  <c r="K98" i="4"/>
  <c r="K99" i="4"/>
  <c r="K109" i="4"/>
  <c r="K108" i="4"/>
  <c r="H114" i="4"/>
  <c r="H113" i="4"/>
  <c r="D121" i="4"/>
  <c r="C121" i="4" s="1"/>
  <c r="D122" i="4"/>
  <c r="L122" i="4"/>
  <c r="L121" i="4"/>
  <c r="I126" i="4"/>
  <c r="I127" i="4"/>
  <c r="F129" i="4"/>
  <c r="F130" i="4"/>
  <c r="N129" i="4"/>
  <c r="N130" i="4"/>
  <c r="D139" i="4"/>
  <c r="C139" i="4" s="1"/>
  <c r="D140" i="4"/>
  <c r="C140" i="4" s="1"/>
  <c r="L140" i="4"/>
  <c r="L139" i="4"/>
  <c r="K69" i="4"/>
  <c r="K70" i="4"/>
  <c r="J76" i="4"/>
  <c r="J77" i="4"/>
  <c r="I83" i="4"/>
  <c r="I84" i="4"/>
  <c r="H90" i="4"/>
  <c r="H91" i="4"/>
  <c r="D99" i="4"/>
  <c r="C99" i="4" s="1"/>
  <c r="D98" i="4"/>
  <c r="C98" i="4" s="1"/>
  <c r="L99" i="4"/>
  <c r="L98" i="4"/>
  <c r="D109" i="4"/>
  <c r="C109" i="4" s="1"/>
  <c r="D108" i="4"/>
  <c r="C108" i="4" s="1"/>
  <c r="L109" i="4"/>
  <c r="L108" i="4"/>
  <c r="I114" i="4"/>
  <c r="I113" i="4"/>
  <c r="E122" i="4"/>
  <c r="E121" i="4"/>
  <c r="M122" i="4"/>
  <c r="M121" i="4"/>
  <c r="J127" i="4"/>
  <c r="J126" i="4"/>
  <c r="G129" i="4"/>
  <c r="G130" i="4"/>
  <c r="E140" i="4"/>
  <c r="E139" i="4"/>
  <c r="M140" i="4"/>
  <c r="M139" i="4"/>
  <c r="J51" i="4"/>
  <c r="J52" i="4"/>
  <c r="L52" i="4"/>
  <c r="I52" i="4"/>
  <c r="K52" i="4"/>
  <c r="D51" i="4"/>
  <c r="C51" i="4" s="1"/>
  <c r="D52" i="4"/>
  <c r="C52" i="4" s="1"/>
  <c r="E52" i="4"/>
  <c r="E51" i="4"/>
  <c r="G52" i="4"/>
  <c r="N28" i="4"/>
  <c r="E20" i="4"/>
  <c r="E19" i="4"/>
  <c r="M20" i="4"/>
  <c r="M19" i="4"/>
  <c r="J24" i="4"/>
  <c r="J23" i="4"/>
  <c r="K19" i="4"/>
  <c r="K20" i="4"/>
  <c r="N20" i="4"/>
  <c r="N19" i="4"/>
  <c r="K24" i="4"/>
  <c r="K23" i="4"/>
  <c r="G19" i="4"/>
  <c r="G20" i="4"/>
  <c r="D24" i="4"/>
  <c r="C24" i="4" s="1"/>
  <c r="D23" i="4"/>
  <c r="C23" i="4" s="1"/>
  <c r="L24" i="4"/>
  <c r="L23" i="4"/>
  <c r="L20" i="4"/>
  <c r="L19" i="4"/>
  <c r="H24" i="4"/>
  <c r="H23" i="4"/>
  <c r="I23" i="4"/>
  <c r="I24" i="4"/>
  <c r="H19" i="4"/>
  <c r="H20" i="4"/>
  <c r="M23" i="4"/>
  <c r="M24" i="4"/>
  <c r="I19" i="4"/>
  <c r="I20" i="4"/>
  <c r="N23" i="4"/>
  <c r="N24" i="4"/>
  <c r="J37" i="4"/>
  <c r="G179" i="4"/>
  <c r="D20" i="4"/>
  <c r="C20" i="4" s="1"/>
  <c r="D19" i="4"/>
  <c r="C19" i="4" s="1"/>
  <c r="F20" i="4"/>
  <c r="F19" i="4"/>
  <c r="E23" i="4"/>
  <c r="E24" i="4"/>
  <c r="F23" i="4"/>
  <c r="F24" i="4"/>
  <c r="J20" i="4"/>
  <c r="J19" i="4"/>
  <c r="G23" i="4"/>
  <c r="G24" i="4"/>
  <c r="I29" i="4"/>
  <c r="N179" i="4"/>
  <c r="D177" i="4"/>
  <c r="C177" i="4" s="1"/>
  <c r="D180" i="4"/>
  <c r="C180" i="4" s="1"/>
  <c r="D34" i="4"/>
  <c r="C34" i="4" s="1"/>
  <c r="D41" i="4"/>
  <c r="C41" i="4" s="1"/>
  <c r="L177" i="4"/>
  <c r="K34" i="4"/>
  <c r="I42" i="4"/>
  <c r="L34" i="4"/>
  <c r="J42" i="4"/>
  <c r="E31" i="4"/>
  <c r="I35" i="4"/>
  <c r="D28" i="4"/>
  <c r="C28" i="4" s="1"/>
  <c r="J32" i="4"/>
  <c r="F179" i="4"/>
  <c r="F29" i="4"/>
  <c r="D31" i="4"/>
  <c r="C31" i="4" s="1"/>
  <c r="I32" i="4"/>
  <c r="J34" i="4"/>
  <c r="H42" i="4"/>
  <c r="E177" i="4"/>
  <c r="E174" i="4" s="1"/>
  <c r="E28" i="4"/>
  <c r="J29" i="4"/>
  <c r="M32" i="4"/>
  <c r="E41" i="4"/>
  <c r="M177" i="4"/>
  <c r="M174" i="4" s="1"/>
  <c r="K180" i="4"/>
  <c r="K29" i="4"/>
  <c r="K31" i="4"/>
  <c r="M42" i="4"/>
  <c r="L180" i="4"/>
  <c r="L31" i="4"/>
  <c r="G35" i="4"/>
  <c r="K41" i="4"/>
  <c r="L28" i="4"/>
  <c r="H35" i="4"/>
  <c r="L41" i="4"/>
  <c r="G45" i="4"/>
  <c r="G176" i="4"/>
  <c r="M28" i="4"/>
  <c r="H176" i="4"/>
  <c r="H32" i="4"/>
  <c r="K173" i="4"/>
  <c r="G174" i="4"/>
  <c r="G29" i="4"/>
  <c r="F32" i="4"/>
  <c r="H29" i="4"/>
  <c r="G32" i="4"/>
  <c r="F35" i="4"/>
  <c r="N35" i="4"/>
  <c r="G42" i="4"/>
  <c r="F45" i="4"/>
  <c r="F38" i="4" s="1"/>
  <c r="N45" i="4"/>
  <c r="N38" i="4" s="1"/>
  <c r="F176" i="4"/>
  <c r="N176" i="4"/>
  <c r="K177" i="4"/>
  <c r="E179" i="4"/>
  <c r="E173" i="4" s="1"/>
  <c r="M179" i="4"/>
  <c r="M173" i="4" s="1"/>
  <c r="J180" i="4"/>
  <c r="J174" i="4" s="1"/>
  <c r="I176" i="4"/>
  <c r="H179" i="4"/>
  <c r="N31" i="4"/>
  <c r="E34" i="4"/>
  <c r="M34" i="4"/>
  <c r="F41" i="4"/>
  <c r="F37" i="4" s="1"/>
  <c r="N41" i="4"/>
  <c r="N37" i="4" s="1"/>
  <c r="J176" i="4"/>
  <c r="J173" i="4" s="1"/>
  <c r="I179" i="4"/>
  <c r="H174" i="4"/>
  <c r="G37" i="4"/>
  <c r="L173" i="4"/>
  <c r="I174" i="4"/>
  <c r="F174" i="4"/>
  <c r="N174" i="4"/>
  <c r="A4" i="4"/>
  <c r="C122" i="4" l="1"/>
  <c r="J38" i="4"/>
  <c r="D173" i="4"/>
  <c r="C173" i="4" s="1"/>
  <c r="I38" i="4"/>
  <c r="D38" i="4"/>
  <c r="C44" i="4"/>
  <c r="C37" i="4" s="1"/>
  <c r="M38" i="4"/>
  <c r="H38" i="4"/>
  <c r="I49" i="4"/>
  <c r="G49" i="4"/>
  <c r="E48" i="4"/>
  <c r="J49" i="4"/>
  <c r="E49" i="4"/>
  <c r="J48" i="4"/>
  <c r="L37" i="4"/>
  <c r="F173" i="4"/>
  <c r="N173" i="4"/>
  <c r="G173" i="4"/>
  <c r="L174" i="4"/>
  <c r="L10" i="4" s="1"/>
  <c r="L13" i="4" s="1"/>
  <c r="L16" i="4" s="1"/>
  <c r="G51" i="4"/>
  <c r="L51" i="4"/>
  <c r="I51" i="4"/>
  <c r="N51" i="4"/>
  <c r="N52" i="4"/>
  <c r="M52" i="4"/>
  <c r="K51" i="4"/>
  <c r="H51" i="4"/>
  <c r="F52" i="4"/>
  <c r="M51" i="4"/>
  <c r="H52" i="4"/>
  <c r="F51" i="4"/>
  <c r="G38" i="4"/>
  <c r="K37" i="4"/>
  <c r="C59" i="4"/>
  <c r="D37" i="4"/>
  <c r="E37" i="4"/>
  <c r="G10" i="4"/>
  <c r="E9" i="4"/>
  <c r="E10" i="4"/>
  <c r="E13" i="4" s="1"/>
  <c r="E16" i="4" s="1"/>
  <c r="I10" i="4"/>
  <c r="K174" i="4"/>
  <c r="K10" i="4" s="1"/>
  <c r="K13" i="4" s="1"/>
  <c r="K16" i="4" s="1"/>
  <c r="J10" i="4"/>
  <c r="C66" i="4"/>
  <c r="J9" i="4"/>
  <c r="J12" i="4" s="1"/>
  <c r="J15" i="4" s="1"/>
  <c r="H173" i="4"/>
  <c r="I173" i="4"/>
  <c r="D174" i="4"/>
  <c r="D59" i="4" s="1"/>
  <c r="J59" i="4" s="1"/>
  <c r="F59" i="4" s="1"/>
  <c r="L59" i="4" s="1"/>
  <c r="G59" i="4" s="1"/>
  <c r="M59" i="4" s="1"/>
  <c r="H59" i="4" s="1"/>
  <c r="I59" i="4" s="1"/>
  <c r="K59" i="4" s="1"/>
  <c r="E59" i="4" s="1"/>
  <c r="N59" i="4" s="1"/>
  <c r="D66" i="4" s="1"/>
  <c r="J66" i="4" s="1"/>
  <c r="F66" i="4" s="1"/>
  <c r="L66" i="4" s="1"/>
  <c r="G66" i="4" s="1"/>
  <c r="M66" i="4" s="1"/>
  <c r="H66" i="4" s="1"/>
  <c r="I66" i="4" s="1"/>
  <c r="K66" i="4" s="1"/>
  <c r="E66" i="4" s="1"/>
  <c r="N66" i="4" s="1"/>
  <c r="J67" i="4" s="1"/>
  <c r="F67" i="4" s="1"/>
  <c r="L67" i="4" s="1"/>
  <c r="G67" i="4" s="1"/>
  <c r="M67" i="4" s="1"/>
  <c r="H67" i="4" s="1"/>
  <c r="I67" i="4" s="1"/>
  <c r="K67" i="4" s="1"/>
  <c r="E67" i="4" s="1"/>
  <c r="N67" i="4" s="1"/>
  <c r="D50" i="4" s="1"/>
  <c r="C50" i="4" s="1"/>
  <c r="J50" i="4" s="1"/>
  <c r="F50" i="4" s="1"/>
  <c r="L50" i="4" s="1"/>
  <c r="G50" i="4" s="1"/>
  <c r="M50" i="4" s="1"/>
  <c r="H50" i="4" s="1"/>
  <c r="I50" i="4" s="1"/>
  <c r="K50" i="4" s="1"/>
  <c r="E50" i="4" s="1"/>
  <c r="N50" i="4" s="1"/>
  <c r="D172" i="4" s="1"/>
  <c r="C172" i="4" s="1"/>
  <c r="J172" i="4" s="1"/>
  <c r="F172" i="4" s="1"/>
  <c r="L172" i="4" s="1"/>
  <c r="G172" i="4" s="1"/>
  <c r="M172" i="4" s="1"/>
  <c r="H172" i="4" s="1"/>
  <c r="I172" i="4" s="1"/>
  <c r="K172" i="4" s="1"/>
  <c r="E172" i="4" s="1"/>
  <c r="N172" i="4" s="1"/>
  <c r="D48" i="4" l="1"/>
  <c r="C48" i="4" s="1"/>
  <c r="D9" i="4"/>
  <c r="C9" i="4" s="1"/>
  <c r="I13" i="4"/>
  <c r="I16" i="4" s="1"/>
  <c r="J13" i="4"/>
  <c r="J16" i="4" s="1"/>
  <c r="D49" i="4"/>
  <c r="C49" i="4" s="1"/>
  <c r="C174" i="4"/>
  <c r="G48" i="4"/>
  <c r="N48" i="4"/>
  <c r="F48" i="4"/>
  <c r="D67" i="4"/>
  <c r="C67" i="4" s="1"/>
  <c r="L49" i="4"/>
  <c r="N10" i="4"/>
  <c r="N13" i="4" s="1"/>
  <c r="N16" i="4" s="1"/>
  <c r="N49" i="4"/>
  <c r="H10" i="4"/>
  <c r="H13" i="4" s="1"/>
  <c r="H16" i="4" s="1"/>
  <c r="H49" i="4"/>
  <c r="I48" i="4"/>
  <c r="M9" i="4"/>
  <c r="M12" i="4" s="1"/>
  <c r="M15" i="4" s="1"/>
  <c r="M48" i="4"/>
  <c r="L9" i="4"/>
  <c r="L12" i="4" s="1"/>
  <c r="L15" i="4" s="1"/>
  <c r="L48" i="4"/>
  <c r="F10" i="4"/>
  <c r="F13" i="4" s="1"/>
  <c r="F16" i="4" s="1"/>
  <c r="F49" i="4"/>
  <c r="H48" i="4"/>
  <c r="K9" i="4"/>
  <c r="K12" i="4" s="1"/>
  <c r="K15" i="4" s="1"/>
  <c r="K48" i="4"/>
  <c r="K49" i="4"/>
  <c r="M10" i="4"/>
  <c r="M13" i="4" s="1"/>
  <c r="M16" i="4" s="1"/>
  <c r="M49" i="4"/>
  <c r="G9" i="4"/>
  <c r="G12" i="4" s="1"/>
  <c r="G15" i="4" s="1"/>
  <c r="I9" i="4"/>
  <c r="I12" i="4" s="1"/>
  <c r="I15" i="4" s="1"/>
  <c r="F9" i="4"/>
  <c r="F12" i="4" s="1"/>
  <c r="F15" i="4" s="1"/>
  <c r="N9" i="4"/>
  <c r="N12" i="4" s="1"/>
  <c r="N15" i="4" s="1"/>
  <c r="G13" i="4"/>
  <c r="G16" i="4" s="1"/>
  <c r="H9" i="4"/>
  <c r="H12" i="4" s="1"/>
  <c r="H15" i="4" s="1"/>
  <c r="D12" i="4"/>
  <c r="E12" i="4"/>
  <c r="E15" i="4" s="1"/>
  <c r="C38" i="4"/>
  <c r="D8" i="4"/>
  <c r="C8" i="4" s="1"/>
  <c r="D10" i="4"/>
  <c r="C10" i="4" s="1"/>
  <c r="I8" i="4" s="1"/>
  <c r="G8" i="4" s="1"/>
  <c r="N8" i="4" s="1"/>
  <c r="F8" i="4" s="1"/>
  <c r="M8" i="4" s="1"/>
  <c r="L8" i="4" s="1"/>
  <c r="E8" i="4" s="1"/>
  <c r="J8" i="4" s="1"/>
  <c r="K8" i="4" s="1"/>
  <c r="H8" i="4" s="1"/>
  <c r="N47" i="4" s="1"/>
  <c r="E47" i="4" s="1"/>
  <c r="D36" i="4" s="1"/>
  <c r="C36" i="4" s="1"/>
  <c r="J36" i="4" s="1"/>
  <c r="F36" i="4" s="1"/>
  <c r="L36" i="4" s="1"/>
  <c r="G36" i="4" s="1"/>
  <c r="M36" i="4" s="1"/>
  <c r="H36" i="4" s="1"/>
  <c r="I36" i="4" s="1"/>
  <c r="K36" i="4" s="1"/>
  <c r="E36" i="4" s="1"/>
  <c r="N36" i="4" s="1"/>
  <c r="D15" i="4" l="1"/>
  <c r="C15" i="4" s="1"/>
  <c r="C12" i="4"/>
  <c r="L11" i="4"/>
  <c r="L14" i="4" s="1"/>
  <c r="H21" i="4" s="1"/>
  <c r="G21" i="4" s="1"/>
  <c r="N11" i="4"/>
  <c r="N14" i="4" s="1"/>
  <c r="K11" i="4"/>
  <c r="K14" i="4" s="1"/>
  <c r="H11" i="4"/>
  <c r="H14" i="4" s="1"/>
  <c r="F11" i="4"/>
  <c r="F14" i="4" s="1"/>
  <c r="G11" i="4"/>
  <c r="G14" i="4" s="1"/>
  <c r="J11" i="4"/>
  <c r="J14" i="4" s="1"/>
  <c r="I11" i="4"/>
  <c r="I14" i="4" s="1"/>
  <c r="E11" i="4"/>
  <c r="E14" i="4" s="1"/>
  <c r="D11" i="4"/>
  <c r="C11" i="4" s="1"/>
  <c r="C39" i="4"/>
  <c r="C21" i="4"/>
  <c r="N21" i="4" s="1"/>
  <c r="M11" i="4"/>
  <c r="M14" i="4" s="1"/>
  <c r="D13" i="4"/>
  <c r="C13" i="4" s="1"/>
  <c r="J21" i="4" s="1"/>
  <c r="E39" i="4" s="1"/>
  <c r="L21" i="4" s="1"/>
  <c r="M21" i="4" s="1"/>
  <c r="M39" i="4" s="1"/>
  <c r="F21" i="4" s="1"/>
  <c r="N39" i="4" s="1"/>
  <c r="E21" i="4" s="1"/>
  <c r="G39" i="4" s="1"/>
  <c r="I21" i="4" s="1"/>
  <c r="I39" i="4" s="1"/>
  <c r="F39" i="4" s="1"/>
  <c r="J39" i="4" s="1"/>
  <c r="L39" i="4" s="1"/>
  <c r="K39" i="4" s="1"/>
  <c r="H39" i="4" s="1"/>
  <c r="D39" i="4" s="1"/>
  <c r="K21" i="4" s="1"/>
  <c r="D21" i="4" s="1"/>
  <c r="H47" i="4" s="1"/>
  <c r="M47" i="4" s="1"/>
  <c r="G47" i="4" s="1"/>
  <c r="F47" i="4" s="1"/>
  <c r="L47" i="4" s="1"/>
  <c r="J47" i="4" s="1"/>
  <c r="K47" i="4" s="1"/>
  <c r="D47" i="4" s="1"/>
  <c r="C47" i="4" s="1"/>
  <c r="I47" i="4" s="1"/>
  <c r="D14" i="4" l="1"/>
  <c r="D16" i="4"/>
  <c r="C16" i="4" s="1"/>
  <c r="C14" i="4" l="1"/>
  <c r="C17" i="4" s="1"/>
  <c r="M17" i="4" s="1"/>
  <c r="F17" i="4" s="1"/>
  <c r="K17" i="4" s="1"/>
  <c r="G17" i="4" s="1"/>
  <c r="J17" i="4" s="1"/>
  <c r="N17" i="4" s="1"/>
  <c r="D17" i="4" s="1"/>
  <c r="I17" i="4" s="1"/>
  <c r="L17" i="4" s="1"/>
  <c r="Y118" i="4" s="1"/>
  <c r="E17" i="4" s="1"/>
  <c r="H17" i="4" s="1"/>
  <c r="R115" i="4" l="1"/>
  <c r="R117" i="4" s="1"/>
  <c r="Q118" i="4"/>
  <c r="W115" i="4"/>
  <c r="W116" i="4" s="1"/>
  <c r="P119" i="4"/>
  <c r="S118" i="4"/>
  <c r="P118" i="4"/>
  <c r="W119" i="4"/>
  <c r="U115" i="4"/>
  <c r="U117" i="4" s="1"/>
  <c r="O115" i="4"/>
  <c r="O116" i="4" s="1"/>
  <c r="O118" i="4"/>
  <c r="O119" i="4"/>
  <c r="R119" i="4"/>
  <c r="T118" i="4"/>
  <c r="V118" i="4"/>
  <c r="X118" i="4"/>
  <c r="U118" i="4"/>
  <c r="R116" i="4"/>
  <c r="X115" i="4"/>
  <c r="M118" i="4"/>
  <c r="X119" i="4"/>
  <c r="Q115" i="4"/>
  <c r="V115" i="4"/>
  <c r="Y119" i="4"/>
  <c r="S115" i="4"/>
  <c r="Q119" i="4"/>
  <c r="R118" i="4"/>
  <c r="S119" i="4"/>
  <c r="U119" i="4"/>
  <c r="T115" i="4"/>
  <c r="P115" i="4"/>
  <c r="V119" i="4"/>
  <c r="T119" i="4"/>
  <c r="Y115" i="4"/>
  <c r="W118" i="4"/>
  <c r="N115" i="4"/>
  <c r="N116" i="4" s="1"/>
  <c r="J119" i="4"/>
  <c r="K118" i="4"/>
  <c r="I118" i="4"/>
  <c r="G119" i="4"/>
  <c r="M119" i="4"/>
  <c r="D118" i="4"/>
  <c r="J118" i="4"/>
  <c r="G118" i="4"/>
  <c r="G115" i="4"/>
  <c r="F115" i="4"/>
  <c r="E119" i="4"/>
  <c r="D119" i="4"/>
  <c r="N118" i="4"/>
  <c r="F119" i="4"/>
  <c r="F118" i="4"/>
  <c r="K115" i="4"/>
  <c r="J115" i="4"/>
  <c r="E118" i="4"/>
  <c r="L115" i="4"/>
  <c r="E115" i="4"/>
  <c r="K119" i="4"/>
  <c r="H115" i="4"/>
  <c r="D115" i="4"/>
  <c r="H118" i="4"/>
  <c r="I119" i="4"/>
  <c r="H119" i="4"/>
  <c r="L118" i="4"/>
  <c r="L119" i="4"/>
  <c r="I115" i="4"/>
  <c r="M115" i="4"/>
  <c r="N119" i="4"/>
  <c r="U116" i="4" l="1"/>
  <c r="C118" i="4"/>
  <c r="C115" i="4"/>
  <c r="C119" i="4"/>
  <c r="O117" i="4"/>
  <c r="W117" i="4"/>
  <c r="N117" i="4"/>
  <c r="T117" i="4"/>
  <c r="T116" i="4"/>
  <c r="V116" i="4"/>
  <c r="V117" i="4"/>
  <c r="X116" i="4"/>
  <c r="X117" i="4"/>
  <c r="S117" i="4"/>
  <c r="S116" i="4"/>
  <c r="Q117" i="4"/>
  <c r="Q116" i="4"/>
  <c r="Y117" i="4"/>
  <c r="Y116" i="4"/>
  <c r="P117" i="4"/>
  <c r="P116" i="4"/>
  <c r="E117" i="4"/>
  <c r="E116" i="4"/>
  <c r="F117" i="4"/>
  <c r="F116" i="4"/>
  <c r="J117" i="4"/>
  <c r="J116" i="4"/>
  <c r="D117" i="4"/>
  <c r="D116" i="4"/>
  <c r="L117" i="4"/>
  <c r="L116" i="4"/>
  <c r="K117" i="4"/>
  <c r="K116" i="4"/>
  <c r="I117" i="4"/>
  <c r="I116" i="4"/>
  <c r="H117" i="4"/>
  <c r="H116" i="4"/>
  <c r="G117" i="4"/>
  <c r="G116" i="4"/>
  <c r="M116" i="4"/>
  <c r="M117" i="4"/>
  <c r="C116" i="4" l="1"/>
  <c r="C1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N1" authorId="0" shapeId="0" xr:uid="{9970F363-54E6-4B4B-BD1F-90ED15714B8E}">
      <text>
        <r>
          <rPr>
            <b/>
            <sz val="9"/>
            <color indexed="81"/>
            <rFont val="Tahoma"/>
            <family val="2"/>
            <charset val="163"/>
          </rPr>
          <t>Administrator:</t>
        </r>
        <r>
          <rPr>
            <sz val="9"/>
            <color indexed="81"/>
            <rFont val="Tahoma"/>
            <family val="2"/>
            <charset val="163"/>
          </rPr>
          <t xml:space="preserve">
</t>
        </r>
        <r>
          <rPr>
            <sz val="9"/>
            <color indexed="39"/>
            <rFont val="Tahoma"/>
            <family val="2"/>
            <charset val="163"/>
          </rPr>
          <t>bấm tổ hợp phím:
Ctrl + Alt + F9
để cập nhật số liệu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<sst xmlns="http://schemas.openxmlformats.org/spreadsheetml/2006/main" count="2476" uniqueCount="1765">
  <si>
    <t>NHCSXH CHI NHÁNH TỈNH ĐỒNG NAI</t>
  </si>
  <si>
    <t>Đơn vị: triệu đồng, %</t>
  </si>
  <si>
    <t>TT</t>
  </si>
  <si>
    <t>Chỉ tiêu</t>
  </si>
  <si>
    <t>Tổng</t>
  </si>
  <si>
    <t>Trong đó</t>
  </si>
  <si>
    <t>HST</t>
  </si>
  <si>
    <t>Vĩnh Cửu</t>
  </si>
  <si>
    <t>A</t>
  </si>
  <si>
    <t>NGUỒN VỐN (I+II+III)</t>
  </si>
  <si>
    <t>I</t>
  </si>
  <si>
    <t xml:space="preserve">Vốn Trung ương </t>
  </si>
  <si>
    <t>Vốn trung ương cấp</t>
  </si>
  <si>
    <t xml:space="preserve">             Tỷ trọng trên tổng nguồn</t>
  </si>
  <si>
    <t>Vốn huy động được TW cấp bù</t>
  </si>
  <si>
    <t xml:space="preserve">            Tỷ trọng trên tổng nguồn</t>
  </si>
  <si>
    <t>2.1.</t>
  </si>
  <si>
    <t>Tiền gửi tổ chức, cá nhân</t>
  </si>
  <si>
    <t>Tr.đó: Tiền gửi ký quỹ đi LĐ HQ</t>
  </si>
  <si>
    <t xml:space="preserve">             Tiền gửi vay NOXH</t>
  </si>
  <si>
    <t>2.2.</t>
  </si>
  <si>
    <t>Huy động tiết kiệm dân cư</t>
  </si>
  <si>
    <t>2.3.</t>
  </si>
  <si>
    <t>Huy động tiết kiệm tại ĐGDX</t>
  </si>
  <si>
    <t>2.4.</t>
  </si>
  <si>
    <t>Tiền gửi Tổ viên Tổ TKVV</t>
  </si>
  <si>
    <t>II</t>
  </si>
  <si>
    <t>Vốn nhận UT địa phương</t>
  </si>
  <si>
    <t>Vốn ngân sách tỉnh</t>
  </si>
  <si>
    <t>Vốn ngân sách huyện</t>
  </si>
  <si>
    <t>III</t>
  </si>
  <si>
    <t>Nguồn vốn khác</t>
  </si>
  <si>
    <t>B</t>
  </si>
  <si>
    <t>SỬ DỤNG VỐN (B1+B2+B3)</t>
  </si>
  <si>
    <t>B1</t>
  </si>
  <si>
    <t>TỔNG DƯ NỢ</t>
  </si>
  <si>
    <t>Dư nợ nguồn vốn TW</t>
  </si>
  <si>
    <t>Trong đó: Nợ quá hạn</t>
  </si>
  <si>
    <t xml:space="preserve">                    Tỷ lệ NQH</t>
  </si>
  <si>
    <t>Dư nợ nguồn vốn Địa phương</t>
  </si>
  <si>
    <t>Chi tiết từng chương trình</t>
  </si>
  <si>
    <t>Cho vay hộ nghèo</t>
  </si>
  <si>
    <t>Tr.đó: + Cho vay bằng vốn TW</t>
  </si>
  <si>
    <t xml:space="preserve">             + Cho vay bằng vốn ĐP</t>
  </si>
  <si>
    <t>Cho vay hộ cận nghèo</t>
  </si>
  <si>
    <t>Cho vay hộ mới thoát nghèo</t>
  </si>
  <si>
    <t>Cho vay HSSV (vốn TW)</t>
  </si>
  <si>
    <t>Cho vay NS&amp;VSMT nông thôn</t>
  </si>
  <si>
    <t>Cho vay Giải quyết việc làm</t>
  </si>
  <si>
    <t>a.</t>
  </si>
  <si>
    <t>Cho vay bằng nguồn vốn TW cấp</t>
  </si>
  <si>
    <t>Tr. Đó: + Vốn UBND tỉnh quản lý</t>
  </si>
  <si>
    <t>b.</t>
  </si>
  <si>
    <t>Cho vay bằng vốn NH huy động</t>
  </si>
  <si>
    <t xml:space="preserve">c. </t>
  </si>
  <si>
    <t>Cho vay bằng vốn NS địa phương</t>
  </si>
  <si>
    <t>Tr.đó: + Cho vay sau ĐT nghề</t>
  </si>
  <si>
    <t>Cho vay nhà ở theo QĐ 167 (vốn TW)</t>
  </si>
  <si>
    <t>Cho vay nhà ở theo QĐ 33 (vốn TW)</t>
  </si>
  <si>
    <t>Cho vay NOXH NĐ 100</t>
  </si>
  <si>
    <t>Cho vay hộ SXKD vùng KK (Vốn TW)</t>
  </si>
  <si>
    <t>Cho vay thương nhân vùng KK (Vốn TW)</t>
  </si>
  <si>
    <t>Cho vay DTTS nghèo theo QĐ 755</t>
  </si>
  <si>
    <t>Cho vay DTTS theo QĐ 2085</t>
  </si>
  <si>
    <t>Cho vay XKLĐ (Vốn TW)</t>
  </si>
  <si>
    <t>Tr.đó cho vay ký quỹ đi HQ</t>
  </si>
  <si>
    <t>Cho vay người khuyết tật (vốn ĐP)</t>
  </si>
  <si>
    <t>Cho vay trả lương ngừng việc (vốn TW)</t>
  </si>
  <si>
    <t>B2</t>
  </si>
  <si>
    <t>TÀI SẢN CÓ KHÁC</t>
  </si>
  <si>
    <t>B3</t>
  </si>
  <si>
    <t>QUỸ AN TOÀN CHI TRẢ</t>
  </si>
  <si>
    <t>Tồn quỹ tiền mặt</t>
  </si>
  <si>
    <t>TK tiền gửi</t>
  </si>
  <si>
    <t>So với định mức được giao (+/-)</t>
  </si>
  <si>
    <t>${tieude1.STR1}</t>
  </si>
  <si>
    <t>(Thực hiện đến ${tieude2.STR1}/${tieude2.STR2}/${tieude2.STR3})</t>
  </si>
  <si>
    <t>Trảng Bom</t>
  </si>
  <si>
    <t>Xuân Lộc</t>
  </si>
  <si>
    <t>Thống Nhất</t>
  </si>
  <si>
    <t>Long Khánh</t>
  </si>
  <si>
    <t>Cẩm Mỹ</t>
  </si>
  <si>
    <t>Định Quán</t>
  </si>
  <si>
    <t>Tân Phú</t>
  </si>
  <si>
    <t>Long Thành</t>
  </si>
  <si>
    <t>Nhơn Trạch</t>
  </si>
  <si>
    <t>${VHD.D2}</t>
  </si>
  <si>
    <t>${VHD.D3}</t>
  </si>
  <si>
    <t>${VHD.D4}</t>
  </si>
  <si>
    <t>${VHD.D5}</t>
  </si>
  <si>
    <t>${VHD.D6}</t>
  </si>
  <si>
    <t>${VHD.D7}</t>
  </si>
  <si>
    <t>${VHD.D8}</t>
  </si>
  <si>
    <t>${VHD.D9}</t>
  </si>
  <si>
    <t>${VHD.D10}</t>
  </si>
  <si>
    <t>${VHD.D11}</t>
  </si>
  <si>
    <t>${VHD.D12}</t>
  </si>
  <si>
    <t>${VHD_TG.D2}</t>
  </si>
  <si>
    <t>${VHD_TG.D3}</t>
  </si>
  <si>
    <t>${VHD_TG.D4}</t>
  </si>
  <si>
    <t>${VHD_TG.D5}</t>
  </si>
  <si>
    <t>${VHD_TG.D6}</t>
  </si>
  <si>
    <t>${VHD_TG.D7}</t>
  </si>
  <si>
    <t>${VHD_TG.D8}</t>
  </si>
  <si>
    <t>${VHD_TG.D9}</t>
  </si>
  <si>
    <t>${VHD_TG.D10}</t>
  </si>
  <si>
    <t>${VHD_TG.D11}</t>
  </si>
  <si>
    <t>${VHD_TG.D12}</t>
  </si>
  <si>
    <t>${VHD_KQHQ.D2}</t>
  </si>
  <si>
    <t>${VHD_KQHQ.D3}</t>
  </si>
  <si>
    <t>${VHD_KQHQ.D4}</t>
  </si>
  <si>
    <t>${VHD_KQHQ.D5}</t>
  </si>
  <si>
    <t>${VHD_KQHQ.D6}</t>
  </si>
  <si>
    <t>${VHD_KQHQ.D7}</t>
  </si>
  <si>
    <t>${VHD_KQHQ.D8}</t>
  </si>
  <si>
    <t>${VHD_KQHQ.D9}</t>
  </si>
  <si>
    <t>${VHD_KQHQ.D10}</t>
  </si>
  <si>
    <t>${VHD_KQHQ.D11}</t>
  </si>
  <si>
    <t>${VHD_KQHQ.D12}</t>
  </si>
  <si>
    <t>${VHD_NOXH.D2}</t>
  </si>
  <si>
    <t>${VHD_NOXH.D3}</t>
  </si>
  <si>
    <t>${VHD_NOXH.D4}</t>
  </si>
  <si>
    <t>${VHD_NOXH.D5}</t>
  </si>
  <si>
    <t>${VHD_NOXH.D6}</t>
  </si>
  <si>
    <t>${VHD_NOXH.D7}</t>
  </si>
  <si>
    <t>${VHD_NOXH.D8}</t>
  </si>
  <si>
    <t>${VHD_NOXH.D9}</t>
  </si>
  <si>
    <t>${VHD_NOXH.D10}</t>
  </si>
  <si>
    <t>${VHD_NOXH.D11}</t>
  </si>
  <si>
    <t>${VHD_NOXH.D12}</t>
  </si>
  <si>
    <t>${VHD_TKDC.D2}</t>
  </si>
  <si>
    <t>${VHD_TKDC.D3}</t>
  </si>
  <si>
    <t>${VHD_TKDC.D4}</t>
  </si>
  <si>
    <t>${VHD_TKDC.D5}</t>
  </si>
  <si>
    <t>${VHD_TKDC.D6}</t>
  </si>
  <si>
    <t>${VHD_TKDC.D7}</t>
  </si>
  <si>
    <t>${VHD_TKDC.D8}</t>
  </si>
  <si>
    <t>${VHD_TKDC.D9}</t>
  </si>
  <si>
    <t>${VHD_TKDC.D10}</t>
  </si>
  <si>
    <t>${VHD_TKDC.D11}</t>
  </si>
  <si>
    <t>${VHD_TKDC.D12}</t>
  </si>
  <si>
    <t>${VHD_TKXA.D2}</t>
  </si>
  <si>
    <t>${VHD_TKXA.D3}</t>
  </si>
  <si>
    <t>${VHD_TKXA.D4}</t>
  </si>
  <si>
    <t>${VHD_TKXA.D5}</t>
  </si>
  <si>
    <t>${VHD_TKXA.D6}</t>
  </si>
  <si>
    <t>${VHD_TKXA.D7}</t>
  </si>
  <si>
    <t>${VHD_TKXA.D8}</t>
  </si>
  <si>
    <t>${VHD_TKXA.D9}</t>
  </si>
  <si>
    <t>${VHD_TKXA.D10}</t>
  </si>
  <si>
    <t>${VHD_TKXA.D11}</t>
  </si>
  <si>
    <t>${VHD_TKXA.D12}</t>
  </si>
  <si>
    <t>${VHD_TKTO.D2}</t>
  </si>
  <si>
    <t>${VHD_TKTO.D3}</t>
  </si>
  <si>
    <t>${VHD_TKTO.D4}</t>
  </si>
  <si>
    <t>${VHD_TKTO.D5}</t>
  </si>
  <si>
    <t>${VHD_TKTO.D6}</t>
  </si>
  <si>
    <t>${VHD_TKTO.D7}</t>
  </si>
  <si>
    <t>${VHD_TKTO.D8}</t>
  </si>
  <si>
    <t>${VHD_TKTO.D9}</t>
  </si>
  <si>
    <t>${VHD_TKTO.D10}</t>
  </si>
  <si>
    <t>${VHD_TKTO.D11}</t>
  </si>
  <si>
    <t>${VHD_TKTO.D12}</t>
  </si>
  <si>
    <t>${VONDP_T.D2}</t>
  </si>
  <si>
    <t>${VONDP_T.D3}</t>
  </si>
  <si>
    <t>${VONDP_T.D4}</t>
  </si>
  <si>
    <t>${VONDP_T.D5}</t>
  </si>
  <si>
    <t>${VONDP_T.D6}</t>
  </si>
  <si>
    <t>${VONDP_T.D7}</t>
  </si>
  <si>
    <t>${VONDP_T.D8}</t>
  </si>
  <si>
    <t>${VONDP_T.D9}</t>
  </si>
  <si>
    <t>${VONDP_T.D10}</t>
  </si>
  <si>
    <t>${VONDP_T.D11}</t>
  </si>
  <si>
    <t>${VONDP_T.D12}</t>
  </si>
  <si>
    <t>${DN_NV1.D2}</t>
  </si>
  <si>
    <t>${DN_NV1.D3}</t>
  </si>
  <si>
    <t>${DN_NV1.D4}</t>
  </si>
  <si>
    <t>${DN_NV1.D5}</t>
  </si>
  <si>
    <t>${DN_NV1.D6}</t>
  </si>
  <si>
    <t>${DN_NV1.D7}</t>
  </si>
  <si>
    <t>${DN_NV1.D8}</t>
  </si>
  <si>
    <t>${DN_NV1.D9}</t>
  </si>
  <si>
    <t>${DN_NV1.D10}</t>
  </si>
  <si>
    <t>${DN_NV1.D11}</t>
  </si>
  <si>
    <t>${DN_NV1.D12}</t>
  </si>
  <si>
    <t>${DN_NV2.D2}</t>
  </si>
  <si>
    <t>${DN_NV2.D3}</t>
  </si>
  <si>
    <t>${DN_NV2.D4}</t>
  </si>
  <si>
    <t>${DN_NV2.D5}</t>
  </si>
  <si>
    <t>${DN_NV2.D6}</t>
  </si>
  <si>
    <t>${DN_NV2.D7}</t>
  </si>
  <si>
    <t>${DN_NV2.D8}</t>
  </si>
  <si>
    <t>${DN_NV2.D9}</t>
  </si>
  <si>
    <t>${DN_NV2.D10}</t>
  </si>
  <si>
    <t>${DN_NV2.D11}</t>
  </si>
  <si>
    <t>${DN_NV2.D12}</t>
  </si>
  <si>
    <t>${DN_NV1_QH.D2}</t>
  </si>
  <si>
    <t>${DN_NV1_QH.D3}</t>
  </si>
  <si>
    <t>${DN_NV1_QH.D4}</t>
  </si>
  <si>
    <t>${DN_NV1_QH.D5}</t>
  </si>
  <si>
    <t>${DN_NV1_QH.D6}</t>
  </si>
  <si>
    <t>${DN_NV1_QH.D7}</t>
  </si>
  <si>
    <t>${DN_NV1_QH.D8}</t>
  </si>
  <si>
    <t>${DN_NV1_QH.D9}</t>
  </si>
  <si>
    <t>${DN_NV1_QH.D10}</t>
  </si>
  <si>
    <t>${DN_NV1_QH.D11}</t>
  </si>
  <si>
    <t>${DN_NV1_QH.D12}</t>
  </si>
  <si>
    <t>${DN_NV2_QH.D2}</t>
  </si>
  <si>
    <t>${DN_NV2_QH.D3}</t>
  </si>
  <si>
    <t>${DN_NV2_QH.D4}</t>
  </si>
  <si>
    <t>${DN_NV2_QH.D5}</t>
  </si>
  <si>
    <t>${DN_NV2_QH.D6}</t>
  </si>
  <si>
    <t>${DN_NV2_QH.D7}</t>
  </si>
  <si>
    <t>${DN_NV2_QH.D8}</t>
  </si>
  <si>
    <t>${DN_NV2_QH.D9}</t>
  </si>
  <si>
    <t>${DN_NV2_QH.D10}</t>
  </si>
  <si>
    <t>${DN_NV2_QH.D11}</t>
  </si>
  <si>
    <t>${DN_NV2_QH.D12}</t>
  </si>
  <si>
    <t>${ATCT_TM.D2}</t>
  </si>
  <si>
    <t>${ATCT_TM.D3}</t>
  </si>
  <si>
    <t>${ATCT_TM.D4}</t>
  </si>
  <si>
    <t>${ATCT_TM.D5}</t>
  </si>
  <si>
    <t>${ATCT_TM.D6}</t>
  </si>
  <si>
    <t>${ATCT_TM.D7}</t>
  </si>
  <si>
    <t>${ATCT_TM.D8}</t>
  </si>
  <si>
    <t>${ATCT_TM.D9}</t>
  </si>
  <si>
    <t>${ATCT_TM.D10}</t>
  </si>
  <si>
    <t>${ATCT_TM.D11}</t>
  </si>
  <si>
    <t>${ATCT_TM.D12}</t>
  </si>
  <si>
    <t>${ATCT_TG.D2}</t>
  </si>
  <si>
    <t>${ATCT_TG.D3}</t>
  </si>
  <si>
    <t>${ATCT_TG.D4}</t>
  </si>
  <si>
    <t>${ATCT_TG.D5}</t>
  </si>
  <si>
    <t>${ATCT_TG.D6}</t>
  </si>
  <si>
    <t>${ATCT_TG.D7}</t>
  </si>
  <si>
    <t>${ATCT_TG.D8}</t>
  </si>
  <si>
    <t>${ATCT_TG.D9}</t>
  </si>
  <si>
    <t>${ATCT_TG.D10}</t>
  </si>
  <si>
    <t>${ATCT_TG.D11}</t>
  </si>
  <si>
    <t>${ATCT_TG.D12}</t>
  </si>
  <si>
    <t>${DN_CTR_QD_0101.D2}</t>
  </si>
  <si>
    <t>${DN_CTR_QD_0101.D3}</t>
  </si>
  <si>
    <t>${DN_CTR_QD_0101.D4}</t>
  </si>
  <si>
    <t>${DN_CTR_QD_0101.D5}</t>
  </si>
  <si>
    <t>${DN_CTR_QD_0101.D6}</t>
  </si>
  <si>
    <t>${DN_CTR_QD_0101.D7}</t>
  </si>
  <si>
    <t>${DN_CTR_QD_0101.D8}</t>
  </si>
  <si>
    <t>${DN_CTR_QD_0101.D9}</t>
  </si>
  <si>
    <t>${DN_CTR_QD_0101.D10}</t>
  </si>
  <si>
    <t>${DN_CTR_QD_0101.D11}</t>
  </si>
  <si>
    <t>${DN_CTR_QD_0101.D12}</t>
  </si>
  <si>
    <t>${DN_CTR_QD_0922.D2}</t>
  </si>
  <si>
    <t>${DN_CTR_QD_0922.D3}</t>
  </si>
  <si>
    <t>${DN_CTR_QD_0922.D4}</t>
  </si>
  <si>
    <t>${DN_CTR_QD_0922.D5}</t>
  </si>
  <si>
    <t>${DN_CTR_QD_0922.D6}</t>
  </si>
  <si>
    <t>${DN_CTR_QD_0922.D7}</t>
  </si>
  <si>
    <t>${DN_CTR_QD_0922.D8}</t>
  </si>
  <si>
    <t>${DN_CTR_QD_0922.D9}</t>
  </si>
  <si>
    <t>${DN_CTR_QD_0922.D10}</t>
  </si>
  <si>
    <t>${DN_CTR_QD_0922.D11}</t>
  </si>
  <si>
    <t>${DN_CTR_QD_0922.D12}</t>
  </si>
  <si>
    <t>${DN_CTR_QD_1919.D2}</t>
  </si>
  <si>
    <t>${DN_CTR_QD_1919.D3}</t>
  </si>
  <si>
    <t>${DN_CTR_QD_1919.D4}</t>
  </si>
  <si>
    <t>${DN_CTR_QD_1919.D5}</t>
  </si>
  <si>
    <t>${DN_CTR_QD_1919.D6}</t>
  </si>
  <si>
    <t>${DN_CTR_QD_1919.D7}</t>
  </si>
  <si>
    <t>${DN_CTR_QD_1919.D8}</t>
  </si>
  <si>
    <t>${DN_CTR_QD_1919.D9}</t>
  </si>
  <si>
    <t>${DN_CTR_QD_1919.D10}</t>
  </si>
  <si>
    <t>${DN_CTR_QD_1919.D11}</t>
  </si>
  <si>
    <t>${DN_CTR_QD_1919.D12}</t>
  </si>
  <si>
    <t>${DN_CTR_QD_0202.D2}</t>
  </si>
  <si>
    <t>${DN_CTR_QD_0202.D3}</t>
  </si>
  <si>
    <t>${DN_CTR_QD_0202.D4}</t>
  </si>
  <si>
    <t>${DN_CTR_QD_0202.D5}</t>
  </si>
  <si>
    <t>${DN_CTR_QD_0202.D6}</t>
  </si>
  <si>
    <t>${DN_CTR_QD_0202.D7}</t>
  </si>
  <si>
    <t>${DN_CTR_QD_0202.D8}</t>
  </si>
  <si>
    <t>${DN_CTR_QD_0202.D9}</t>
  </si>
  <si>
    <t>${DN_CTR_QD_0202.D10}</t>
  </si>
  <si>
    <t>${DN_CTR_QD_0202.D11}</t>
  </si>
  <si>
    <t>${DN_CTR_QD_0202.D12}</t>
  </si>
  <si>
    <t>${DN_CTR_QD_0606.D2}</t>
  </si>
  <si>
    <t>${DN_CTR_QD_0606.D3}</t>
  </si>
  <si>
    <t>${DN_CTR_QD_0606.D4}</t>
  </si>
  <si>
    <t>${DN_CTR_QD_0606.D5}</t>
  </si>
  <si>
    <t>${DN_CTR_QD_0606.D6}</t>
  </si>
  <si>
    <t>${DN_CTR_QD_0606.D7}</t>
  </si>
  <si>
    <t>${DN_CTR_QD_0606.D8}</t>
  </si>
  <si>
    <t>${DN_CTR_QD_0606.D9}</t>
  </si>
  <si>
    <t>${DN_CTR_QD_0606.D10}</t>
  </si>
  <si>
    <t>${DN_CTR_QD_0606.D11}</t>
  </si>
  <si>
    <t>${DN_CTR_QD_0606.D12}</t>
  </si>
  <si>
    <t>${DN_CTR_QD_0303.D2}</t>
  </si>
  <si>
    <t>${DN_CTR_QD_0303.D3}</t>
  </si>
  <si>
    <t>${DN_CTR_QD_0303.D4}</t>
  </si>
  <si>
    <t>${DN_CTR_QD_0303.D5}</t>
  </si>
  <si>
    <t>${DN_CTR_QD_0303.D6}</t>
  </si>
  <si>
    <t>${DN_CTR_QD_0303.D7}</t>
  </si>
  <si>
    <t>${DN_CTR_QD_0303.D8}</t>
  </si>
  <si>
    <t>${DN_CTR_QD_0303.D9}</t>
  </si>
  <si>
    <t>${DN_CTR_QD_0303.D10}</t>
  </si>
  <si>
    <t>${DN_CTR_QD_0303.D11}</t>
  </si>
  <si>
    <t>${DN_CTR_QD_0303.D12}</t>
  </si>
  <si>
    <t>${DN_CTR_QD_0707.D2}</t>
  </si>
  <si>
    <t>${DN_CTR_QD_0707.D3}</t>
  </si>
  <si>
    <t>${DN_CTR_QD_0707.D4}</t>
  </si>
  <si>
    <t>${DN_CTR_QD_0707.D5}</t>
  </si>
  <si>
    <t>${DN_CTR_QD_0707.D6}</t>
  </si>
  <si>
    <t>${DN_CTR_QD_0707.D7}</t>
  </si>
  <si>
    <t>${DN_CTR_QD_0707.D8}</t>
  </si>
  <si>
    <t>${DN_CTR_QD_0707.D9}</t>
  </si>
  <si>
    <t>${DN_CTR_QD_0707.D10}</t>
  </si>
  <si>
    <t>${DN_CTR_QD_0707.D11}</t>
  </si>
  <si>
    <t>${DN_CTR_QD_0707.D12}</t>
  </si>
  <si>
    <t>${DN_CTR_QD_0723.D2}</t>
  </si>
  <si>
    <t>${DN_CTR_QD_0723.D3}</t>
  </si>
  <si>
    <t>${DN_CTR_QD_0723.D4}</t>
  </si>
  <si>
    <t>${DN_CTR_QD_0723.D5}</t>
  </si>
  <si>
    <t>${DN_CTR_QD_0723.D6}</t>
  </si>
  <si>
    <t>${DN_CTR_QD_0723.D7}</t>
  </si>
  <si>
    <t>${DN_CTR_QD_0723.D8}</t>
  </si>
  <si>
    <t>${DN_CTR_QD_0723.D9}</t>
  </si>
  <si>
    <t>${DN_CTR_QD_0723.D10}</t>
  </si>
  <si>
    <t>${DN_CTR_QD_0723.D11}</t>
  </si>
  <si>
    <t>${DN_CTR_QD_0723.D12}</t>
  </si>
  <si>
    <t>${DN_CTR_QD_1226.D2}</t>
  </si>
  <si>
    <t>${DN_CTR_QD_1226.D3}</t>
  </si>
  <si>
    <t>${DN_CTR_QD_1226.D4}</t>
  </si>
  <si>
    <t>${DN_CTR_QD_1226.D5}</t>
  </si>
  <si>
    <t>${DN_CTR_QD_1226.D6}</t>
  </si>
  <si>
    <t>${DN_CTR_QD_1226.D7}</t>
  </si>
  <si>
    <t>${DN_CTR_QD_1226.D8}</t>
  </si>
  <si>
    <t>${DN_CTR_QD_1226.D9}</t>
  </si>
  <si>
    <t>${DN_CTR_QD_1226.D10}</t>
  </si>
  <si>
    <t>${DN_CTR_QD_1226.D11}</t>
  </si>
  <si>
    <t>${DN_CTR_QD_1226.D12}</t>
  </si>
  <si>
    <t>${DN_CTR_QD_1010.D2}</t>
  </si>
  <si>
    <t>${DN_CTR_QD_1010.D3}</t>
  </si>
  <si>
    <t>${DN_CTR_QD_1010.D4}</t>
  </si>
  <si>
    <t>${DN_CTR_QD_1010.D5}</t>
  </si>
  <si>
    <t>${DN_CTR_QD_1010.D6}</t>
  </si>
  <si>
    <t>${DN_CTR_QD_1010.D7}</t>
  </si>
  <si>
    <t>${DN_CTR_QD_1010.D8}</t>
  </si>
  <si>
    <t>${DN_CTR_QD_1010.D9}</t>
  </si>
  <si>
    <t>${DN_CTR_QD_1010.D10}</t>
  </si>
  <si>
    <t>${DN_CTR_QD_1010.D11}</t>
  </si>
  <si>
    <t>${DN_CTR_QD_1010.D12}</t>
  </si>
  <si>
    <t>${DN_CTR_QD_1515.D2}</t>
  </si>
  <si>
    <t>${DN_CTR_QD_1515.D3}</t>
  </si>
  <si>
    <t>${DN_CTR_QD_1515.D4}</t>
  </si>
  <si>
    <t>${DN_CTR_QD_1515.D5}</t>
  </si>
  <si>
    <t>${DN_CTR_QD_1515.D6}</t>
  </si>
  <si>
    <t>${DN_CTR_QD_1515.D7}</t>
  </si>
  <si>
    <t>${DN_CTR_QD_1515.D8}</t>
  </si>
  <si>
    <t>${DN_CTR_QD_1515.D9}</t>
  </si>
  <si>
    <t>${DN_CTR_QD_1515.D10}</t>
  </si>
  <si>
    <t>${DN_CTR_QD_1515.D11}</t>
  </si>
  <si>
    <t>${DN_CTR_QD_1515.D12}</t>
  </si>
  <si>
    <t>${DN_CTR_QD_1717.D2}</t>
  </si>
  <si>
    <t>${DN_CTR_QD_1717.D3}</t>
  </si>
  <si>
    <t>${DN_CTR_QD_1717.D4}</t>
  </si>
  <si>
    <t>${DN_CTR_QD_1717.D5}</t>
  </si>
  <si>
    <t>${DN_CTR_QD_1717.D6}</t>
  </si>
  <si>
    <t>${DN_CTR_QD_1717.D7}</t>
  </si>
  <si>
    <t>${DN_CTR_QD_1717.D8}</t>
  </si>
  <si>
    <t>${DN_CTR_QD_1717.D9}</t>
  </si>
  <si>
    <t>${DN_CTR_QD_1717.D10}</t>
  </si>
  <si>
    <t>${DN_CTR_QD_1717.D11}</t>
  </si>
  <si>
    <t>${DN_CTR_QD_1717.D12}</t>
  </si>
  <si>
    <t>${DN_CTR_QD_2127.D2}</t>
  </si>
  <si>
    <t>${DN_CTR_QD_2127.D3}</t>
  </si>
  <si>
    <t>${DN_CTR_QD_2127.D4}</t>
  </si>
  <si>
    <t>${DN_CTR_QD_2127.D5}</t>
  </si>
  <si>
    <t>${DN_CTR_QD_2127.D6}</t>
  </si>
  <si>
    <t>${DN_CTR_QD_2127.D7}</t>
  </si>
  <si>
    <t>${DN_CTR_QD_2127.D8}</t>
  </si>
  <si>
    <t>${DN_CTR_QD_2127.D9}</t>
  </si>
  <si>
    <t>${DN_CTR_QD_2127.D10}</t>
  </si>
  <si>
    <t>${DN_CTR_QD_2127.D11}</t>
  </si>
  <si>
    <t>${DN_CTR_QD_2127.D12}</t>
  </si>
  <si>
    <t>${DN_CTR_QD_04__.D2}</t>
  </si>
  <si>
    <t>${DN_CTR_QD_04__.D3}</t>
  </si>
  <si>
    <t>${DN_CTR_QD_04__.D4}</t>
  </si>
  <si>
    <t>${DN_CTR_QD_04__.D5}</t>
  </si>
  <si>
    <t>${DN_CTR_QD_04__.D6}</t>
  </si>
  <si>
    <t>${DN_CTR_QD_04__.D7}</t>
  </si>
  <si>
    <t>${DN_CTR_QD_04__.D8}</t>
  </si>
  <si>
    <t>${DN_CTR_QD_04__.D9}</t>
  </si>
  <si>
    <t>${DN_CTR_QD_04__.D10}</t>
  </si>
  <si>
    <t>${DN_CTR_QD_04__.D11}</t>
  </si>
  <si>
    <t>${DN_CTR_QD_04__.D12}</t>
  </si>
  <si>
    <t>${DN_CTR_QD_9999.D2}</t>
  </si>
  <si>
    <t>${DN_CTR_QD_9999.D3}</t>
  </si>
  <si>
    <t>${DN_CTR_QD_9999.D4}</t>
  </si>
  <si>
    <t>${DN_CTR_QD_9999.D5}</t>
  </si>
  <si>
    <t>${DN_CTR_QD_9999.D6}</t>
  </si>
  <si>
    <t>${DN_CTR_QD_9999.D7}</t>
  </si>
  <si>
    <t>${DN_CTR_QD_9999.D8}</t>
  </si>
  <si>
    <t>${DN_CTR_QD_9999.D9}</t>
  </si>
  <si>
    <t>${DN_CTR_QD_9999.D10}</t>
  </si>
  <si>
    <t>${DN_CTR_QD_9999.D11}</t>
  </si>
  <si>
    <t>${DN_CTR_QD_9999.D12}</t>
  </si>
  <si>
    <t>${DN_CTR_QD_2331.D2}</t>
  </si>
  <si>
    <t>${DN_CTR_QD_2331.D3}</t>
  </si>
  <si>
    <t>${DN_CTR_QD_2331.D4}</t>
  </si>
  <si>
    <t>${DN_CTR_QD_2331.D5}</t>
  </si>
  <si>
    <t>${DN_CTR_QD_2331.D6}</t>
  </si>
  <si>
    <t>${DN_CTR_QD_2331.D7}</t>
  </si>
  <si>
    <t>${DN_CTR_QD_2331.D8}</t>
  </si>
  <si>
    <t>${DN_CTR_QD_2331.D9}</t>
  </si>
  <si>
    <t>${DN_CTR_QD_2331.D10}</t>
  </si>
  <si>
    <t>${DN_CTR_QD_2331.D11}</t>
  </si>
  <si>
    <t>${DN_CTR_QD_2331.D12}</t>
  </si>
  <si>
    <t>${DN_CTR_QD_NV_010101.D2}</t>
  </si>
  <si>
    <t>${DN_CTR_QD_NV_010101.D3}</t>
  </si>
  <si>
    <t>${DN_CTR_QD_NV_010101.D4}</t>
  </si>
  <si>
    <t>${DN_CTR_QD_NV_010101.D5}</t>
  </si>
  <si>
    <t>${DN_CTR_QD_NV_010101.D6}</t>
  </si>
  <si>
    <t>${DN_CTR_QD_NV_010101.D7}</t>
  </si>
  <si>
    <t>${DN_CTR_QD_NV_010101.D8}</t>
  </si>
  <si>
    <t>${DN_CTR_QD_NV_010101.D9}</t>
  </si>
  <si>
    <t>${DN_CTR_QD_NV_010101.D10}</t>
  </si>
  <si>
    <t>${DN_CTR_QD_NV_010101.D11}</t>
  </si>
  <si>
    <t>${DN_CTR_QD_NV_010101.D12}</t>
  </si>
  <si>
    <t>${DN_CTR_QD_NV_010102.D2}</t>
  </si>
  <si>
    <t>${DN_CTR_QD_NV_010102.D3}</t>
  </si>
  <si>
    <t>${DN_CTR_QD_NV_010102.D4}</t>
  </si>
  <si>
    <t>${DN_CTR_QD_NV_010102.D5}</t>
  </si>
  <si>
    <t>${DN_CTR_QD_NV_010102.D6}</t>
  </si>
  <si>
    <t>${DN_CTR_QD_NV_010102.D7}</t>
  </si>
  <si>
    <t>${DN_CTR_QD_NV_010102.D8}</t>
  </si>
  <si>
    <t>${DN_CTR_QD_NV_010102.D9}</t>
  </si>
  <si>
    <t>${DN_CTR_QD_NV_010102.D10}</t>
  </si>
  <si>
    <t>${DN_CTR_QD_NV_010102.D11}</t>
  </si>
  <si>
    <t>${DN_CTR_QD_NV_010102.D12}</t>
  </si>
  <si>
    <t>${DN_CTR_QD_NV_191901.D2}</t>
  </si>
  <si>
    <t>${DN_CTR_QD_NV_191901.D3}</t>
  </si>
  <si>
    <t>${DN_CTR_QD_NV_191901.D4}</t>
  </si>
  <si>
    <t>${DN_CTR_QD_NV_191901.D5}</t>
  </si>
  <si>
    <t>${DN_CTR_QD_NV_191901.D6}</t>
  </si>
  <si>
    <t>${DN_CTR_QD_NV_191901.D7}</t>
  </si>
  <si>
    <t>${DN_CTR_QD_NV_191901.D8}</t>
  </si>
  <si>
    <t>${DN_CTR_QD_NV_191901.D9}</t>
  </si>
  <si>
    <t>${DN_CTR_QD_NV_191901.D10}</t>
  </si>
  <si>
    <t>${DN_CTR_QD_NV_191901.D11}</t>
  </si>
  <si>
    <t>${DN_CTR_QD_NV_191901.D12}</t>
  </si>
  <si>
    <t>${DN_CTR_QD_NV_191902.D2}</t>
  </si>
  <si>
    <t>${DN_CTR_QD_NV_191902.D3}</t>
  </si>
  <si>
    <t>${DN_CTR_QD_NV_191902.D4}</t>
  </si>
  <si>
    <t>${DN_CTR_QD_NV_191902.D5}</t>
  </si>
  <si>
    <t>${DN_CTR_QD_NV_191902.D6}</t>
  </si>
  <si>
    <t>${DN_CTR_QD_NV_191902.D7}</t>
  </si>
  <si>
    <t>${DN_CTR_QD_NV_191902.D8}</t>
  </si>
  <si>
    <t>${DN_CTR_QD_NV_191902.D9}</t>
  </si>
  <si>
    <t>${DN_CTR_QD_NV_191902.D10}</t>
  </si>
  <si>
    <t>${DN_CTR_QD_NV_191902.D11}</t>
  </si>
  <si>
    <t>${DN_CTR_QD_NV_191902.D12}</t>
  </si>
  <si>
    <t>${DN_CTR_QD_NV_092201.D2}</t>
  </si>
  <si>
    <t>${DN_CTR_QD_NV_092201.D3}</t>
  </si>
  <si>
    <t>${DN_CTR_QD_NV_092201.D4}</t>
  </si>
  <si>
    <t>${DN_CTR_QD_NV_092201.D5}</t>
  </si>
  <si>
    <t>${DN_CTR_QD_NV_092201.D6}</t>
  </si>
  <si>
    <t>${DN_CTR_QD_NV_092201.D7}</t>
  </si>
  <si>
    <t>${DN_CTR_QD_NV_092201.D8}</t>
  </si>
  <si>
    <t>${DN_CTR_QD_NV_092201.D9}</t>
  </si>
  <si>
    <t>${DN_CTR_QD_NV_092201.D10}</t>
  </si>
  <si>
    <t>${DN_CTR_QD_NV_092201.D11}</t>
  </si>
  <si>
    <t>${DN_CTR_QD_NV_092201.D12}</t>
  </si>
  <si>
    <t>${DN_CTR_QD_NV_092202.D2}</t>
  </si>
  <si>
    <t>${DN_CTR_QD_NV_092202.D3}</t>
  </si>
  <si>
    <t>${DN_CTR_QD_NV_092202.D4}</t>
  </si>
  <si>
    <t>${DN_CTR_QD_NV_092202.D5}</t>
  </si>
  <si>
    <t>${DN_CTR_QD_NV_092202.D6}</t>
  </si>
  <si>
    <t>${DN_CTR_QD_NV_092202.D7}</t>
  </si>
  <si>
    <t>${DN_CTR_QD_NV_092202.D8}</t>
  </si>
  <si>
    <t>${DN_CTR_QD_NV_092202.D9}</t>
  </si>
  <si>
    <t>${DN_CTR_QD_NV_092202.D10}</t>
  </si>
  <si>
    <t>${DN_CTR_QD_NV_092202.D11}</t>
  </si>
  <si>
    <t>${DN_CTR_QD_NV_092202.D12}</t>
  </si>
  <si>
    <t>${DN_CTR_QD_NV_060601.D2}</t>
  </si>
  <si>
    <t>${DN_CTR_QD_NV_060601.D3}</t>
  </si>
  <si>
    <t>${DN_CTR_QD_NV_060601.D4}</t>
  </si>
  <si>
    <t>${DN_CTR_QD_NV_060601.D5}</t>
  </si>
  <si>
    <t>${DN_CTR_QD_NV_060601.D6}</t>
  </si>
  <si>
    <t>${DN_CTR_QD_NV_060601.D7}</t>
  </si>
  <si>
    <t>${DN_CTR_QD_NV_060601.D8}</t>
  </si>
  <si>
    <t>${DN_CTR_QD_NV_060601.D9}</t>
  </si>
  <si>
    <t>${DN_CTR_QD_NV_060601.D10}</t>
  </si>
  <si>
    <t>${DN_CTR_QD_NV_060601.D11}</t>
  </si>
  <si>
    <t>${DN_CTR_QD_NV_060601.D12}</t>
  </si>
  <si>
    <t>${DN_CTR_QD_NV_060602.D2}</t>
  </si>
  <si>
    <t>${DN_CTR_QD_NV_060602.D3}</t>
  </si>
  <si>
    <t>${DN_CTR_QD_NV_060602.D4}</t>
  </si>
  <si>
    <t>${DN_CTR_QD_NV_060602.D5}</t>
  </si>
  <si>
    <t>${DN_CTR_QD_NV_060602.D6}</t>
  </si>
  <si>
    <t>${DN_CTR_QD_NV_060602.D7}</t>
  </si>
  <si>
    <t>${DN_CTR_QD_NV_060602.D8}</t>
  </si>
  <si>
    <t>${DN_CTR_QD_NV_060602.D9}</t>
  </si>
  <si>
    <t>${DN_CTR_QD_NV_060602.D10}</t>
  </si>
  <si>
    <t>${DN_CTR_QD_NV_060602.D11}</t>
  </si>
  <si>
    <t>${DN_CTR_QD_NV_060602.D12}</t>
  </si>
  <si>
    <t>${DN_CTR_QD_NV_122601.D2}</t>
  </si>
  <si>
    <t>${DN_CTR_QD_NV_122601.D3}</t>
  </si>
  <si>
    <t>${DN_CTR_QD_NV_122601.D4}</t>
  </si>
  <si>
    <t>${DN_CTR_QD_NV_122601.D5}</t>
  </si>
  <si>
    <t>${DN_CTR_QD_NV_122601.D6}</t>
  </si>
  <si>
    <t>${DN_CTR_QD_NV_122601.D7}</t>
  </si>
  <si>
    <t>${DN_CTR_QD_NV_122601.D8}</t>
  </si>
  <si>
    <t>${DN_CTR_QD_NV_122601.D9}</t>
  </si>
  <si>
    <t>${DN_CTR_QD_NV_122601.D10}</t>
  </si>
  <si>
    <t>${DN_CTR_QD_NV_122601.D11}</t>
  </si>
  <si>
    <t>${DN_CTR_QD_NV_122601.D12}</t>
  </si>
  <si>
    <t>${DN_CTR_QD_NV_122602.D2}</t>
  </si>
  <si>
    <t>${DN_CTR_QD_NV_122602.D3}</t>
  </si>
  <si>
    <t>${DN_CTR_QD_NV_122602.D4}</t>
  </si>
  <si>
    <t>${DN_CTR_QD_NV_122602.D5}</t>
  </si>
  <si>
    <t>${DN_CTR_QD_NV_122602.D6}</t>
  </si>
  <si>
    <t>${DN_CTR_QD_NV_122602.D7}</t>
  </si>
  <si>
    <t>${DN_CTR_QD_NV_122602.D8}</t>
  </si>
  <si>
    <t>${DN_CTR_QD_NV_122602.D9}</t>
  </si>
  <si>
    <t>${DN_CTR_QD_NV_122602.D10}</t>
  </si>
  <si>
    <t>${DN_CTR_QD_NV_122602.D11}</t>
  </si>
  <si>
    <t>${DN_CTR_QD_NV_122602.D12}</t>
  </si>
  <si>
    <t>${DN_CTR_QD_NV_171701.D2}</t>
  </si>
  <si>
    <t>${DN_CTR_QD_NV_171701.D3}</t>
  </si>
  <si>
    <t>${DN_CTR_QD_NV_171701.D4}</t>
  </si>
  <si>
    <t>${DN_CTR_QD_NV_171701.D5}</t>
  </si>
  <si>
    <t>${DN_CTR_QD_NV_171701.D6}</t>
  </si>
  <si>
    <t>${DN_CTR_QD_NV_171701.D7}</t>
  </si>
  <si>
    <t>${DN_CTR_QD_NV_171701.D8}</t>
  </si>
  <si>
    <t>${DN_CTR_QD_NV_171701.D9}</t>
  </si>
  <si>
    <t>${DN_CTR_QD_NV_171701.D10}</t>
  </si>
  <si>
    <t>${DN_CTR_QD_NV_171701.D11}</t>
  </si>
  <si>
    <t>${DN_CTR_QD_NV_171701.D12}</t>
  </si>
  <si>
    <t>${DN_CTR_QD_NV_171702.D2}</t>
  </si>
  <si>
    <t>${DN_CTR_QD_NV_171702.D3}</t>
  </si>
  <si>
    <t>${DN_CTR_QD_NV_171702.D4}</t>
  </si>
  <si>
    <t>${DN_CTR_QD_NV_171702.D5}</t>
  </si>
  <si>
    <t>${DN_CTR_QD_NV_171702.D6}</t>
  </si>
  <si>
    <t>${DN_CTR_QD_NV_171702.D7}</t>
  </si>
  <si>
    <t>${DN_CTR_QD_NV_171702.D8}</t>
  </si>
  <si>
    <t>${DN_CTR_QD_NV_171702.D9}</t>
  </si>
  <si>
    <t>${DN_CTR_QD_NV_171702.D10}</t>
  </si>
  <si>
    <t>${DN_CTR_QD_NV_171702.D11}</t>
  </si>
  <si>
    <t>${DN_CTR_QD_NV_171702.D12}</t>
  </si>
  <si>
    <t>${DN_CTR_QD_NV_212701.D2}</t>
  </si>
  <si>
    <t>${DN_CTR_QD_NV_212701.D3}</t>
  </si>
  <si>
    <t>${DN_CTR_QD_NV_212701.D4}</t>
  </si>
  <si>
    <t>${DN_CTR_QD_NV_212701.D5}</t>
  </si>
  <si>
    <t>${DN_CTR_QD_NV_212701.D6}</t>
  </si>
  <si>
    <t>${DN_CTR_QD_NV_212701.D7}</t>
  </si>
  <si>
    <t>${DN_CTR_QD_NV_212701.D8}</t>
  </si>
  <si>
    <t>${DN_CTR_QD_NV_212701.D9}</t>
  </si>
  <si>
    <t>${DN_CTR_QD_NV_212701.D10}</t>
  </si>
  <si>
    <t>${DN_CTR_QD_NV_212701.D11}</t>
  </si>
  <si>
    <t>${DN_CTR_QD_NV_212701.D12}</t>
  </si>
  <si>
    <t>${DN_CTR_QD_NV_212702.D2}</t>
  </si>
  <si>
    <t>${DN_CTR_QD_NV_212702.D3}</t>
  </si>
  <si>
    <t>${DN_CTR_QD_NV_212702.D4}</t>
  </si>
  <si>
    <t>${DN_CTR_QD_NV_212702.D5}</t>
  </si>
  <si>
    <t>${DN_CTR_QD_NV_212702.D6}</t>
  </si>
  <si>
    <t>${DN_CTR_QD_NV_212702.D7}</t>
  </si>
  <si>
    <t>${DN_CTR_QD_NV_212702.D8}</t>
  </si>
  <si>
    <t>${DN_CTR_QD_NV_212702.D9}</t>
  </si>
  <si>
    <t>${DN_CTR_QD_NV_212702.D10}</t>
  </si>
  <si>
    <t>${DN_CTR_QD_NV_212702.D11}</t>
  </si>
  <si>
    <t>${DN_CTR_QD_NV_212702.D12}</t>
  </si>
  <si>
    <t>${DN_CTR_QD_NV_042401.D2}</t>
  </si>
  <si>
    <t>${DN_CTR_QD_NV_042401.D3}</t>
  </si>
  <si>
    <t>${DN_CTR_QD_NV_042401.D4}</t>
  </si>
  <si>
    <t>${DN_CTR_QD_NV_042401.D5}</t>
  </si>
  <si>
    <t>${DN_CTR_QD_NV_042401.D6}</t>
  </si>
  <si>
    <t>${DN_CTR_QD_NV_042401.D7}</t>
  </si>
  <si>
    <t>${DN_CTR_QD_NV_042401.D8}</t>
  </si>
  <si>
    <t>${DN_CTR_QD_NV_042401.D9}</t>
  </si>
  <si>
    <t>${DN_CTR_QD_NV_042401.D10}</t>
  </si>
  <si>
    <t>${DN_CTR_QD_NV_042401.D11}</t>
  </si>
  <si>
    <t>${DN_CTR_QD_NV_042401.D12}</t>
  </si>
  <si>
    <t>${DN_CTR_QD_NV_030301QQG.D2}</t>
  </si>
  <si>
    <t>${DN_CTR_QD_NV_030301QQG.D3}</t>
  </si>
  <si>
    <t>${DN_CTR_QD_NV_030301QQG.D4}</t>
  </si>
  <si>
    <t>${DN_CTR_QD_NV_030301QQG.D5}</t>
  </si>
  <si>
    <t>${DN_CTR_QD_NV_030301QQG.D6}</t>
  </si>
  <si>
    <t>${DN_CTR_QD_NV_030301QQG.D7}</t>
  </si>
  <si>
    <t>${DN_CTR_QD_NV_030301QQG.D8}</t>
  </si>
  <si>
    <t>${DN_CTR_QD_NV_030301QQG.D9}</t>
  </si>
  <si>
    <t>${DN_CTR_QD_NV_030301QQG.D10}</t>
  </si>
  <si>
    <t>${DN_CTR_QD_NV_030301QQG.D11}</t>
  </si>
  <si>
    <t>${DN_CTR_QD_NV_030301QQG.D12}</t>
  </si>
  <si>
    <t>${DN_CTR_QD_NV_030301UBND.D2}</t>
  </si>
  <si>
    <t>${DN_CTR_QD_NV_030301UBND.D3}</t>
  </si>
  <si>
    <t>${DN_CTR_QD_NV_030301UBND.D4}</t>
  </si>
  <si>
    <t>${DN_CTR_QD_NV_030301UBND.D5}</t>
  </si>
  <si>
    <t>${DN_CTR_QD_NV_030301UBND.D6}</t>
  </si>
  <si>
    <t>${DN_CTR_QD_NV_030301UBND.D7}</t>
  </si>
  <si>
    <t>${DN_CTR_QD_NV_030301UBND.D8}</t>
  </si>
  <si>
    <t>${DN_CTR_QD_NV_030301UBND.D9}</t>
  </si>
  <si>
    <t>${DN_CTR_QD_NV_030301UBND.D10}</t>
  </si>
  <si>
    <t>${DN_CTR_QD_NV_030301UBND.D11}</t>
  </si>
  <si>
    <t>${DN_CTR_QD_NV_030301UBND.D12}</t>
  </si>
  <si>
    <t>${DN_CTR_QD_NV_030301HDT.D2}</t>
  </si>
  <si>
    <t>${DN_CTR_QD_NV_030301HDT.D3}</t>
  </si>
  <si>
    <t>${DN_CTR_QD_NV_030301HDT.D4}</t>
  </si>
  <si>
    <t>${DN_CTR_QD_NV_030301HDT.D5}</t>
  </si>
  <si>
    <t>${DN_CTR_QD_NV_030301HDT.D6}</t>
  </si>
  <si>
    <t>${DN_CTR_QD_NV_030301HDT.D7}</t>
  </si>
  <si>
    <t>${DN_CTR_QD_NV_030301HDT.D8}</t>
  </si>
  <si>
    <t>${DN_CTR_QD_NV_030301HDT.D9}</t>
  </si>
  <si>
    <t>${DN_CTR_QD_NV_030301HDT.D10}</t>
  </si>
  <si>
    <t>${DN_CTR_QD_NV_030301HDT.D11}</t>
  </si>
  <si>
    <t>${DN_CTR_QD_NV_030301HDT.D12}</t>
  </si>
  <si>
    <t>${DN_CTR_QD_NV_030301HD.D2}</t>
  </si>
  <si>
    <t>${DN_CTR_QD_NV_030301HD.D3}</t>
  </si>
  <si>
    <t>${DN_CTR_QD_NV_030301HD.D4}</t>
  </si>
  <si>
    <t>${DN_CTR_QD_NV_030301HD.D5}</t>
  </si>
  <si>
    <t>${DN_CTR_QD_NV_030301HD.D6}</t>
  </si>
  <si>
    <t>${DN_CTR_QD_NV_030301HD.D7}</t>
  </si>
  <si>
    <t>${DN_CTR_QD_NV_030301HD.D8}</t>
  </si>
  <si>
    <t>${DN_CTR_QD_NV_030301HD.D9}</t>
  </si>
  <si>
    <t>${DN_CTR_QD_NV_030301HD.D10}</t>
  </si>
  <si>
    <t>${DN_CTR_QD_NV_030301HD.D11}</t>
  </si>
  <si>
    <t>${DN_CTR_QD_NV_030301HD.D12}</t>
  </si>
  <si>
    <t>${DN_CTR_QD_NV_030302.D2}</t>
  </si>
  <si>
    <t>${DN_CTR_QD_NV_030302.D3}</t>
  </si>
  <si>
    <t>${DN_CTR_QD_NV_030302.D4}</t>
  </si>
  <si>
    <t>${DN_CTR_QD_NV_030302.D5}</t>
  </si>
  <si>
    <t>${DN_CTR_QD_NV_030302.D6}</t>
  </si>
  <si>
    <t>${DN_CTR_QD_NV_030302.D7}</t>
  </si>
  <si>
    <t>${DN_CTR_QD_NV_030302.D8}</t>
  </si>
  <si>
    <t>${DN_CTR_QD_NV_030302.D9}</t>
  </si>
  <si>
    <t>${DN_CTR_QD_NV_030302.D10}</t>
  </si>
  <si>
    <t>${DN_CTR_QD_NV_030302.D11}</t>
  </si>
  <si>
    <t>${DN_CTR_QD_NV_030302.D12}</t>
  </si>
  <si>
    <t>${DN_CTR_QD_NV_030302DTN.D2}</t>
  </si>
  <si>
    <t>${DN_CTR_QD_NV_030302DTN.D3}</t>
  </si>
  <si>
    <t>${DN_CTR_QD_NV_030302DTN.D4}</t>
  </si>
  <si>
    <t>${DN_CTR_QD_NV_030302DTN.D5}</t>
  </si>
  <si>
    <t>${DN_CTR_QD_NV_030302DTN.D6}</t>
  </si>
  <si>
    <t>${DN_CTR_QD_NV_030302DTN.D7}</t>
  </si>
  <si>
    <t>${DN_CTR_QD_NV_030302DTN.D8}</t>
  </si>
  <si>
    <t>${DN_CTR_QD_NV_030302DTN.D9}</t>
  </si>
  <si>
    <t>${DN_CTR_QD_NV_030302DTN.D10}</t>
  </si>
  <si>
    <t>${DN_CTR_QD_NV_030302DTN.D11}</t>
  </si>
  <si>
    <t>${DN_CTR_QD_NV_030302DTN.D12}</t>
  </si>
  <si>
    <t>${DN_CTR_QD_NV_030302TT.D2}</t>
  </si>
  <si>
    <t>${DN_CTR_QD_NV_030302TT.D3}</t>
  </si>
  <si>
    <t>${DN_CTR_QD_NV_030302TT.D4}</t>
  </si>
  <si>
    <t>${DN_CTR_QD_NV_030302TT.D5}</t>
  </si>
  <si>
    <t>${DN_CTR_QD_NV_030302TT.D6}</t>
  </si>
  <si>
    <t>${DN_CTR_QD_NV_030302TT.D7}</t>
  </si>
  <si>
    <t>${DN_CTR_QD_NV_030302TT.D8}</t>
  </si>
  <si>
    <t>${DN_CTR_QD_NV_030302TT.D9}</t>
  </si>
  <si>
    <t>${DN_CTR_QD_NV_030302TT.D10}</t>
  </si>
  <si>
    <t>${DN_CTR_QD_NV_030302TT.D11}</t>
  </si>
  <si>
    <t>${DN_CTR_QD_NV_030302TT.D12}</t>
  </si>
  <si>
    <t>CÂN ĐỐI NGUỒN VỐN VÀ SỬ DỤNG VỐN NĂM ${tieude3.STR3}</t>
  </si>
  <si>
    <t>${DM_ATCT.D2}</t>
  </si>
  <si>
    <t>${DM_ATCT.D3}</t>
  </si>
  <si>
    <t>${DM_ATCT.D4}</t>
  </si>
  <si>
    <t>${DM_ATCT.D5}</t>
  </si>
  <si>
    <t>${DM_ATCT.D6}</t>
  </si>
  <si>
    <t>${DM_ATCT.D7}</t>
  </si>
  <si>
    <t>${DM_ATCT.D8}</t>
  </si>
  <si>
    <t>${DM_ATCT.D9}</t>
  </si>
  <si>
    <t>${DM_ATCT.D10}</t>
  </si>
  <si>
    <t>${DM_ATCT.D11}</t>
  </si>
  <si>
    <t>${DM_ATCT.D12}</t>
  </si>
  <si>
    <t>${DN_NV1_PRE_M.D2}</t>
  </si>
  <si>
    <t>${DN_NV1_PRE_M.D11}</t>
  </si>
  <si>
    <t>${DN_NV1_PRE_M.D4}</t>
  </si>
  <si>
    <t>${DN_NV1_PRE_M.D6}</t>
  </si>
  <si>
    <t>${DN_NV1_PRE_M.D8}</t>
  </si>
  <si>
    <t>${DN_NV1_PRE_M.D9}</t>
  </si>
  <si>
    <t>${DN_NV1_PRE_M.D3}</t>
  </si>
  <si>
    <t>${DN_NV1_PRE_M.D10}</t>
  </si>
  <si>
    <t>${DN_NV1_PRE_M.D5}</t>
  </si>
  <si>
    <t>${DN_NV1_PRE_M.D7}</t>
  </si>
  <si>
    <t>${DN_NV1_PRE_M.D12}</t>
  </si>
  <si>
    <t>So với đầu năm</t>
  </si>
  <si>
    <t>So với đầu tháng</t>
  </si>
  <si>
    <t>${DN_NV1_PRE_Y.D2}</t>
  </si>
  <si>
    <t>${DN_NV1_PRE_Y.D11}</t>
  </si>
  <si>
    <t>${DN_NV1_PRE_Y.D4}</t>
  </si>
  <si>
    <t>${DN_NV1_PRE_Y.D6}</t>
  </si>
  <si>
    <t>${DN_NV1_PRE_Y.D8}</t>
  </si>
  <si>
    <t>${DN_NV1_PRE_Y.D9}</t>
  </si>
  <si>
    <t>${DN_NV1_PRE_Y.D3}</t>
  </si>
  <si>
    <t>${DN_NV1_PRE_Y.D10}</t>
  </si>
  <si>
    <t>${DN_NV1_PRE_Y.D5}</t>
  </si>
  <si>
    <t>${DN_NV1_PRE_Y.D7}</t>
  </si>
  <si>
    <t>${DN_NV1_PRE_Y.D12}</t>
  </si>
  <si>
    <t>${DN_NV2_PRE_M.D2}</t>
  </si>
  <si>
    <t>${DN_NV2_PRE_M.D11}</t>
  </si>
  <si>
    <t>${DN_NV2_PRE_M.D4}</t>
  </si>
  <si>
    <t>${DN_NV2_PRE_M.D6}</t>
  </si>
  <si>
    <t>${DN_NV2_PRE_M.D8}</t>
  </si>
  <si>
    <t>${DN_NV2_PRE_M.D9}</t>
  </si>
  <si>
    <t>${DN_NV2_PRE_M.D3}</t>
  </si>
  <si>
    <t>${DN_NV2_PRE_M.D10}</t>
  </si>
  <si>
    <t>${DN_NV2_PRE_M.D5}</t>
  </si>
  <si>
    <t>${DN_NV2_PRE_M.D7}</t>
  </si>
  <si>
    <t>${DN_NV2_PRE_M.D12}</t>
  </si>
  <si>
    <t>${DN_NV2_PRE_Y.D2}</t>
  </si>
  <si>
    <t>${DN_NV2_PRE_Y.D11}</t>
  </si>
  <si>
    <t>${DN_NV2_PRE_Y.D4}</t>
  </si>
  <si>
    <t>${DN_NV2_PRE_Y.D6}</t>
  </si>
  <si>
    <t>${DN_NV2_PRE_Y.D8}</t>
  </si>
  <si>
    <t>${DN_NV2_PRE_Y.D9}</t>
  </si>
  <si>
    <t>${DN_NV2_PRE_Y.D3}</t>
  </si>
  <si>
    <t>${DN_NV2_PRE_Y.D10}</t>
  </si>
  <si>
    <t>${DN_NV2_PRE_Y.D5}</t>
  </si>
  <si>
    <t>${DN_NV2_PRE_Y.D7}</t>
  </si>
  <si>
    <t>${DN_NV2_PRE_Y.D12}</t>
  </si>
  <si>
    <t xml:space="preserve">                  So với đầu tháng</t>
  </si>
  <si>
    <t>${DN_NV1_QH_PRE_M.D2}</t>
  </si>
  <si>
    <t>${DN_NV1_QH_PRE_M.D11}</t>
  </si>
  <si>
    <t>${DN_NV1_QH_PRE_M.D4}</t>
  </si>
  <si>
    <t>${DN_NV1_QH_PRE_M.D6}</t>
  </si>
  <si>
    <t>${DN_NV1_QH_PRE_M.D8}</t>
  </si>
  <si>
    <t>${DN_NV1_QH_PRE_M.D9}</t>
  </si>
  <si>
    <t>${DN_NV1_QH_PRE_M.D3}</t>
  </si>
  <si>
    <t>${DN_NV1_QH_PRE_M.D10}</t>
  </si>
  <si>
    <t>${DN_NV1_QH_PRE_M.D5}</t>
  </si>
  <si>
    <t>${DN_NV1_QH_PRE_M.D7}</t>
  </si>
  <si>
    <t>${DN_NV1_QH_PRE_M.D12}</t>
  </si>
  <si>
    <t xml:space="preserve">                  So với đầu năm</t>
  </si>
  <si>
    <t>${DN_NV1_QH_PRE_Y.D2}</t>
  </si>
  <si>
    <t>${DN_NV1_QH_PRE_Y.D11}</t>
  </si>
  <si>
    <t>${DN_NV1_QH_PRE_Y.D4}</t>
  </si>
  <si>
    <t>${DN_NV1_QH_PRE_Y.D6}</t>
  </si>
  <si>
    <t>${DN_NV1_QH_PRE_Y.D8}</t>
  </si>
  <si>
    <t>${DN_NV1_QH_PRE_Y.D9}</t>
  </si>
  <si>
    <t>${DN_NV1_QH_PRE_Y.D3}</t>
  </si>
  <si>
    <t>${DN_NV1_QH_PRE_Y.D10}</t>
  </si>
  <si>
    <t>${DN_NV1_QH_PRE_Y.D5}</t>
  </si>
  <si>
    <t>${DN_NV1_QH_PRE_Y.D7}</t>
  </si>
  <si>
    <t>${DN_NV1_QH_PRE_Y.D12}</t>
  </si>
  <si>
    <t>${DN_NV2_QH_PRE_M.D2}</t>
  </si>
  <si>
    <t>${DN_NV2_QH_PRE_M.D11}</t>
  </si>
  <si>
    <t>${DN_NV2_QH_PRE_M.D4}</t>
  </si>
  <si>
    <t>${DN_NV2_QH_PRE_M.D6}</t>
  </si>
  <si>
    <t>${DN_NV2_QH_PRE_M.D8}</t>
  </si>
  <si>
    <t>${DN_NV2_QH_PRE_M.D9}</t>
  </si>
  <si>
    <t>${DN_NV2_QH_PRE_M.D3}</t>
  </si>
  <si>
    <t>${DN_NV2_QH_PRE_M.D10}</t>
  </si>
  <si>
    <t>${DN_NV2_QH_PRE_M.D5}</t>
  </si>
  <si>
    <t>${DN_NV2_QH_PRE_M.D7}</t>
  </si>
  <si>
    <t>${DN_NV2_QH_PRE_M.D12}</t>
  </si>
  <si>
    <t>${DN_NV2_QH_PRE_Y.D2}</t>
  </si>
  <si>
    <t>${DN_NV2_QH_PRE_Y.D11}</t>
  </si>
  <si>
    <t>${DN_NV2_QH_PRE_Y.D4}</t>
  </si>
  <si>
    <t>${DN_NV2_QH_PRE_Y.D6}</t>
  </si>
  <si>
    <t>${DN_NV2_QH_PRE_Y.D8}</t>
  </si>
  <si>
    <t>${DN_NV2_QH_PRE_Y.D9}</t>
  </si>
  <si>
    <t>${DN_NV2_QH_PRE_Y.D3}</t>
  </si>
  <si>
    <t>${DN_NV2_QH_PRE_Y.D10}</t>
  </si>
  <si>
    <t>${DN_NV2_QH_PRE_Y.D5}</t>
  </si>
  <si>
    <t>${DN_NV2_QH_PRE_Y.D7}</t>
  </si>
  <si>
    <t>${DN_NV2_QH_PRE_Y.D12}</t>
  </si>
  <si>
    <t xml:space="preserve">             + Vốn Hội đoàn thể…quản lý</t>
  </si>
  <si>
    <t xml:space="preserve">             + Cho vay GQVL thông thường</t>
  </si>
  <si>
    <t>${VHD.STR1}</t>
  </si>
  <si>
    <t>${VHD_TG.STR1}</t>
  </si>
  <si>
    <t>${VHD_KQHQ.STR1}</t>
  </si>
  <si>
    <t>${VHD_NOXH.STR1}</t>
  </si>
  <si>
    <t>${VHD_TKDC.STR1}</t>
  </si>
  <si>
    <t>${VHD_TKXA.STR1}</t>
  </si>
  <si>
    <t>${VHD_TKTO.STR1}</t>
  </si>
  <si>
    <t>${VONDP_T.STR1}</t>
  </si>
  <si>
    <t>${DN_NV1.STR1}</t>
  </si>
  <si>
    <t>${DN_NV1_PRE_M.STR1}</t>
  </si>
  <si>
    <t>${DN_NV1_PRE_Y.STR1}</t>
  </si>
  <si>
    <t>${DN_NV1_QH.STR1}</t>
  </si>
  <si>
    <t>${DN_NV1_QH_PRE_M.STR1}</t>
  </si>
  <si>
    <t>${DN_NV1_QH_PRE_Y.STR1}</t>
  </si>
  <si>
    <t>${DN_NV2.STR1}</t>
  </si>
  <si>
    <t>${DN_NV2_PRE_M.STR1}</t>
  </si>
  <si>
    <t>${DN_NV2_PRE_Y.STR1}</t>
  </si>
  <si>
    <t>${DN_NV2_QH.STR1}</t>
  </si>
  <si>
    <t>${DN_NV2_QH_PRE_M.STR1}</t>
  </si>
  <si>
    <t>${DN_NV2_QH_PRE_Y.STR1}</t>
  </si>
  <si>
    <t>${DN_CTR_QD_0101.STR1}</t>
  </si>
  <si>
    <t>${DN_CTR_QD_NV_010101.STR1}</t>
  </si>
  <si>
    <t>${DN_CTR_QD_NV_010102.STR1}</t>
  </si>
  <si>
    <t>${DN_CTR_QD_1919.STR1}</t>
  </si>
  <si>
    <t>${DN_CTR_QD_NV_191901.STR1}</t>
  </si>
  <si>
    <t>${DN_CTR_QD_NV_191902.STR1}</t>
  </si>
  <si>
    <t>${DN_CTR_QD_0922.STR1}</t>
  </si>
  <si>
    <t>${DN_CTR_QD_NV_092201.STR1}</t>
  </si>
  <si>
    <t>${DN_CTR_QD_NV_092202.STR1}</t>
  </si>
  <si>
    <t>${DN_CTR_QD_0202.STR1}</t>
  </si>
  <si>
    <t>${DN_CTR_QD_0606.STR1}</t>
  </si>
  <si>
    <t>${DN_CTR_QD_NV_060601.STR1}</t>
  </si>
  <si>
    <t>${DN_CTR_QD_NV_060602.STR1}</t>
  </si>
  <si>
    <t>${DN_CTR_QD_0303.STR1}</t>
  </si>
  <si>
    <t>${DN_CTR_QD_NV_030301QQG.STR1}</t>
  </si>
  <si>
    <t>${DN_CTR_QD_NV_030301UBND.STR1}</t>
  </si>
  <si>
    <t>${DN_CTR_QD_NV_030301HDT.STR1}</t>
  </si>
  <si>
    <t>${DN_CTR_QD_NV_030301HD.STR1}</t>
  </si>
  <si>
    <t>${DN_CTR_QD_NV_030302.STR1}</t>
  </si>
  <si>
    <t>${DN_CTR_QD_NV_030302DTN.STR1}</t>
  </si>
  <si>
    <t>${DN_CTR_QD_NV_030302TT.STR1}</t>
  </si>
  <si>
    <t>${DN_CTR_QD_0707.STR1}</t>
  </si>
  <si>
    <t>${DN_CTR_QD_0723.STR1}</t>
  </si>
  <si>
    <t>${DN_CTR_QD_1226.STR1}</t>
  </si>
  <si>
    <t>${DN_CTR_QD_NV_122601.STR1}</t>
  </si>
  <si>
    <t>${DN_CTR_QD_NV_122602.STR1}</t>
  </si>
  <si>
    <t>${DN_CTR_QD_1010.STR1}</t>
  </si>
  <si>
    <t>${DN_CTR_QD_1515.STR1}</t>
  </si>
  <si>
    <t>${DN_CTR_QD_1717.STR1}</t>
  </si>
  <si>
    <t>${DN_CTR_QD_NV_171701.STR1}</t>
  </si>
  <si>
    <t>${DN_CTR_QD_NV_171702.STR1}</t>
  </si>
  <si>
    <t>${DN_CTR_QD_2127.STR1}</t>
  </si>
  <si>
    <t>${DN_CTR_QD_NV_212701.STR1}</t>
  </si>
  <si>
    <t>${DN_CTR_QD_NV_212702.STR1}</t>
  </si>
  <si>
    <t>${DN_CTR_QD_04__.STR1}</t>
  </si>
  <si>
    <t>${DN_CTR_QD_NV_042401.STR1}</t>
  </si>
  <si>
    <t>${DN_CTR_QD_9999.STR1}</t>
  </si>
  <si>
    <t>${DN_CTR_QD_2331.STR1}</t>
  </si>
  <si>
    <t>${ATCT_TM.STR1}</t>
  </si>
  <si>
    <t>${ATCT_TG.STR1}</t>
  </si>
  <si>
    <t>${DM_ATCT.STR1}</t>
  </si>
  <si>
    <t>Mã chỉ tiêu</t>
  </si>
  <si>
    <t>${BS.STR1}</t>
  </si>
  <si>
    <t>${BS.D2}</t>
  </si>
  <si>
    <t>${BS.D11}</t>
  </si>
  <si>
    <t>${BS.D4}</t>
  </si>
  <si>
    <t>${BS.D6}</t>
  </si>
  <si>
    <t>${BS.D8}</t>
  </si>
  <si>
    <t>${BS.D9}</t>
  </si>
  <si>
    <t>${BS.D3}</t>
  </si>
  <si>
    <t>${BS.D10}</t>
  </si>
  <si>
    <t>${BS.D5}</t>
  </si>
  <si>
    <t>${BS.D7}</t>
  </si>
  <si>
    <t>${BS.D12}</t>
  </si>
  <si>
    <t xml:space="preserve">             So với đầu tháng</t>
  </si>
  <si>
    <t xml:space="preserve">             So với đầu năm</t>
  </si>
  <si>
    <t>Cho vay HSSV mua máy tính (vốn TW)</t>
  </si>
  <si>
    <t>Cho vay CSGD MN, TH ngoài CL (vốn TW)</t>
  </si>
  <si>
    <t xml:space="preserve">                - Cho vay bằng vốn ĐP tỉnh</t>
  </si>
  <si>
    <t xml:space="preserve">                - Cho vay bằng vốn ĐP huyện</t>
  </si>
  <si>
    <t>Cho vay Nguoi CHXAPT (vốn DP)</t>
  </si>
  <si>
    <t>VONDP_H</t>
  </si>
  <si>
    <t>Bình Long</t>
  </si>
  <si>
    <t>Lộc Ninh</t>
  </si>
  <si>
    <t>Bình Phước</t>
  </si>
  <si>
    <t>Phước Long</t>
  </si>
  <si>
    <t>Bù Đăng</t>
  </si>
  <si>
    <t>Đồng Phú</t>
  </si>
  <si>
    <t>Chơn Thành</t>
  </si>
  <si>
    <t>Bù Đốp</t>
  </si>
  <si>
    <t>Bù Gia Mập</t>
  </si>
  <si>
    <t>Phú Riềng</t>
  </si>
  <si>
    <t>Hớn Quản</t>
  </si>
  <si>
    <t>${VHD.D13}</t>
  </si>
  <si>
    <t>${VHD_TG.D13}</t>
  </si>
  <si>
    <t>${VHD_KQHQ.D13}</t>
  </si>
  <si>
    <t>${VHD_NOXH.D13}</t>
  </si>
  <si>
    <t>${VHD_TKDC.D13}</t>
  </si>
  <si>
    <t>${VHD_TKXA.D13}</t>
  </si>
  <si>
    <t>${VHD_TKTO.D13}</t>
  </si>
  <si>
    <t>${VONDP_T.D13}</t>
  </si>
  <si>
    <t>${DN_NV1.D13}</t>
  </si>
  <si>
    <t>${DN_NV1_PRE_M.D13}</t>
  </si>
  <si>
    <t>${DN_NV1_PRE_Y.D13}</t>
  </si>
  <si>
    <t>${DN_NV1_QH.D13}</t>
  </si>
  <si>
    <t>${DN_NV1_QH_PRE_M.D13}</t>
  </si>
  <si>
    <t>${DN_NV1_QH_PRE_Y.D13}</t>
  </si>
  <si>
    <t>${DN_NV2.D13}</t>
  </si>
  <si>
    <t>${DN_NV2_PRE_M.D13}</t>
  </si>
  <si>
    <t>${DN_NV2_PRE_Y.D13}</t>
  </si>
  <si>
    <t>${DN_NV2_QH.D13}</t>
  </si>
  <si>
    <t>${DN_NV2_QH_PRE_M.D13}</t>
  </si>
  <si>
    <t>${DN_NV2_QH_PRE_Y.D13}</t>
  </si>
  <si>
    <t>${DN_CTR_QD_0101.D13}</t>
  </si>
  <si>
    <t>${DN_CTR_QD_NV_010101.D13}</t>
  </si>
  <si>
    <t>${DN_CTR_QD_NV_010102.D13}</t>
  </si>
  <si>
    <t>${DN_CTR_QD_1919.D13}</t>
  </si>
  <si>
    <t>${DN_CTR_QD_NV_191901.D13}</t>
  </si>
  <si>
    <t>${DN_CTR_QD_NV_191902.D13}</t>
  </si>
  <si>
    <t>${DN_CTR_QD_0922.D13}</t>
  </si>
  <si>
    <t>${DN_CTR_QD_NV_092201.D13}</t>
  </si>
  <si>
    <t>${DN_CTR_QD_NV_092202.D13}</t>
  </si>
  <si>
    <t>${DN_CTR_QD_0202.D13}</t>
  </si>
  <si>
    <t>${DN_CTR_QD_0606.D13}</t>
  </si>
  <si>
    <t>${DN_CTR_QD_NV_060601.D13}</t>
  </si>
  <si>
    <t>${DN_CTR_QD_NV_060602.D13}</t>
  </si>
  <si>
    <t>${DN_CTR_QD_0303.D13}</t>
  </si>
  <si>
    <t>${DN_CTR_QD_NV_030301QQG.D13}</t>
  </si>
  <si>
    <t>${DN_CTR_QD_NV_030301UBND.D13}</t>
  </si>
  <si>
    <t>${DN_CTR_QD_NV_030301HDT.D13}</t>
  </si>
  <si>
    <t>${DN_CTR_QD_NV_030301HD.D13}</t>
  </si>
  <si>
    <t>${DN_CTR_QD_NV_030302.D13}</t>
  </si>
  <si>
    <t>${DN_CTR_QD_NV_030302DTN.D13}</t>
  </si>
  <si>
    <t>${DN_CTR_QD_NV_030302TT.D13}</t>
  </si>
  <si>
    <t>${DN_CTR_QD_0707.D13}</t>
  </si>
  <si>
    <t>${DN_CTR_QD_0723.D13}</t>
  </si>
  <si>
    <t>${DN_CTR_QD_1226.D13}</t>
  </si>
  <si>
    <t>${DN_CTR_QD_NV_122601.D13}</t>
  </si>
  <si>
    <t>${DN_CTR_QD_NV_122602.D13}</t>
  </si>
  <si>
    <t>${DN_CTR_QD_1010.D13}</t>
  </si>
  <si>
    <t>${DN_CTR_QD_1515.D13}</t>
  </si>
  <si>
    <t>${DN_CTR_QD_1717.D13}</t>
  </si>
  <si>
    <t>${DN_CTR_QD_NV_171701.D13}</t>
  </si>
  <si>
    <t>${DN_CTR_QD_NV_171702.D13}</t>
  </si>
  <si>
    <t>${DN_CTR_QD_2127.D13}</t>
  </si>
  <si>
    <t>${DN_CTR_QD_NV_212701.D13}</t>
  </si>
  <si>
    <t>${DN_CTR_QD_NV_212702.D13}</t>
  </si>
  <si>
    <t>${DN_CTR_QD_04__.D13}</t>
  </si>
  <si>
    <t>${DN_CTR_QD_NV_042401.D13}</t>
  </si>
  <si>
    <t>${DN_CTR_QD_9999.D13}</t>
  </si>
  <si>
    <t>${DN_CTR_QD_2331.D13}</t>
  </si>
  <si>
    <t>${ATCT_TM.D13}</t>
  </si>
  <si>
    <t>${ATCT_TG.D13}</t>
  </si>
  <si>
    <t>${DM_ATCT.D13}</t>
  </si>
  <si>
    <t>${BS.D13}</t>
  </si>
  <si>
    <t>${VHD.D14}</t>
  </si>
  <si>
    <t>${VHD_TG.D14}</t>
  </si>
  <si>
    <t>${VHD_KQHQ.D14}</t>
  </si>
  <si>
    <t>${VHD_NOXH.D14}</t>
  </si>
  <si>
    <t>${VHD_TKDC.D14}</t>
  </si>
  <si>
    <t>${VHD_TKXA.D14}</t>
  </si>
  <si>
    <t>${VHD_TKTO.D14}</t>
  </si>
  <si>
    <t>${VONDP_T.D14}</t>
  </si>
  <si>
    <t>${DN_NV1.D14}</t>
  </si>
  <si>
    <t>${DN_NV1_PRE_M.D14}</t>
  </si>
  <si>
    <t>${DN_NV1_PRE_Y.D14}</t>
  </si>
  <si>
    <t>${DN_NV1_QH.D14}</t>
  </si>
  <si>
    <t>${DN_NV1_QH_PRE_M.D14}</t>
  </si>
  <si>
    <t>${DN_NV1_QH_PRE_Y.D14}</t>
  </si>
  <si>
    <t>${DN_NV2.D14}</t>
  </si>
  <si>
    <t>${DN_NV2_PRE_M.D14}</t>
  </si>
  <si>
    <t>${DN_NV2_PRE_Y.D14}</t>
  </si>
  <si>
    <t>${DN_NV2_QH.D14}</t>
  </si>
  <si>
    <t>${DN_NV2_QH_PRE_M.D14}</t>
  </si>
  <si>
    <t>${DN_NV2_QH_PRE_Y.D14}</t>
  </si>
  <si>
    <t>${DN_CTR_QD_0101.D14}</t>
  </si>
  <si>
    <t>${DN_CTR_QD_NV_010101.D14}</t>
  </si>
  <si>
    <t>${DN_CTR_QD_NV_010102.D14}</t>
  </si>
  <si>
    <t>${DN_CTR_QD_1919.D14}</t>
  </si>
  <si>
    <t>${DN_CTR_QD_NV_191901.D14}</t>
  </si>
  <si>
    <t>${DN_CTR_QD_NV_191902.D14}</t>
  </si>
  <si>
    <t>${DN_CTR_QD_0922.D14}</t>
  </si>
  <si>
    <t>${DN_CTR_QD_NV_092201.D14}</t>
  </si>
  <si>
    <t>${DN_CTR_QD_NV_092202.D14}</t>
  </si>
  <si>
    <t>${DN_CTR_QD_0202.D14}</t>
  </si>
  <si>
    <t>${DN_CTR_QD_0606.D14}</t>
  </si>
  <si>
    <t>${DN_CTR_QD_NV_060601.D14}</t>
  </si>
  <si>
    <t>${DN_CTR_QD_NV_060602.D14}</t>
  </si>
  <si>
    <t>${DN_CTR_QD_0303.D14}</t>
  </si>
  <si>
    <t>${DN_CTR_QD_NV_030301QQG.D14}</t>
  </si>
  <si>
    <t>${DN_CTR_QD_NV_030301UBND.D14}</t>
  </si>
  <si>
    <t>${DN_CTR_QD_NV_030301HDT.D14}</t>
  </si>
  <si>
    <t>${DN_CTR_QD_NV_030301HD.D14}</t>
  </si>
  <si>
    <t>${DN_CTR_QD_NV_030302.D14}</t>
  </si>
  <si>
    <t>${DN_CTR_QD_NV_030302DTN.D14}</t>
  </si>
  <si>
    <t>${DN_CTR_QD_NV_030302TT.D14}</t>
  </si>
  <si>
    <t>${DN_CTR_QD_0707.D14}</t>
  </si>
  <si>
    <t>${DN_CTR_QD_0723.D14}</t>
  </si>
  <si>
    <t>${DN_CTR_QD_1226.D14}</t>
  </si>
  <si>
    <t>${DN_CTR_QD_NV_122601.D14}</t>
  </si>
  <si>
    <t>${DN_CTR_QD_NV_122602.D14}</t>
  </si>
  <si>
    <t>${DN_CTR_QD_1010.D14}</t>
  </si>
  <si>
    <t>${DN_CTR_QD_1515.D14}</t>
  </si>
  <si>
    <t>${DN_CTR_QD_1717.D14}</t>
  </si>
  <si>
    <t>${DN_CTR_QD_NV_171701.D14}</t>
  </si>
  <si>
    <t>${DN_CTR_QD_NV_171702.D14}</t>
  </si>
  <si>
    <t>${DN_CTR_QD_2127.D14}</t>
  </si>
  <si>
    <t>${DN_CTR_QD_NV_212701.D14}</t>
  </si>
  <si>
    <t>${DN_CTR_QD_NV_212702.D14}</t>
  </si>
  <si>
    <t>${DN_CTR_QD_04__.D14}</t>
  </si>
  <si>
    <t>${DN_CTR_QD_NV_042401.D14}</t>
  </si>
  <si>
    <t>${DN_CTR_QD_9999.D14}</t>
  </si>
  <si>
    <t>${DN_CTR_QD_2331.D14}</t>
  </si>
  <si>
    <t>${ATCT_TM.D14}</t>
  </si>
  <si>
    <t>${ATCT_TG.D14}</t>
  </si>
  <si>
    <t>${DM_ATCT.D14}</t>
  </si>
  <si>
    <t>${BS.D14}</t>
  </si>
  <si>
    <t>${VHD.D15}</t>
  </si>
  <si>
    <t>${VHD_TG.D15}</t>
  </si>
  <si>
    <t>${VHD_KQHQ.D15}</t>
  </si>
  <si>
    <t>${VHD_NOXH.D15}</t>
  </si>
  <si>
    <t>${VHD_TKDC.D15}</t>
  </si>
  <si>
    <t>${VHD_TKXA.D15}</t>
  </si>
  <si>
    <t>${VHD_TKTO.D15}</t>
  </si>
  <si>
    <t>${VONDP_T.D15}</t>
  </si>
  <si>
    <t>${DN_NV1.D15}</t>
  </si>
  <si>
    <t>${DN_NV1_PRE_M.D15}</t>
  </si>
  <si>
    <t>${DN_NV1_PRE_Y.D15}</t>
  </si>
  <si>
    <t>${DN_NV1_QH.D15}</t>
  </si>
  <si>
    <t>${DN_NV1_QH_PRE_M.D15}</t>
  </si>
  <si>
    <t>${DN_NV1_QH_PRE_Y.D15}</t>
  </si>
  <si>
    <t>${DN_NV2.D15}</t>
  </si>
  <si>
    <t>${DN_NV2_PRE_M.D15}</t>
  </si>
  <si>
    <t>${DN_NV2_PRE_Y.D15}</t>
  </si>
  <si>
    <t>${DN_NV2_QH.D15}</t>
  </si>
  <si>
    <t>${DN_NV2_QH_PRE_M.D15}</t>
  </si>
  <si>
    <t>${DN_NV2_QH_PRE_Y.D15}</t>
  </si>
  <si>
    <t>${DN_CTR_QD_0101.D15}</t>
  </si>
  <si>
    <t>${DN_CTR_QD_NV_010101.D15}</t>
  </si>
  <si>
    <t>${DN_CTR_QD_NV_010102.D15}</t>
  </si>
  <si>
    <t>${DN_CTR_QD_1919.D15}</t>
  </si>
  <si>
    <t>${DN_CTR_QD_NV_191901.D15}</t>
  </si>
  <si>
    <t>${DN_CTR_QD_NV_191902.D15}</t>
  </si>
  <si>
    <t>${DN_CTR_QD_0922.D15}</t>
  </si>
  <si>
    <t>${DN_CTR_QD_NV_092201.D15}</t>
  </si>
  <si>
    <t>${DN_CTR_QD_NV_092202.D15}</t>
  </si>
  <si>
    <t>${DN_CTR_QD_0202.D15}</t>
  </si>
  <si>
    <t>${DN_CTR_QD_0606.D15}</t>
  </si>
  <si>
    <t>${DN_CTR_QD_NV_060601.D15}</t>
  </si>
  <si>
    <t>${DN_CTR_QD_NV_060602.D15}</t>
  </si>
  <si>
    <t>${DN_CTR_QD_0303.D15}</t>
  </si>
  <si>
    <t>${DN_CTR_QD_NV_030301QQG.D15}</t>
  </si>
  <si>
    <t>${DN_CTR_QD_NV_030301UBND.D15}</t>
  </si>
  <si>
    <t>${DN_CTR_QD_NV_030301HDT.D15}</t>
  </si>
  <si>
    <t>${DN_CTR_QD_NV_030301HD.D15}</t>
  </si>
  <si>
    <t>${DN_CTR_QD_NV_030302.D15}</t>
  </si>
  <si>
    <t>${DN_CTR_QD_NV_030302DTN.D15}</t>
  </si>
  <si>
    <t>${DN_CTR_QD_NV_030302TT.D15}</t>
  </si>
  <si>
    <t>${DN_CTR_QD_0707.D15}</t>
  </si>
  <si>
    <t>${DN_CTR_QD_0723.D15}</t>
  </si>
  <si>
    <t>${DN_CTR_QD_1226.D15}</t>
  </si>
  <si>
    <t>${DN_CTR_QD_NV_122601.D15}</t>
  </si>
  <si>
    <t>${DN_CTR_QD_NV_122602.D15}</t>
  </si>
  <si>
    <t>${DN_CTR_QD_1010.D15}</t>
  </si>
  <si>
    <t>${DN_CTR_QD_1515.D15}</t>
  </si>
  <si>
    <t>${DN_CTR_QD_1717.D15}</t>
  </si>
  <si>
    <t>${DN_CTR_QD_NV_171701.D15}</t>
  </si>
  <si>
    <t>${DN_CTR_QD_NV_171702.D15}</t>
  </si>
  <si>
    <t>${DN_CTR_QD_2127.D15}</t>
  </si>
  <si>
    <t>${DN_CTR_QD_NV_212701.D15}</t>
  </si>
  <si>
    <t>${DN_CTR_QD_NV_212702.D15}</t>
  </si>
  <si>
    <t>${DN_CTR_QD_04__.D15}</t>
  </si>
  <si>
    <t>${DN_CTR_QD_NV_042401.D15}</t>
  </si>
  <si>
    <t>${DN_CTR_QD_9999.D15}</t>
  </si>
  <si>
    <t>${DN_CTR_QD_2331.D15}</t>
  </si>
  <si>
    <t>${ATCT_TM.D15}</t>
  </si>
  <si>
    <t>${ATCT_TG.D15}</t>
  </si>
  <si>
    <t>${DM_ATCT.D15}</t>
  </si>
  <si>
    <t>${BS.D15}</t>
  </si>
  <si>
    <t>${VHD.D16}</t>
  </si>
  <si>
    <t>${VHD_TG.D16}</t>
  </si>
  <si>
    <t>${VHD_KQHQ.D16}</t>
  </si>
  <si>
    <t>${VHD_NOXH.D16}</t>
  </si>
  <si>
    <t>${VHD_TKDC.D16}</t>
  </si>
  <si>
    <t>${VHD_TKXA.D16}</t>
  </si>
  <si>
    <t>${VHD_TKTO.D16}</t>
  </si>
  <si>
    <t>${VONDP_T.D16}</t>
  </si>
  <si>
    <t>${DN_NV1.D16}</t>
  </si>
  <si>
    <t>${DN_NV1_PRE_M.D16}</t>
  </si>
  <si>
    <t>${DN_NV1_PRE_Y.D16}</t>
  </si>
  <si>
    <t>${DN_NV1_QH.D16}</t>
  </si>
  <si>
    <t>${DN_NV1_QH_PRE_M.D16}</t>
  </si>
  <si>
    <t>${DN_NV1_QH_PRE_Y.D16}</t>
  </si>
  <si>
    <t>${DN_NV2.D16}</t>
  </si>
  <si>
    <t>${DN_NV2_PRE_M.D16}</t>
  </si>
  <si>
    <t>${DN_NV2_PRE_Y.D16}</t>
  </si>
  <si>
    <t>${DN_NV2_QH.D16}</t>
  </si>
  <si>
    <t>${DN_NV2_QH_PRE_M.D16}</t>
  </si>
  <si>
    <t>${DN_NV2_QH_PRE_Y.D16}</t>
  </si>
  <si>
    <t>${DN_CTR_QD_0101.D16}</t>
  </si>
  <si>
    <t>${DN_CTR_QD_NV_010101.D16}</t>
  </si>
  <si>
    <t>${DN_CTR_QD_NV_010102.D16}</t>
  </si>
  <si>
    <t>${DN_CTR_QD_1919.D16}</t>
  </si>
  <si>
    <t>${DN_CTR_QD_NV_191901.D16}</t>
  </si>
  <si>
    <t>${DN_CTR_QD_NV_191902.D16}</t>
  </si>
  <si>
    <t>${DN_CTR_QD_0922.D16}</t>
  </si>
  <si>
    <t>${DN_CTR_QD_NV_092201.D16}</t>
  </si>
  <si>
    <t>${DN_CTR_QD_NV_092202.D16}</t>
  </si>
  <si>
    <t>${DN_CTR_QD_0202.D16}</t>
  </si>
  <si>
    <t>${DN_CTR_QD_0606.D16}</t>
  </si>
  <si>
    <t>${DN_CTR_QD_NV_060601.D16}</t>
  </si>
  <si>
    <t>${DN_CTR_QD_NV_060602.D16}</t>
  </si>
  <si>
    <t>${DN_CTR_QD_0303.D16}</t>
  </si>
  <si>
    <t>${DN_CTR_QD_NV_030301QQG.D16}</t>
  </si>
  <si>
    <t>${DN_CTR_QD_NV_030301UBND.D16}</t>
  </si>
  <si>
    <t>${DN_CTR_QD_NV_030301HDT.D16}</t>
  </si>
  <si>
    <t>${DN_CTR_QD_NV_030301HD.D16}</t>
  </si>
  <si>
    <t>${DN_CTR_QD_NV_030302.D16}</t>
  </si>
  <si>
    <t>${DN_CTR_QD_NV_030302DTN.D16}</t>
  </si>
  <si>
    <t>${DN_CTR_QD_NV_030302TT.D16}</t>
  </si>
  <si>
    <t>${DN_CTR_QD_0707.D16}</t>
  </si>
  <si>
    <t>${DN_CTR_QD_0723.D16}</t>
  </si>
  <si>
    <t>${DN_CTR_QD_1226.D16}</t>
  </si>
  <si>
    <t>${DN_CTR_QD_NV_122601.D16}</t>
  </si>
  <si>
    <t>${DN_CTR_QD_NV_122602.D16}</t>
  </si>
  <si>
    <t>${DN_CTR_QD_1010.D16}</t>
  </si>
  <si>
    <t>${DN_CTR_QD_1515.D16}</t>
  </si>
  <si>
    <t>${DN_CTR_QD_1717.D16}</t>
  </si>
  <si>
    <t>${DN_CTR_QD_NV_171701.D16}</t>
  </si>
  <si>
    <t>${DN_CTR_QD_NV_171702.D16}</t>
  </si>
  <si>
    <t>${DN_CTR_QD_2127.D16}</t>
  </si>
  <si>
    <t>${DN_CTR_QD_NV_212701.D16}</t>
  </si>
  <si>
    <t>${DN_CTR_QD_NV_212702.D16}</t>
  </si>
  <si>
    <t>${DN_CTR_QD_04__.D16}</t>
  </si>
  <si>
    <t>${DN_CTR_QD_NV_042401.D16}</t>
  </si>
  <si>
    <t>${DN_CTR_QD_9999.D16}</t>
  </si>
  <si>
    <t>${DN_CTR_QD_2331.D16}</t>
  </si>
  <si>
    <t>${ATCT_TM.D16}</t>
  </si>
  <si>
    <t>${ATCT_TG.D16}</t>
  </si>
  <si>
    <t>${DM_ATCT.D16}</t>
  </si>
  <si>
    <t>${BS.D16}</t>
  </si>
  <si>
    <t>${VHD.D17}</t>
  </si>
  <si>
    <t>${VHD_TG.D17}</t>
  </si>
  <si>
    <t>${VHD_KQHQ.D17}</t>
  </si>
  <si>
    <t>${VHD_NOXH.D17}</t>
  </si>
  <si>
    <t>${VHD_TKDC.D17}</t>
  </si>
  <si>
    <t>${VHD_TKXA.D17}</t>
  </si>
  <si>
    <t>${VHD_TKTO.D17}</t>
  </si>
  <si>
    <t>${VONDP_T.D17}</t>
  </si>
  <si>
    <t>${DN_NV1.D17}</t>
  </si>
  <si>
    <t>${DN_NV1_PRE_M.D17}</t>
  </si>
  <si>
    <t>${DN_NV1_PRE_Y.D17}</t>
  </si>
  <si>
    <t>${DN_NV1_QH.D17}</t>
  </si>
  <si>
    <t>${DN_NV1_QH_PRE_M.D17}</t>
  </si>
  <si>
    <t>${DN_NV1_QH_PRE_Y.D17}</t>
  </si>
  <si>
    <t>${DN_NV2.D17}</t>
  </si>
  <si>
    <t>${DN_NV2_PRE_M.D17}</t>
  </si>
  <si>
    <t>${DN_NV2_PRE_Y.D17}</t>
  </si>
  <si>
    <t>${DN_NV2_QH.D17}</t>
  </si>
  <si>
    <t>${DN_NV2_QH_PRE_M.D17}</t>
  </si>
  <si>
    <t>${DN_NV2_QH_PRE_Y.D17}</t>
  </si>
  <si>
    <t>${DN_CTR_QD_0101.D17}</t>
  </si>
  <si>
    <t>${DN_CTR_QD_NV_010101.D17}</t>
  </si>
  <si>
    <t>${DN_CTR_QD_NV_010102.D17}</t>
  </si>
  <si>
    <t>${DN_CTR_QD_1919.D17}</t>
  </si>
  <si>
    <t>${DN_CTR_QD_NV_191901.D17}</t>
  </si>
  <si>
    <t>${DN_CTR_QD_NV_191902.D17}</t>
  </si>
  <si>
    <t>${DN_CTR_QD_0922.D17}</t>
  </si>
  <si>
    <t>${DN_CTR_QD_NV_092201.D17}</t>
  </si>
  <si>
    <t>${DN_CTR_QD_NV_092202.D17}</t>
  </si>
  <si>
    <t>${DN_CTR_QD_0202.D17}</t>
  </si>
  <si>
    <t>${DN_CTR_QD_0606.D17}</t>
  </si>
  <si>
    <t>${DN_CTR_QD_NV_060601.D17}</t>
  </si>
  <si>
    <t>${DN_CTR_QD_NV_060602.D17}</t>
  </si>
  <si>
    <t>${DN_CTR_QD_0303.D17}</t>
  </si>
  <si>
    <t>${DN_CTR_QD_NV_030301QQG.D17}</t>
  </si>
  <si>
    <t>${DN_CTR_QD_NV_030301UBND.D17}</t>
  </si>
  <si>
    <t>${DN_CTR_QD_NV_030301HDT.D17}</t>
  </si>
  <si>
    <t>${DN_CTR_QD_NV_030301HD.D17}</t>
  </si>
  <si>
    <t>${DN_CTR_QD_NV_030302.D17}</t>
  </si>
  <si>
    <t>${DN_CTR_QD_NV_030302DTN.D17}</t>
  </si>
  <si>
    <t>${DN_CTR_QD_NV_030302TT.D17}</t>
  </si>
  <si>
    <t>${DN_CTR_QD_0707.D17}</t>
  </si>
  <si>
    <t>${DN_CTR_QD_0723.D17}</t>
  </si>
  <si>
    <t>${DN_CTR_QD_1226.D17}</t>
  </si>
  <si>
    <t>${DN_CTR_QD_NV_122601.D17}</t>
  </si>
  <si>
    <t>${DN_CTR_QD_NV_122602.D17}</t>
  </si>
  <si>
    <t>${DN_CTR_QD_1010.D17}</t>
  </si>
  <si>
    <t>${DN_CTR_QD_1515.D17}</t>
  </si>
  <si>
    <t>${DN_CTR_QD_1717.D17}</t>
  </si>
  <si>
    <t>${DN_CTR_QD_NV_171701.D17}</t>
  </si>
  <si>
    <t>${DN_CTR_QD_NV_171702.D17}</t>
  </si>
  <si>
    <t>${DN_CTR_QD_2127.D17}</t>
  </si>
  <si>
    <t>${DN_CTR_QD_NV_212701.D17}</t>
  </si>
  <si>
    <t>${DN_CTR_QD_NV_212702.D17}</t>
  </si>
  <si>
    <t>${DN_CTR_QD_04__.D17}</t>
  </si>
  <si>
    <t>${DN_CTR_QD_NV_042401.D17}</t>
  </si>
  <si>
    <t>${DN_CTR_QD_9999.D17}</t>
  </si>
  <si>
    <t>${DN_CTR_QD_2331.D17}</t>
  </si>
  <si>
    <t>${ATCT_TM.D17}</t>
  </si>
  <si>
    <t>${ATCT_TG.D17}</t>
  </si>
  <si>
    <t>${DM_ATCT.D17}</t>
  </si>
  <si>
    <t>${BS.D17}</t>
  </si>
  <si>
    <t>${VHD.D18}</t>
  </si>
  <si>
    <t>${VHD_TG.D18}</t>
  </si>
  <si>
    <t>${VHD_KQHQ.D18}</t>
  </si>
  <si>
    <t>${VHD_NOXH.D18}</t>
  </si>
  <si>
    <t>${VHD_TKDC.D18}</t>
  </si>
  <si>
    <t>${VHD_TKXA.D18}</t>
  </si>
  <si>
    <t>${VHD_TKTO.D18}</t>
  </si>
  <si>
    <t>${VONDP_T.D18}</t>
  </si>
  <si>
    <t>${DN_NV1.D18}</t>
  </si>
  <si>
    <t>${DN_NV1_PRE_M.D18}</t>
  </si>
  <si>
    <t>${DN_NV1_PRE_Y.D18}</t>
  </si>
  <si>
    <t>${DN_NV1_QH.D18}</t>
  </si>
  <si>
    <t>${DN_NV1_QH_PRE_M.D18}</t>
  </si>
  <si>
    <t>${DN_NV1_QH_PRE_Y.D18}</t>
  </si>
  <si>
    <t>${DN_NV2.D18}</t>
  </si>
  <si>
    <t>${DN_NV2_PRE_M.D18}</t>
  </si>
  <si>
    <t>${DN_NV2_PRE_Y.D18}</t>
  </si>
  <si>
    <t>${DN_NV2_QH.D18}</t>
  </si>
  <si>
    <t>${DN_NV2_QH_PRE_M.D18}</t>
  </si>
  <si>
    <t>${DN_NV2_QH_PRE_Y.D18}</t>
  </si>
  <si>
    <t>${DN_CTR_QD_0101.D18}</t>
  </si>
  <si>
    <t>${DN_CTR_QD_NV_010101.D18}</t>
  </si>
  <si>
    <t>${DN_CTR_QD_NV_010102.D18}</t>
  </si>
  <si>
    <t>${DN_CTR_QD_1919.D18}</t>
  </si>
  <si>
    <t>${DN_CTR_QD_NV_191901.D18}</t>
  </si>
  <si>
    <t>${DN_CTR_QD_NV_191902.D18}</t>
  </si>
  <si>
    <t>${DN_CTR_QD_0922.D18}</t>
  </si>
  <si>
    <t>${DN_CTR_QD_NV_092201.D18}</t>
  </si>
  <si>
    <t>${DN_CTR_QD_NV_092202.D18}</t>
  </si>
  <si>
    <t>${DN_CTR_QD_0202.D18}</t>
  </si>
  <si>
    <t>${DN_CTR_QD_0606.D18}</t>
  </si>
  <si>
    <t>${DN_CTR_QD_NV_060601.D18}</t>
  </si>
  <si>
    <t>${DN_CTR_QD_NV_060602.D18}</t>
  </si>
  <si>
    <t>${DN_CTR_QD_0303.D18}</t>
  </si>
  <si>
    <t>${DN_CTR_QD_NV_030301QQG.D18}</t>
  </si>
  <si>
    <t>${DN_CTR_QD_NV_030301UBND.D18}</t>
  </si>
  <si>
    <t>${DN_CTR_QD_NV_030301HDT.D18}</t>
  </si>
  <si>
    <t>${DN_CTR_QD_NV_030301HD.D18}</t>
  </si>
  <si>
    <t>${DN_CTR_QD_NV_030302.D18}</t>
  </si>
  <si>
    <t>${DN_CTR_QD_NV_030302DTN.D18}</t>
  </si>
  <si>
    <t>${DN_CTR_QD_NV_030302TT.D18}</t>
  </si>
  <si>
    <t>${DN_CTR_QD_0707.D18}</t>
  </si>
  <si>
    <t>${DN_CTR_QD_0723.D18}</t>
  </si>
  <si>
    <t>${DN_CTR_QD_1226.D18}</t>
  </si>
  <si>
    <t>${DN_CTR_QD_NV_122601.D18}</t>
  </si>
  <si>
    <t>${DN_CTR_QD_NV_122602.D18}</t>
  </si>
  <si>
    <t>${DN_CTR_QD_1010.D18}</t>
  </si>
  <si>
    <t>${DN_CTR_QD_1515.D18}</t>
  </si>
  <si>
    <t>${DN_CTR_QD_1717.D18}</t>
  </si>
  <si>
    <t>${DN_CTR_QD_NV_171701.D18}</t>
  </si>
  <si>
    <t>${DN_CTR_QD_NV_171702.D18}</t>
  </si>
  <si>
    <t>${DN_CTR_QD_2127.D18}</t>
  </si>
  <si>
    <t>${DN_CTR_QD_NV_212701.D18}</t>
  </si>
  <si>
    <t>${DN_CTR_QD_NV_212702.D18}</t>
  </si>
  <si>
    <t>${DN_CTR_QD_04__.D18}</t>
  </si>
  <si>
    <t>${DN_CTR_QD_NV_042401.D18}</t>
  </si>
  <si>
    <t>${DN_CTR_QD_9999.D18}</t>
  </si>
  <si>
    <t>${DN_CTR_QD_2331.D18}</t>
  </si>
  <si>
    <t>${ATCT_TM.D18}</t>
  </si>
  <si>
    <t>${ATCT_TG.D18}</t>
  </si>
  <si>
    <t>${DM_ATCT.D18}</t>
  </si>
  <si>
    <t>${BS.D18}</t>
  </si>
  <si>
    <t>${VHD.D19}</t>
  </si>
  <si>
    <t>${VHD_TG.D19}</t>
  </si>
  <si>
    <t>${VHD_KQHQ.D19}</t>
  </si>
  <si>
    <t>${VHD_NOXH.D19}</t>
  </si>
  <si>
    <t>${VHD_TKDC.D19}</t>
  </si>
  <si>
    <t>${VHD_TKXA.D19}</t>
  </si>
  <si>
    <t>${VHD_TKTO.D19}</t>
  </si>
  <si>
    <t>${VONDP_T.D19}</t>
  </si>
  <si>
    <t>${DN_NV1.D19}</t>
  </si>
  <si>
    <t>${DN_NV1_PRE_M.D19}</t>
  </si>
  <si>
    <t>${DN_NV1_PRE_Y.D19}</t>
  </si>
  <si>
    <t>${DN_NV1_QH.D19}</t>
  </si>
  <si>
    <t>${DN_NV1_QH_PRE_M.D19}</t>
  </si>
  <si>
    <t>${DN_NV1_QH_PRE_Y.D19}</t>
  </si>
  <si>
    <t>${DN_NV2.D19}</t>
  </si>
  <si>
    <t>${DN_NV2_PRE_M.D19}</t>
  </si>
  <si>
    <t>${DN_NV2_PRE_Y.D19}</t>
  </si>
  <si>
    <t>${DN_NV2_QH.D19}</t>
  </si>
  <si>
    <t>${DN_NV2_QH_PRE_M.D19}</t>
  </si>
  <si>
    <t>${DN_NV2_QH_PRE_Y.D19}</t>
  </si>
  <si>
    <t>${DN_CTR_QD_0101.D19}</t>
  </si>
  <si>
    <t>${DN_CTR_QD_NV_010101.D19}</t>
  </si>
  <si>
    <t>${DN_CTR_QD_NV_010102.D19}</t>
  </si>
  <si>
    <t>${DN_CTR_QD_1919.D19}</t>
  </si>
  <si>
    <t>${DN_CTR_QD_NV_191901.D19}</t>
  </si>
  <si>
    <t>${DN_CTR_QD_NV_191902.D19}</t>
  </si>
  <si>
    <t>${DN_CTR_QD_0922.D19}</t>
  </si>
  <si>
    <t>${DN_CTR_QD_NV_092201.D19}</t>
  </si>
  <si>
    <t>${DN_CTR_QD_NV_092202.D19}</t>
  </si>
  <si>
    <t>${DN_CTR_QD_0202.D19}</t>
  </si>
  <si>
    <t>${DN_CTR_QD_0606.D19}</t>
  </si>
  <si>
    <t>${DN_CTR_QD_NV_060601.D19}</t>
  </si>
  <si>
    <t>${DN_CTR_QD_NV_060602.D19}</t>
  </si>
  <si>
    <t>${DN_CTR_QD_0303.D19}</t>
  </si>
  <si>
    <t>${DN_CTR_QD_NV_030301QQG.D19}</t>
  </si>
  <si>
    <t>${DN_CTR_QD_NV_030301UBND.D19}</t>
  </si>
  <si>
    <t>${DN_CTR_QD_NV_030301HDT.D19}</t>
  </si>
  <si>
    <t>${DN_CTR_QD_NV_030301HD.D19}</t>
  </si>
  <si>
    <t>${DN_CTR_QD_NV_030302.D19}</t>
  </si>
  <si>
    <t>${DN_CTR_QD_NV_030302DTN.D19}</t>
  </si>
  <si>
    <t>${DN_CTR_QD_NV_030302TT.D19}</t>
  </si>
  <si>
    <t>${DN_CTR_QD_0707.D19}</t>
  </si>
  <si>
    <t>${DN_CTR_QD_0723.D19}</t>
  </si>
  <si>
    <t>${DN_CTR_QD_1226.D19}</t>
  </si>
  <si>
    <t>${DN_CTR_QD_NV_122601.D19}</t>
  </si>
  <si>
    <t>${DN_CTR_QD_NV_122602.D19}</t>
  </si>
  <si>
    <t>${DN_CTR_QD_1010.D19}</t>
  </si>
  <si>
    <t>${DN_CTR_QD_1515.D19}</t>
  </si>
  <si>
    <t>${DN_CTR_QD_1717.D19}</t>
  </si>
  <si>
    <t>${DN_CTR_QD_NV_171701.D19}</t>
  </si>
  <si>
    <t>${DN_CTR_QD_NV_171702.D19}</t>
  </si>
  <si>
    <t>${DN_CTR_QD_2127.D19}</t>
  </si>
  <si>
    <t>${DN_CTR_QD_NV_212701.D19}</t>
  </si>
  <si>
    <t>${DN_CTR_QD_NV_212702.D19}</t>
  </si>
  <si>
    <t>${DN_CTR_QD_04__.D19}</t>
  </si>
  <si>
    <t>${DN_CTR_QD_NV_042401.D19}</t>
  </si>
  <si>
    <t>${DN_CTR_QD_9999.D19}</t>
  </si>
  <si>
    <t>${DN_CTR_QD_2331.D19}</t>
  </si>
  <si>
    <t>${ATCT_TM.D19}</t>
  </si>
  <si>
    <t>${ATCT_TG.D19}</t>
  </si>
  <si>
    <t>${DM_ATCT.D19}</t>
  </si>
  <si>
    <t>${BS.D19}</t>
  </si>
  <si>
    <t>${VHD.D20}</t>
  </si>
  <si>
    <t>${VHD_TG.D20}</t>
  </si>
  <si>
    <t>${VHD_KQHQ.D20}</t>
  </si>
  <si>
    <t>${VHD_NOXH.D20}</t>
  </si>
  <si>
    <t>${VHD_TKDC.D20}</t>
  </si>
  <si>
    <t>${VHD_TKXA.D20}</t>
  </si>
  <si>
    <t>${VHD_TKTO.D20}</t>
  </si>
  <si>
    <t>${VONDP_T.D20}</t>
  </si>
  <si>
    <t>${DN_NV1.D20}</t>
  </si>
  <si>
    <t>${DN_NV1_PRE_M.D20}</t>
  </si>
  <si>
    <t>${DN_NV1_PRE_Y.D20}</t>
  </si>
  <si>
    <t>${DN_NV1_QH.D20}</t>
  </si>
  <si>
    <t>${DN_NV1_QH_PRE_M.D20}</t>
  </si>
  <si>
    <t>${DN_NV1_QH_PRE_Y.D20}</t>
  </si>
  <si>
    <t>${DN_NV2.D20}</t>
  </si>
  <si>
    <t>${DN_NV2_PRE_M.D20}</t>
  </si>
  <si>
    <t>${DN_NV2_PRE_Y.D20}</t>
  </si>
  <si>
    <t>${DN_NV2_QH.D20}</t>
  </si>
  <si>
    <t>${DN_NV2_QH_PRE_M.D20}</t>
  </si>
  <si>
    <t>${DN_NV2_QH_PRE_Y.D20}</t>
  </si>
  <si>
    <t>${DN_CTR_QD_0101.D20}</t>
  </si>
  <si>
    <t>${DN_CTR_QD_NV_010101.D20}</t>
  </si>
  <si>
    <t>${DN_CTR_QD_NV_010102.D20}</t>
  </si>
  <si>
    <t>${DN_CTR_QD_1919.D20}</t>
  </si>
  <si>
    <t>${DN_CTR_QD_NV_191901.D20}</t>
  </si>
  <si>
    <t>${DN_CTR_QD_NV_191902.D20}</t>
  </si>
  <si>
    <t>${DN_CTR_QD_0922.D20}</t>
  </si>
  <si>
    <t>${DN_CTR_QD_NV_092201.D20}</t>
  </si>
  <si>
    <t>${DN_CTR_QD_NV_092202.D20}</t>
  </si>
  <si>
    <t>${DN_CTR_QD_0202.D20}</t>
  </si>
  <si>
    <t>${DN_CTR_QD_0606.D20}</t>
  </si>
  <si>
    <t>${DN_CTR_QD_NV_060601.D20}</t>
  </si>
  <si>
    <t>${DN_CTR_QD_NV_060602.D20}</t>
  </si>
  <si>
    <t>${DN_CTR_QD_0303.D20}</t>
  </si>
  <si>
    <t>${DN_CTR_QD_NV_030301QQG.D20}</t>
  </si>
  <si>
    <t>${DN_CTR_QD_NV_030301UBND.D20}</t>
  </si>
  <si>
    <t>${DN_CTR_QD_NV_030301HDT.D20}</t>
  </si>
  <si>
    <t>${DN_CTR_QD_NV_030301HD.D20}</t>
  </si>
  <si>
    <t>${DN_CTR_QD_NV_030302.D20}</t>
  </si>
  <si>
    <t>${DN_CTR_QD_NV_030302DTN.D20}</t>
  </si>
  <si>
    <t>${DN_CTR_QD_NV_030302TT.D20}</t>
  </si>
  <si>
    <t>${DN_CTR_QD_0707.D20}</t>
  </si>
  <si>
    <t>${DN_CTR_QD_0723.D20}</t>
  </si>
  <si>
    <t>${DN_CTR_QD_1226.D20}</t>
  </si>
  <si>
    <t>${DN_CTR_QD_NV_122601.D20}</t>
  </si>
  <si>
    <t>${DN_CTR_QD_NV_122602.D20}</t>
  </si>
  <si>
    <t>${DN_CTR_QD_1010.D20}</t>
  </si>
  <si>
    <t>${DN_CTR_QD_1515.D20}</t>
  </si>
  <si>
    <t>${DN_CTR_QD_1717.D20}</t>
  </si>
  <si>
    <t>${DN_CTR_QD_NV_171701.D20}</t>
  </si>
  <si>
    <t>${DN_CTR_QD_NV_171702.D20}</t>
  </si>
  <si>
    <t>${DN_CTR_QD_2127.D20}</t>
  </si>
  <si>
    <t>${DN_CTR_QD_NV_212701.D20}</t>
  </si>
  <si>
    <t>${DN_CTR_QD_NV_212702.D20}</t>
  </si>
  <si>
    <t>${DN_CTR_QD_04__.D20}</t>
  </si>
  <si>
    <t>${DN_CTR_QD_NV_042401.D20}</t>
  </si>
  <si>
    <t>${DN_CTR_QD_9999.D20}</t>
  </si>
  <si>
    <t>${DN_CTR_QD_2331.D20}</t>
  </si>
  <si>
    <t>${ATCT_TM.D20}</t>
  </si>
  <si>
    <t>${ATCT_TG.D20}</t>
  </si>
  <si>
    <t>${DM_ATCT.D20}</t>
  </si>
  <si>
    <t>${BS.D20}</t>
  </si>
  <si>
    <t>${VHD.D21}</t>
  </si>
  <si>
    <t>${VHD_TG.D21}</t>
  </si>
  <si>
    <t>${VHD_KQHQ.D21}</t>
  </si>
  <si>
    <t>${VHD_NOXH.D21}</t>
  </si>
  <si>
    <t>${VHD_TKDC.D21}</t>
  </si>
  <si>
    <t>${VHD_TKXA.D21}</t>
  </si>
  <si>
    <t>${VHD_TKTO.D21}</t>
  </si>
  <si>
    <t>${VONDP_T.D21}</t>
  </si>
  <si>
    <t>${DN_NV1.D21}</t>
  </si>
  <si>
    <t>${DN_NV1_PRE_M.D21}</t>
  </si>
  <si>
    <t>${DN_NV1_PRE_Y.D21}</t>
  </si>
  <si>
    <t>${DN_NV1_QH.D21}</t>
  </si>
  <si>
    <t>${DN_NV1_QH_PRE_M.D21}</t>
  </si>
  <si>
    <t>${DN_NV1_QH_PRE_Y.D21}</t>
  </si>
  <si>
    <t>${DN_NV2.D21}</t>
  </si>
  <si>
    <t>${DN_NV2_PRE_M.D21}</t>
  </si>
  <si>
    <t>${DN_NV2_PRE_Y.D21}</t>
  </si>
  <si>
    <t>${DN_NV2_QH.D21}</t>
  </si>
  <si>
    <t>${DN_NV2_QH_PRE_M.D21}</t>
  </si>
  <si>
    <t>${DN_NV2_QH_PRE_Y.D21}</t>
  </si>
  <si>
    <t>${DN_CTR_QD_0101.D21}</t>
  </si>
  <si>
    <t>${DN_CTR_QD_NV_010101.D21}</t>
  </si>
  <si>
    <t>${DN_CTR_QD_NV_010102.D21}</t>
  </si>
  <si>
    <t>${DN_CTR_QD_1919.D21}</t>
  </si>
  <si>
    <t>${DN_CTR_QD_NV_191901.D21}</t>
  </si>
  <si>
    <t>${DN_CTR_QD_NV_191902.D21}</t>
  </si>
  <si>
    <t>${DN_CTR_QD_0922.D21}</t>
  </si>
  <si>
    <t>${DN_CTR_QD_NV_092201.D21}</t>
  </si>
  <si>
    <t>${DN_CTR_QD_NV_092202.D21}</t>
  </si>
  <si>
    <t>${DN_CTR_QD_0202.D21}</t>
  </si>
  <si>
    <t>${DN_CTR_QD_0606.D21}</t>
  </si>
  <si>
    <t>${DN_CTR_QD_NV_060601.D21}</t>
  </si>
  <si>
    <t>${DN_CTR_QD_NV_060602.D21}</t>
  </si>
  <si>
    <t>${DN_CTR_QD_0303.D21}</t>
  </si>
  <si>
    <t>${DN_CTR_QD_NV_030301QQG.D21}</t>
  </si>
  <si>
    <t>${DN_CTR_QD_NV_030301UBND.D21}</t>
  </si>
  <si>
    <t>${DN_CTR_QD_NV_030301HDT.D21}</t>
  </si>
  <si>
    <t>${DN_CTR_QD_NV_030301HD.D21}</t>
  </si>
  <si>
    <t>${DN_CTR_QD_NV_030302.D21}</t>
  </si>
  <si>
    <t>${DN_CTR_QD_NV_030302DTN.D21}</t>
  </si>
  <si>
    <t>${DN_CTR_QD_NV_030302TT.D21}</t>
  </si>
  <si>
    <t>${DN_CTR_QD_0707.D21}</t>
  </si>
  <si>
    <t>${DN_CTR_QD_0723.D21}</t>
  </si>
  <si>
    <t>${DN_CTR_QD_1226.D21}</t>
  </si>
  <si>
    <t>${DN_CTR_QD_NV_122601.D21}</t>
  </si>
  <si>
    <t>${DN_CTR_QD_NV_122602.D21}</t>
  </si>
  <si>
    <t>${DN_CTR_QD_1010.D21}</t>
  </si>
  <si>
    <t>${DN_CTR_QD_1515.D21}</t>
  </si>
  <si>
    <t>${DN_CTR_QD_1717.D21}</t>
  </si>
  <si>
    <t>${DN_CTR_QD_NV_171701.D21}</t>
  </si>
  <si>
    <t>${DN_CTR_QD_NV_171702.D21}</t>
  </si>
  <si>
    <t>${DN_CTR_QD_2127.D21}</t>
  </si>
  <si>
    <t>${DN_CTR_QD_NV_212701.D21}</t>
  </si>
  <si>
    <t>${DN_CTR_QD_NV_212702.D21}</t>
  </si>
  <si>
    <t>${DN_CTR_QD_04__.D21}</t>
  </si>
  <si>
    <t>${DN_CTR_QD_NV_042401.D21}</t>
  </si>
  <si>
    <t>${DN_CTR_QD_9999.D21}</t>
  </si>
  <si>
    <t>${DN_CTR_QD_2331.D21}</t>
  </si>
  <si>
    <t>${ATCT_TM.D21}</t>
  </si>
  <si>
    <t>${ATCT_TG.D21}</t>
  </si>
  <si>
    <t>${DM_ATCT.D21}</t>
  </si>
  <si>
    <t>${BS.D21}</t>
  </si>
  <si>
    <t>${VHD.D22}</t>
  </si>
  <si>
    <t>${VHD_TG.D22}</t>
  </si>
  <si>
    <t>${VHD_KQHQ.D22}</t>
  </si>
  <si>
    <t>${VHD_NOXH.D22}</t>
  </si>
  <si>
    <t>${VHD_TKDC.D22}</t>
  </si>
  <si>
    <t>${VHD_TKXA.D22}</t>
  </si>
  <si>
    <t>${VHD_TKTO.D22}</t>
  </si>
  <si>
    <t>${VONDP_T.D22}</t>
  </si>
  <si>
    <t>${DN_NV1.D22}</t>
  </si>
  <si>
    <t>${DN_NV1_PRE_M.D22}</t>
  </si>
  <si>
    <t>${DN_NV1_PRE_Y.D22}</t>
  </si>
  <si>
    <t>${DN_NV1_QH.D22}</t>
  </si>
  <si>
    <t>${DN_NV1_QH_PRE_M.D22}</t>
  </si>
  <si>
    <t>${DN_NV1_QH_PRE_Y.D22}</t>
  </si>
  <si>
    <t>${DN_NV2.D22}</t>
  </si>
  <si>
    <t>${DN_NV2_PRE_M.D22}</t>
  </si>
  <si>
    <t>${DN_NV2_PRE_Y.D22}</t>
  </si>
  <si>
    <t>${DN_NV2_QH.D22}</t>
  </si>
  <si>
    <t>${DN_NV2_QH_PRE_M.D22}</t>
  </si>
  <si>
    <t>${DN_NV2_QH_PRE_Y.D22}</t>
  </si>
  <si>
    <t>${DN_CTR_QD_0101.D22}</t>
  </si>
  <si>
    <t>${DN_CTR_QD_NV_010101.D22}</t>
  </si>
  <si>
    <t>${DN_CTR_QD_NV_010102.D22}</t>
  </si>
  <si>
    <t>${DN_CTR_QD_1919.D22}</t>
  </si>
  <si>
    <t>${DN_CTR_QD_NV_191901.D22}</t>
  </si>
  <si>
    <t>${DN_CTR_QD_NV_191902.D22}</t>
  </si>
  <si>
    <t>${DN_CTR_QD_0922.D22}</t>
  </si>
  <si>
    <t>${DN_CTR_QD_NV_092201.D22}</t>
  </si>
  <si>
    <t>${DN_CTR_QD_NV_092202.D22}</t>
  </si>
  <si>
    <t>${DN_CTR_QD_0202.D22}</t>
  </si>
  <si>
    <t>${DN_CTR_QD_0606.D22}</t>
  </si>
  <si>
    <t>${DN_CTR_QD_NV_060601.D22}</t>
  </si>
  <si>
    <t>${DN_CTR_QD_NV_060602.D22}</t>
  </si>
  <si>
    <t>${DN_CTR_QD_0303.D22}</t>
  </si>
  <si>
    <t>${DN_CTR_QD_NV_030301QQG.D22}</t>
  </si>
  <si>
    <t>${DN_CTR_QD_NV_030301UBND.D22}</t>
  </si>
  <si>
    <t>${DN_CTR_QD_NV_030301HDT.D22}</t>
  </si>
  <si>
    <t>${DN_CTR_QD_NV_030301HD.D22}</t>
  </si>
  <si>
    <t>${DN_CTR_QD_NV_030302.D22}</t>
  </si>
  <si>
    <t>${DN_CTR_QD_NV_030302DTN.D22}</t>
  </si>
  <si>
    <t>${DN_CTR_QD_NV_030302TT.D22}</t>
  </si>
  <si>
    <t>${DN_CTR_QD_0707.D22}</t>
  </si>
  <si>
    <t>${DN_CTR_QD_0723.D22}</t>
  </si>
  <si>
    <t>${DN_CTR_QD_1226.D22}</t>
  </si>
  <si>
    <t>${DN_CTR_QD_NV_122601.D22}</t>
  </si>
  <si>
    <t>${DN_CTR_QD_NV_122602.D22}</t>
  </si>
  <si>
    <t>${DN_CTR_QD_1010.D22}</t>
  </si>
  <si>
    <t>${DN_CTR_QD_1515.D22}</t>
  </si>
  <si>
    <t>${DN_CTR_QD_1717.D22}</t>
  </si>
  <si>
    <t>${DN_CTR_QD_NV_171701.D22}</t>
  </si>
  <si>
    <t>${DN_CTR_QD_NV_171702.D22}</t>
  </si>
  <si>
    <t>${DN_CTR_QD_2127.D22}</t>
  </si>
  <si>
    <t>${DN_CTR_QD_NV_212701.D22}</t>
  </si>
  <si>
    <t>${DN_CTR_QD_NV_212702.D22}</t>
  </si>
  <si>
    <t>${DN_CTR_QD_04__.D22}</t>
  </si>
  <si>
    <t>${DN_CTR_QD_NV_042401.D22}</t>
  </si>
  <si>
    <t>${DN_CTR_QD_9999.D22}</t>
  </si>
  <si>
    <t>${DN_CTR_QD_2331.D22}</t>
  </si>
  <si>
    <t>${ATCT_TM.D22}</t>
  </si>
  <si>
    <t>${ATCT_TG.D22}</t>
  </si>
  <si>
    <t>${DM_ATCT.D22}</t>
  </si>
  <si>
    <t>${BS.D22}</t>
  </si>
  <si>
    <t>${VHD.D23}</t>
  </si>
  <si>
    <t>${VHD_TG.D23}</t>
  </si>
  <si>
    <t>${VHD_KQHQ.D23}</t>
  </si>
  <si>
    <t>${VHD_NOXH.D23}</t>
  </si>
  <si>
    <t>${VHD_TKDC.D23}</t>
  </si>
  <si>
    <t>${VHD_TKXA.D23}</t>
  </si>
  <si>
    <t>${VHD_TKTO.D23}</t>
  </si>
  <si>
    <t>${VONDP_T.D23}</t>
  </si>
  <si>
    <t>${DN_NV1.D23}</t>
  </si>
  <si>
    <t>${DN_NV1_PRE_M.D23}</t>
  </si>
  <si>
    <t>${DN_NV1_PRE_Y.D23}</t>
  </si>
  <si>
    <t>${DN_NV1_QH.D23}</t>
  </si>
  <si>
    <t>${DN_NV1_QH_PRE_M.D23}</t>
  </si>
  <si>
    <t>${DN_NV1_QH_PRE_Y.D23}</t>
  </si>
  <si>
    <t>${DN_NV2.D23}</t>
  </si>
  <si>
    <t>${DN_NV2_PRE_M.D23}</t>
  </si>
  <si>
    <t>${DN_NV2_PRE_Y.D23}</t>
  </si>
  <si>
    <t>${DN_NV2_QH.D23}</t>
  </si>
  <si>
    <t>${DN_NV2_QH_PRE_M.D23}</t>
  </si>
  <si>
    <t>${DN_NV2_QH_PRE_Y.D23}</t>
  </si>
  <si>
    <t>${DN_CTR_QD_0101.D23}</t>
  </si>
  <si>
    <t>${DN_CTR_QD_NV_010101.D23}</t>
  </si>
  <si>
    <t>${DN_CTR_QD_NV_010102.D23}</t>
  </si>
  <si>
    <t>${DN_CTR_QD_1919.D23}</t>
  </si>
  <si>
    <t>${DN_CTR_QD_NV_191901.D23}</t>
  </si>
  <si>
    <t>${DN_CTR_QD_NV_191902.D23}</t>
  </si>
  <si>
    <t>${DN_CTR_QD_0922.D23}</t>
  </si>
  <si>
    <t>${DN_CTR_QD_NV_092201.D23}</t>
  </si>
  <si>
    <t>${DN_CTR_QD_NV_092202.D23}</t>
  </si>
  <si>
    <t>${DN_CTR_QD_0202.D23}</t>
  </si>
  <si>
    <t>${DN_CTR_QD_0606.D23}</t>
  </si>
  <si>
    <t>${DN_CTR_QD_NV_060601.D23}</t>
  </si>
  <si>
    <t>${DN_CTR_QD_NV_060602.D23}</t>
  </si>
  <si>
    <t>${DN_CTR_QD_0303.D23}</t>
  </si>
  <si>
    <t>${DN_CTR_QD_NV_030301QQG.D23}</t>
  </si>
  <si>
    <t>${DN_CTR_QD_NV_030301UBND.D23}</t>
  </si>
  <si>
    <t>${DN_CTR_QD_NV_030301HDT.D23}</t>
  </si>
  <si>
    <t>${DN_CTR_QD_NV_030301HD.D23}</t>
  </si>
  <si>
    <t>${DN_CTR_QD_NV_030302.D23}</t>
  </si>
  <si>
    <t>${DN_CTR_QD_NV_030302DTN.D23}</t>
  </si>
  <si>
    <t>${DN_CTR_QD_NV_030302TT.D23}</t>
  </si>
  <si>
    <t>${DN_CTR_QD_0707.D23}</t>
  </si>
  <si>
    <t>${DN_CTR_QD_0723.D23}</t>
  </si>
  <si>
    <t>${DN_CTR_QD_1226.D23}</t>
  </si>
  <si>
    <t>${DN_CTR_QD_NV_122601.D23}</t>
  </si>
  <si>
    <t>${DN_CTR_QD_NV_122602.D23}</t>
  </si>
  <si>
    <t>${DN_CTR_QD_1010.D23}</t>
  </si>
  <si>
    <t>${DN_CTR_QD_1515.D23}</t>
  </si>
  <si>
    <t>${DN_CTR_QD_1717.D23}</t>
  </si>
  <si>
    <t>${DN_CTR_QD_NV_171701.D23}</t>
  </si>
  <si>
    <t>${DN_CTR_QD_NV_171702.D23}</t>
  </si>
  <si>
    <t>${DN_CTR_QD_2127.D23}</t>
  </si>
  <si>
    <t>${DN_CTR_QD_NV_212701.D23}</t>
  </si>
  <si>
    <t>${DN_CTR_QD_NV_212702.D23}</t>
  </si>
  <si>
    <t>${DN_CTR_QD_04__.D23}</t>
  </si>
  <si>
    <t>${DN_CTR_QD_NV_042401.D23}</t>
  </si>
  <si>
    <t>${DN_CTR_QD_9999.D23}</t>
  </si>
  <si>
    <t>${DN_CTR_QD_2331.D23}</t>
  </si>
  <si>
    <t>${ATCT_TM.D23}</t>
  </si>
  <si>
    <t>${ATCT_TG.D23}</t>
  </si>
  <si>
    <t>${DM_ATCT.D23}</t>
  </si>
  <si>
    <t>${BS.D23}</t>
  </si>
  <si>
    <t>Cho vay DTTSMN (vốn TW)</t>
  </si>
  <si>
    <t xml:space="preserve">             + Cho vay PTNN</t>
  </si>
  <si>
    <t xml:space="preserve">             + Cho vay HMSTB</t>
  </si>
  <si>
    <t>Tr.đó: + Cho vay PTDLNT</t>
  </si>
  <si>
    <t>Cho vay khác (vốn DP-QD26)</t>
  </si>
  <si>
    <t>Dư nợ NQ11: GQVL</t>
  </si>
  <si>
    <t>Dư nợ NQ11: NOXH</t>
  </si>
  <si>
    <t>Cho vay HSSV STEM (vốn TW)</t>
  </si>
  <si>
    <t>HĐV CĐ: dân cư</t>
  </si>
  <si>
    <t>HĐV CĐ: CASA105</t>
  </si>
  <si>
    <t/>
  </si>
  <si>
    <t>PGD Định Quán</t>
  </si>
  <si>
    <t>CÂN ĐỐI NGUỒN VỐN VÀ SỬ DỤNG VỐN NĂM 2025</t>
  </si>
  <si>
    <t>(Thực hiện đến  31/12/2025)</t>
  </si>
  <si>
    <t>VHD</t>
  </si>
  <si>
    <t>VHD_TG</t>
  </si>
  <si>
    <t>VHD_KQHQ</t>
  </si>
  <si>
    <t>VHD_NOXH</t>
  </si>
  <si>
    <t>VHD_TKDC</t>
  </si>
  <si>
    <t>VHD_TKXA</t>
  </si>
  <si>
    <t>VHD_TKTO</t>
  </si>
  <si>
    <t>VONDP_T</t>
  </si>
  <si>
    <t>DN_NV1</t>
  </si>
  <si>
    <t>DN_NV1_PRE_M</t>
  </si>
  <si>
    <t>DN_NV1_QH</t>
  </si>
  <si>
    <t>DN_NV2</t>
  </si>
  <si>
    <t>DN_NV2_QH</t>
  </si>
  <si>
    <t>DN_CTR_QD_0101</t>
  </si>
  <si>
    <t>DN_CTR_QD_NV_010101</t>
  </si>
  <si>
    <t>DN_CTR_QD_NV_010102</t>
  </si>
  <si>
    <t>DN_CTR_QD_1919</t>
  </si>
  <si>
    <t>DN_CTR_QD_NV_191901</t>
  </si>
  <si>
    <t>DN_CTR_QD_NV_191902</t>
  </si>
  <si>
    <t>DN_CTR_QD_0922</t>
  </si>
  <si>
    <t>DN_CTR_QD_NV_092201</t>
  </si>
  <si>
    <t>DN_CTR_QD_NV_092202</t>
  </si>
  <si>
    <t>DN_CTR_QD_0202</t>
  </si>
  <si>
    <t>DN_CTR_QD_0606</t>
  </si>
  <si>
    <t>DN_CTR_QD_NV_060601</t>
  </si>
  <si>
    <t>DN_CTR_QD_NV_060602</t>
  </si>
  <si>
    <t>DN_CTR_QD_0303</t>
  </si>
  <si>
    <t>DN_CTR_QD_NV_030301QQG</t>
  </si>
  <si>
    <t>DN_CTR_QD_NV_030301UBND</t>
  </si>
  <si>
    <t>DN_CTR_QD_NV_030301HDT</t>
  </si>
  <si>
    <t>DN_CTR_QD_NV_030301HD</t>
  </si>
  <si>
    <t>DN_CTR_QD_NV_030302</t>
  </si>
  <si>
    <t>DN_CTR_QD_NV_030302DTN</t>
  </si>
  <si>
    <t>DN_CTR_QD_NV_030302TT</t>
  </si>
  <si>
    <t>DN_CTR_QD_0707</t>
  </si>
  <si>
    <t>DN_CTR_QD_0723</t>
  </si>
  <si>
    <t>DN_CTR_QD_1226</t>
  </si>
  <si>
    <t>DN_CTR_QD_NV_122601</t>
  </si>
  <si>
    <t>DN_CTR_QD_NV_122602</t>
  </si>
  <si>
    <t>DN_CTR_QD_1010</t>
  </si>
  <si>
    <t>DN_CTR_QD_1515</t>
  </si>
  <si>
    <t>DN_CTR_QD_1717</t>
  </si>
  <si>
    <t>DN_CTR_QD_NV_171701</t>
  </si>
  <si>
    <t>DN_CTR_QD_NV_171702</t>
  </si>
  <si>
    <t>DN_CTR_QD_2127</t>
  </si>
  <si>
    <t>DN_CTR_QD_NV_212701</t>
  </si>
  <si>
    <t>DN_CTR_QD_NV_212702</t>
  </si>
  <si>
    <t>DN_CTR_QD_04__</t>
  </si>
  <si>
    <t>DN_CTR_QD_NV_042401</t>
  </si>
  <si>
    <t>DN_CTR_QD_9999</t>
  </si>
  <si>
    <t>DN_CTR_QD_2331</t>
  </si>
  <si>
    <t>ATCT_TM</t>
  </si>
  <si>
    <t>ATCT_TG</t>
  </si>
  <si>
    <t>DM_ATCT</t>
  </si>
  <si>
    <t>DN_CTR_QD_0233</t>
  </si>
  <si>
    <t>DN_CTR_QD_0243</t>
  </si>
  <si>
    <t>DN_CTR_QD_0637</t>
  </si>
  <si>
    <t>DN_CTR_QD_1238</t>
  </si>
  <si>
    <t>DN_CTR_QD_2332</t>
  </si>
  <si>
    <t>DN_CTR_QD_2434</t>
  </si>
  <si>
    <t>DN_CTR_QD_2535</t>
  </si>
  <si>
    <t>DN_CTR_QD_2636</t>
  </si>
  <si>
    <t>DN_CTR_QD_NV_063701</t>
  </si>
  <si>
    <t>DN_CTR_QD_NV_063702</t>
  </si>
  <si>
    <t>DN_CTR_QD_NV_070701</t>
  </si>
  <si>
    <t>DN_CTR_QD_NV_101001</t>
  </si>
  <si>
    <t>DN_CTR_QD_NV_101002</t>
  </si>
  <si>
    <t>DN_CTR_QD_NV_123801</t>
  </si>
  <si>
    <t>DN_CTR_QD_NV_123802</t>
  </si>
  <si>
    <t>DN_CTR_QD_NV_243401</t>
  </si>
  <si>
    <t>DN_CTR_QD_NV_253501</t>
  </si>
  <si>
    <t>DN_CTR_QD_NV_263601</t>
  </si>
  <si>
    <t>DN_CTR_QD_NV_263602</t>
  </si>
  <si>
    <t>HDV_CS105_CD</t>
  </si>
  <si>
    <t>HDV_DC_CD</t>
  </si>
  <si>
    <t>NQ11_03</t>
  </si>
  <si>
    <t>NQ11_12</t>
  </si>
  <si>
    <t>DN_CTR_QD_NV_010102_PRE_M</t>
  </si>
  <si>
    <t>DN_CTR_QD_NV_092202_PRE_M</t>
  </si>
  <si>
    <t>DN_CTR_QD_NV_063701_PRE_M</t>
  </si>
  <si>
    <t>DN_CTR_QD_NV_122602_PRE_M</t>
  </si>
  <si>
    <t>DN_CTR_QD_NV_072301_PRE_M</t>
  </si>
  <si>
    <t>ATCT_TM_PRE_M</t>
  </si>
  <si>
    <t>DN_CTR_QD_0723_PRE_M</t>
  </si>
  <si>
    <t>DN_CTR_QD_NV_263602_PRE_M</t>
  </si>
  <si>
    <t>DN_CTR_QD_NV_060601_PRE_M</t>
  </si>
  <si>
    <t>DN_CTR_QD_NV_123801_PRE_M</t>
  </si>
  <si>
    <t>DN_CTR_QD_NV_171702_PRE_M</t>
  </si>
  <si>
    <t>TONG_DN_PRE_M</t>
  </si>
  <si>
    <t>DN_CTR_QD_0341_PRE_M</t>
  </si>
  <si>
    <t>DN_CTR_QD_2535_PRE_M</t>
  </si>
  <si>
    <t>VHD_TKTO_PRE_M</t>
  </si>
  <si>
    <t>DN_CTR_QD_1919_PRE_M</t>
  </si>
  <si>
    <t>VONDP_T_PRE_M</t>
  </si>
  <si>
    <t>DN_CTR_QD_NV_263601_PRE_M</t>
  </si>
  <si>
    <t>DN_CTR_QD_NV_070702_PRE_M</t>
  </si>
  <si>
    <t>DN_CTR_QD_9926_PRE_M</t>
  </si>
  <si>
    <t>VHD_KQHQ_PRE_M</t>
  </si>
  <si>
    <t>DN_CTR_QD_2434_PRE_M</t>
  </si>
  <si>
    <t>DN_CTR_QD_2332_PRE_M</t>
  </si>
  <si>
    <t>DN_CTR_QD_0233_PRE_M</t>
  </si>
  <si>
    <t>DN_CTR_QD_0606_PRE_M</t>
  </si>
  <si>
    <t>DN_CTR_QD_1010_PRE_M</t>
  </si>
  <si>
    <t>ATCT_TG_PRE_M</t>
  </si>
  <si>
    <t>VTU_PRE_M</t>
  </si>
  <si>
    <t>VHD_TKDC_PRE_M</t>
  </si>
  <si>
    <t>DN_CTR_QD_0202_PRE_M</t>
  </si>
  <si>
    <t>DN_CTR_QD_1238_PRE_M</t>
  </si>
  <si>
    <t>DN_CTR_QD_2127_PRE_M</t>
  </si>
  <si>
    <t>DN_CTR_QD_0340_PRE_M</t>
  </si>
  <si>
    <t>DN_CTR_QD_0303_PRE_M</t>
  </si>
  <si>
    <t>DN_CTR_QD_2636_PRE_M</t>
  </si>
  <si>
    <t>DN_CTR_QD_0922_PRE_M</t>
  </si>
  <si>
    <t>VHD_TKXA_PRE_M</t>
  </si>
  <si>
    <t>DN_CTR_QD_1515_PRE_M</t>
  </si>
  <si>
    <t>DN_CTR_QD_0243_PRE_M</t>
  </si>
  <si>
    <t>VHD_TG_PRE_M</t>
  </si>
  <si>
    <t>DN_CTR_QD_0707_PRE_M</t>
  </si>
  <si>
    <t>DN_CTR_QD_1717_PRE_M</t>
  </si>
  <si>
    <t>DN_CTR_QD_NV_122601_PRE_M</t>
  </si>
  <si>
    <t>VONTU_PRE_M</t>
  </si>
  <si>
    <t>NV_PRE_M</t>
  </si>
  <si>
    <t>DN_CTR_QD_0637_PRE_M</t>
  </si>
  <si>
    <t>VHD_NOXH_PRE_M</t>
  </si>
  <si>
    <t>DN_CTR_QD_04___PRE_M</t>
  </si>
  <si>
    <t>DN_CTR_QD_NV_042401_PRE_M</t>
  </si>
  <si>
    <t>DN_CTR_QD_NV_212701_PRE_M</t>
  </si>
  <si>
    <t>DN_CTR_QD_NV_070701_PRE_M</t>
  </si>
  <si>
    <t>DN_CTR_QD_NV_060602_PRE_M</t>
  </si>
  <si>
    <t>SDV_PRE_M</t>
  </si>
  <si>
    <t>VHD_PRE_M</t>
  </si>
  <si>
    <t>DN_CTR_QD_NV_063702_PRE_M</t>
  </si>
  <si>
    <t>DN_CTR_QD_NV_092201_PRE_M</t>
  </si>
  <si>
    <t>DN_CTR_QD_NV_253501_PRE_M</t>
  </si>
  <si>
    <t>DN_CTR_QD_NV_243401_PRE_M</t>
  </si>
  <si>
    <t>VONDP_PRE_M</t>
  </si>
  <si>
    <t>DN_CTR_QD_0101_PRE_M</t>
  </si>
  <si>
    <t>DN_CTR_QD_1226_PRE_M</t>
  </si>
  <si>
    <t>DN_CTR_QD_NV_191902_PRE_M</t>
  </si>
  <si>
    <t>DN_CTR_QD_NV_010101_PRE_M</t>
  </si>
  <si>
    <t>DN_CTR_QD_NV_123802_PRE_M</t>
  </si>
  <si>
    <t>DN_CTR_QD_NV_191901_PRE_M</t>
  </si>
  <si>
    <t>ATCT_PRE_M</t>
  </si>
  <si>
    <t>DN_CTR_QD_NV_171701_PRE_M</t>
  </si>
  <si>
    <t>DN_CTR_QD_1109_PRE_Y</t>
  </si>
  <si>
    <t>VONDP_H_PRE_Y</t>
  </si>
  <si>
    <t>DN_CTR_QD_NV_092201_PRE_Y</t>
  </si>
  <si>
    <t>DN_CTR_QD_NV_010101_PRE_Y</t>
  </si>
  <si>
    <t>TONG_DN_PRE_Y</t>
  </si>
  <si>
    <t>VTU_PRE_Y</t>
  </si>
  <si>
    <t>DN_CTR_QD_2636_PRE_Y</t>
  </si>
  <si>
    <t>VONDP_T_PRE_Y</t>
  </si>
  <si>
    <t>DN_CTR_QD_NV_010102_PRE_Y</t>
  </si>
  <si>
    <t>VONTU_PRE_Y</t>
  </si>
  <si>
    <t>DN_CTR_QD_NV_122601_PRE_Y</t>
  </si>
  <si>
    <t>DN_CTR_QD_NV_212701_PRE_Y</t>
  </si>
  <si>
    <t>DN_CTR_QD_NV_171702_PRE_Y</t>
  </si>
  <si>
    <t>DN_CTR_QD_0637_PRE_Y</t>
  </si>
  <si>
    <t>VHD_TKTO_PRE_Y</t>
  </si>
  <si>
    <t>DN_CTR_QD_2127_PRE_Y</t>
  </si>
  <si>
    <t>DN_CTR_QD_NV_243401_PRE_Y</t>
  </si>
  <si>
    <t>DN_CTR_QD_NV_263602_PRE_Y</t>
  </si>
  <si>
    <t>DN_CTR_QD_1515_PRE_Y</t>
  </si>
  <si>
    <t>DN_CTR_QD_NV_060601_PRE_Y</t>
  </si>
  <si>
    <t>DN_CTR_QD_NV_123801_PRE_Y</t>
  </si>
  <si>
    <t>DN_CTR_QD_NV_072301_PRE_Y</t>
  </si>
  <si>
    <t>DN_CTR_QD_NV_070702_PRE_Y</t>
  </si>
  <si>
    <t>DN_CTR_QD_NV_063702_PRE_Y</t>
  </si>
  <si>
    <t>NV_PRE_Y</t>
  </si>
  <si>
    <t>DN_CTR_QD_0723_PRE_Y</t>
  </si>
  <si>
    <t>ATCT_TM_PRE_Y</t>
  </si>
  <si>
    <t>ATCT_TG_PRE_Y</t>
  </si>
  <si>
    <t>DN_CTR_QD_2434_PRE_Y</t>
  </si>
  <si>
    <t>VHD_TKXA_PRE_Y</t>
  </si>
  <si>
    <t>DN_CTR_QD_1919_PRE_Y</t>
  </si>
  <si>
    <t>DN_CTR_QD_0202_PRE_Y</t>
  </si>
  <si>
    <t>DN_CTR_QD_0233_PRE_Y</t>
  </si>
  <si>
    <t>DN_CTR_QD_1238_PRE_Y</t>
  </si>
  <si>
    <t>DN_CTR_QD_0101_PRE_Y</t>
  </si>
  <si>
    <t>DN_CTR_QD_1226_PRE_Y</t>
  </si>
  <si>
    <t>DN_CTR_QD_0303_PRE_Y</t>
  </si>
  <si>
    <t>VHD_NOXH_PRE_Y</t>
  </si>
  <si>
    <t>DN_CTR_QD_04___PRE_Y</t>
  </si>
  <si>
    <t>DN_CTR_QD_2535_PRE_Y</t>
  </si>
  <si>
    <t>DN_CTR_QD_2332_PRE_Y</t>
  </si>
  <si>
    <t>DN_CTR_QD_1717_PRE_Y</t>
  </si>
  <si>
    <t>DN_CTR_QD_NV_191901_PRE_Y</t>
  </si>
  <si>
    <t>ATCT_PRE_Y</t>
  </si>
  <si>
    <t>DN_CTR_QD_NV_092202_PRE_Y</t>
  </si>
  <si>
    <t>VHD_PRE_Y</t>
  </si>
  <si>
    <t>DN_CTR_QD_1010_PRE_Y</t>
  </si>
  <si>
    <t>VHD_TG_PRE_Y</t>
  </si>
  <si>
    <t>VONDP_PRE_Y</t>
  </si>
  <si>
    <t>DN_CTR_QD_0922_PRE_Y</t>
  </si>
  <si>
    <t>DN_CTR_QD_NV_063701_PRE_Y</t>
  </si>
  <si>
    <t>DN_CTR_QD_NV_171701_PRE_Y</t>
  </si>
  <si>
    <t>VHD_KQHQ_PRE_Y</t>
  </si>
  <si>
    <t>VHD_TKDC_PRE_Y</t>
  </si>
  <si>
    <t>DN_CTR_QD_NV_042401_PRE_Y</t>
  </si>
  <si>
    <t>DN_CTR_QD_0707_PRE_Y</t>
  </si>
  <si>
    <t>DN_CTR_QD_0606_PRE_Y</t>
  </si>
  <si>
    <t>DN_CTR_QD_0341_PRE_Y</t>
  </si>
  <si>
    <t>DN_CTR_QD_0340_PRE_Y</t>
  </si>
  <si>
    <t>DN_CTR_QD_NV_191902_PRE_Y</t>
  </si>
  <si>
    <t>DN_CTR_QD_NV_070701_PRE_Y</t>
  </si>
  <si>
    <t>DN_CTR_QD_NV_253501_PRE_Y</t>
  </si>
  <si>
    <t>DN_CTR_QD_NV_110901_PRE_Y</t>
  </si>
  <si>
    <t>DN_CTR_QD_NV_060602_PRE_Y</t>
  </si>
  <si>
    <t>SDV_PRE_Y</t>
  </si>
  <si>
    <t>DN_CTR_QD_NV_263601_PRE_Y</t>
  </si>
  <si>
    <t>DN_CTR_QD_NV_123802_PRE_Y</t>
  </si>
  <si>
    <t>DN_CTR_QD_NV_122602_PRE_Y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</si>
</sst>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1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13"/>
      <color theme="1"/>
      <name val="Cambria"/>
      <family val="1"/>
      <charset val="163"/>
      <scheme val="major"/>
    </font>
    <font>
      <i/>
      <sz val="11"/>
      <color theme="1"/>
      <name val="Cambria"/>
      <family val="1"/>
      <charset val="163"/>
      <scheme val="major"/>
    </font>
    <font>
      <i/>
      <sz val="11"/>
      <color theme="1"/>
      <name val="Calibri"/>
      <family val="2"/>
      <scheme val="minor"/>
    </font>
    <font>
      <sz val="9"/>
      <color indexed="39"/>
      <name val="Tahoma"/>
      <family val="2"/>
      <charset val="163"/>
    </font>
    <font>
      <b/>
      <sz val="9"/>
      <color theme="1"/>
      <name val="Cambria"/>
      <family val="1"/>
      <charset val="163"/>
      <scheme val="maj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mbria"/>
      <family val="1"/>
      <charset val="163"/>
      <scheme val="major"/>
    </font>
    <font>
      <i/>
      <sz val="9"/>
      <color theme="1"/>
      <name val="Calibri"/>
      <family val="2"/>
      <scheme val="minor"/>
    </font>
    <font>
      <sz val="9"/>
      <color theme="1"/>
      <name val="Cambria"/>
      <family val="1"/>
      <charset val="163"/>
      <scheme val="major"/>
    </font>
    <font>
      <b/>
      <sz val="9"/>
      <name val="Cambria"/>
      <family val="1"/>
      <charset val="163"/>
      <scheme val="major"/>
    </font>
    <font>
      <b/>
      <sz val="9"/>
      <name val="Calibri"/>
      <family val="2"/>
      <scheme val="minor"/>
    </font>
    <font>
      <i/>
      <sz val="9"/>
      <name val="Cambria"/>
      <family val="1"/>
      <charset val="163"/>
      <scheme val="major"/>
    </font>
    <font>
      <i/>
      <sz val="9"/>
      <name val="Calibri"/>
      <family val="2"/>
      <scheme val="minor"/>
    </font>
    <font>
      <i/>
      <sz val="9"/>
      <color rgb="FFFF0000"/>
      <name val="Cambria"/>
      <family val="1"/>
      <charset val="163"/>
      <scheme val="major"/>
    </font>
    <font>
      <sz val="9"/>
      <color rgb="FFFF0000"/>
      <name val="Cambria"/>
      <family val="1"/>
      <charset val="163"/>
      <scheme val="major"/>
    </font>
    <font>
      <i/>
      <sz val="9"/>
      <color rgb="FFFF0000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5" fillId="0" borderId="1" xfId="0" applyFont="1" applyBorder="1"/>
    <xf numFmtId="0" fontId="6" fillId="0" borderId="1" xfId="0" applyFont="1" applyBorder="1"/>
    <xf numFmtId="0" fontId="6" fillId="0" borderId="1" xfId="0" quotePrefix="1" applyFont="1" applyBorder="1"/>
    <xf numFmtId="0" fontId="5" fillId="0" borderId="1" xfId="0" quotePrefix="1" applyFont="1" applyBorder="1"/>
    <xf numFmtId="4" fontId="6" fillId="0" borderId="0" xfId="0" applyNumberFormat="1" applyFont="1"/>
    <xf numFmtId="4" fontId="7" fillId="0" borderId="0" xfId="0" applyNumberFormat="1" applyFont="1" applyAlignment="1">
      <alignment vertical="top"/>
    </xf>
    <xf numFmtId="4" fontId="8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/>
    <xf numFmtId="4" fontId="6" fillId="0" borderId="1" xfId="0" applyNumberFormat="1" applyFont="1" applyBorder="1"/>
    <xf numFmtId="4" fontId="2" fillId="0" borderId="0" xfId="0" applyNumberFormat="1" applyFont="1"/>
    <xf numFmtId="4" fontId="0" fillId="0" borderId="0" xfId="0" applyNumberFormat="1"/>
    <xf numFmtId="10" fontId="6" fillId="0" borderId="1" xfId="1" applyNumberFormat="1" applyFont="1" applyBorder="1"/>
    <xf numFmtId="10" fontId="0" fillId="0" borderId="0" xfId="1" applyNumberFormat="1" applyFont="1"/>
    <xf numFmtId="10" fontId="6" fillId="0" borderId="1" xfId="0" applyNumberFormat="1" applyFont="1" applyBorder="1"/>
    <xf numFmtId="10" fontId="0" fillId="0" borderId="0" xfId="0" applyNumberForma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" fontId="8" fillId="0" borderId="1" xfId="0" applyNumberFormat="1" applyFont="1" applyBorder="1"/>
    <xf numFmtId="0" fontId="9" fillId="0" borderId="0" xfId="0" applyFont="1"/>
    <xf numFmtId="0" fontId="12" fillId="0" borderId="0" xfId="0" applyFont="1"/>
    <xf numFmtId="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4" fontId="11" fillId="0" borderId="1" xfId="0" applyNumberFormat="1" applyFont="1" applyBorder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0" fontId="15" fillId="0" borderId="0" xfId="0" applyFont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4" fontId="16" fillId="0" borderId="1" xfId="0" applyNumberFormat="1" applyFont="1" applyBorder="1"/>
    <xf numFmtId="10" fontId="16" fillId="0" borderId="1" xfId="1" applyNumberFormat="1" applyFont="1" applyBorder="1" applyAlignment="1">
      <alignment horizontal="center"/>
    </xf>
    <xf numFmtId="10" fontId="16" fillId="0" borderId="1" xfId="1" applyNumberFormat="1" applyFont="1" applyBorder="1"/>
    <xf numFmtId="10" fontId="12" fillId="0" borderId="0" xfId="1" applyNumberFormat="1" applyFont="1"/>
    <xf numFmtId="0" fontId="16" fillId="0" borderId="1" xfId="0" quotePrefix="1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10" fontId="16" fillId="0" borderId="1" xfId="0" applyNumberFormat="1" applyFont="1" applyBorder="1"/>
    <xf numFmtId="10" fontId="12" fillId="0" borderId="0" xfId="0" applyNumberFormat="1" applyFont="1"/>
    <xf numFmtId="0" fontId="16" fillId="0" borderId="1" xfId="0" quotePrefix="1" applyFont="1" applyBorder="1"/>
    <xf numFmtId="0" fontId="11" fillId="0" borderId="1" xfId="0" quotePrefix="1" applyFont="1" applyBorder="1"/>
    <xf numFmtId="10" fontId="16" fillId="0" borderId="1" xfId="0" applyNumberFormat="1" applyFont="1" applyBorder="1" applyAlignment="1">
      <alignment horizontal="center"/>
    </xf>
    <xf numFmtId="4" fontId="13" fillId="0" borderId="0" xfId="0" applyNumberFormat="1" applyFo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4" fontId="17" fillId="0" borderId="1" xfId="0" applyNumberFormat="1" applyFont="1" applyBorder="1"/>
    <xf numFmtId="0" fontId="18" fillId="0" borderId="0" xfId="0" applyFont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4" fontId="19" fillId="0" borderId="1" xfId="0" applyNumberFormat="1" applyFont="1" applyBorder="1"/>
    <xf numFmtId="0" fontId="20" fillId="0" borderId="0" xfId="0" applyFont="1"/>
    <xf numFmtId="4" fontId="21" fillId="0" borderId="1" xfId="0" applyNumberFormat="1" applyFont="1" applyBorder="1"/>
    <xf numFmtId="0" fontId="22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3" fillId="0" borderId="0" xfId="0" applyFont="1"/>
    <xf numFmtId="0" fontId="24" fillId="0" borderId="1" xfId="0" applyFont="1" applyBorder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metadata.xml" Type="http://schemas.openxmlformats.org/officeDocument/2006/relationships/sheetMetadata"/>
<Relationship Id="rId9" Target="calcChain.xml" Type="http://schemas.openxmlformats.org/officeDocument/2006/relationships/calcChain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2.vml" Type="http://schemas.openxmlformats.org/officeDocument/2006/relationships/vmlDrawing"/>
<Relationship Id="rId3" Target="../comments2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86"/>
  <sheetViews>
    <sheetView zoomScaleNormal="100" workbookViewId="0">
      <pane xSplit="2" ySplit="7" topLeftCell="C65" activePane="bottomRight" state="frozen"/>
      <selection pane="topRight" activeCell="C1" sqref="C1"/>
      <selection pane="bottomLeft" activeCell="A8" sqref="A8"/>
      <selection pane="bottomRight" activeCell="C51" sqref="C51"/>
    </sheetView>
  </sheetViews>
  <sheetFormatPr defaultRowHeight="15" x14ac:dyDescent="0.25"/>
  <cols>
    <col min="25" max="25" customWidth="true" width="10.42578125" collapsed="true"/>
    <col min="24" max="24" customWidth="true" width="10.42578125" collapsed="true"/>
    <col min="23" max="23" customWidth="true" width="10.42578125" collapsed="true"/>
    <col min="22" max="22" customWidth="true" width="10.42578125" collapsed="true"/>
    <col min="21" max="21" customWidth="true" width="10.42578125" collapsed="true"/>
    <col min="20" max="20" customWidth="true" width="10.42578125" collapsed="true"/>
    <col min="19" max="19" customWidth="true" width="10.42578125" collapsed="true"/>
    <col min="18" max="18" customWidth="true" width="10.42578125" collapsed="true"/>
    <col min="17" max="17" customWidth="true" width="10.42578125" collapsed="true"/>
    <col min="16" max="16" customWidth="true" width="10.42578125" collapsed="true"/>
    <col min="14" max="14" customWidth="true" style="17" width="10.42578125" collapsed="true"/>
    <col min="13" max="13" customWidth="true" style="17" width="10.42578125" collapsed="true"/>
    <col min="12" max="12" customWidth="true" style="17" width="10.42578125" collapsed="true"/>
    <col min="11" max="11" customWidth="true" style="17" width="10.42578125" collapsed="true"/>
    <col min="10" max="10" customWidth="true" style="17" width="10.42578125" collapsed="true"/>
    <col min="9" max="9" customWidth="true" style="17" width="10.42578125" collapsed="true"/>
    <col min="8" max="8" customWidth="true" style="17" width="10.42578125" collapsed="true"/>
    <col min="7" max="7" customWidth="true" style="17" width="10.42578125" collapsed="true"/>
    <col min="6" max="6" customWidth="true" style="17" width="10.42578125" collapsed="true"/>
    <col min="5" max="5" customWidth="true" style="17" width="10.42578125" collapsed="true"/>
    <col min="1" max="1" customWidth="true" width="4.28515625" collapsed="false"/>
    <col min="2" max="2" customWidth="true" width="29.85546875" collapsed="false"/>
    <col min="3" max="3" customWidth="true" style="17" width="37.0" collapsed="false"/>
    <col min="4" max="4" customWidth="true" style="17" width="10.42578125" collapsed="false"/>
    <col min="15" max="15" customWidth="true" width="10.42578125" collapsed="false"/>
  </cols>
  <sheetData>
    <row r="1" spans="1:25" x14ac:dyDescent="0.25" ht="15.0" customHeight="true">
      <c r="A1" s="3" t="s">
        <v>0</v>
      </c>
      <c r="B1" s="4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5" ht="16.5" x14ac:dyDescent="0.25" customHeight="true">
      <c r="A2" s="5" t="s">
        <v>1550</v>
      </c>
      <c r="B2" s="5"/>
      <c r="C2" s="11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25" x14ac:dyDescent="0.25" ht="15.0" customHeight="true">
      <c r="A3" s="70" t="s">
        <v>1551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25" x14ac:dyDescent="0.25" ht="15.0" customHeight="true">
      <c r="A4" s="71" t="s">
        <v>1552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25" x14ac:dyDescent="0.25" ht="15.0" customHeight="true">
      <c r="A5" s="4"/>
      <c r="B5" s="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 t="s">
        <v>1</v>
      </c>
    </row>
    <row r="6" spans="1:25" x14ac:dyDescent="0.25" ht="15.0" customHeight="true">
      <c r="A6" s="72" t="s">
        <v>2</v>
      </c>
      <c r="B6" s="72" t="s">
        <v>3</v>
      </c>
      <c r="C6" s="73" t="s">
        <v>825</v>
      </c>
      <c r="D6" s="74" t="s">
        <v>5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 spans="1:25" x14ac:dyDescent="0.25" ht="15.0" customHeight="true">
      <c r="A7" s="72"/>
      <c r="B7" s="72"/>
      <c r="C7" s="73"/>
      <c r="D7" s="13" t="s">
        <v>6</v>
      </c>
      <c r="E7" s="13" t="s">
        <v>84</v>
      </c>
      <c r="F7" s="13" t="s">
        <v>77</v>
      </c>
      <c r="G7" s="13" t="s">
        <v>80</v>
      </c>
      <c r="H7" s="13" t="s">
        <v>78</v>
      </c>
      <c r="I7" s="13" t="s">
        <v>82</v>
      </c>
      <c r="J7" s="13" t="s">
        <v>7</v>
      </c>
      <c r="K7" s="13" t="s">
        <v>83</v>
      </c>
      <c r="L7" s="13" t="s">
        <v>79</v>
      </c>
      <c r="M7" s="13" t="s">
        <v>81</v>
      </c>
      <c r="N7" s="13" t="s">
        <v>85</v>
      </c>
      <c r="O7" s="13" t="s">
        <v>846</v>
      </c>
      <c r="P7" s="13" t="s">
        <v>847</v>
      </c>
      <c r="Q7" s="13" t="s">
        <v>848</v>
      </c>
      <c r="R7" s="13" t="s">
        <v>849</v>
      </c>
      <c r="S7" s="13" t="s">
        <v>850</v>
      </c>
      <c r="T7" s="13" t="s">
        <v>851</v>
      </c>
      <c r="U7" s="13" t="s">
        <v>852</v>
      </c>
      <c r="V7" s="13" t="s">
        <v>853</v>
      </c>
      <c r="W7" s="13" t="s">
        <v>854</v>
      </c>
      <c r="X7" s="13" t="s">
        <v>855</v>
      </c>
      <c r="Y7" s="13" t="s">
        <v>856</v>
      </c>
    </row>
    <row r="8" spans="1:25" s="1" customFormat="1" x14ac:dyDescent="0.25" ht="15.0" customHeight="true">
      <c r="A8" s="22" t="s">
        <v>8</v>
      </c>
      <c r="B8" s="6" t="s">
        <v>9</v>
      </c>
      <c r="C8" s="14">
        <f>+C26+C83</f>
      </c>
      <c r="D8" s="14">
        <f>+D26+D83</f>
      </c>
      <c r="E8" s="14">
        <f>+E26+E83</f>
      </c>
      <c r="F8" s="14">
        <f>+F26+F83</f>
      </c>
      <c r="G8" s="14">
        <f>+G26+G83</f>
      </c>
      <c r="H8" s="14">
        <f>+H26+H83</f>
      </c>
      <c r="I8" s="14">
        <f>+I26+I83</f>
      </c>
      <c r="J8" s="14">
        <f>+J26+J83</f>
      </c>
      <c r="K8" s="14">
        <f>+K26+K83</f>
      </c>
      <c r="L8" s="14">
        <f>+L26+L83</f>
      </c>
      <c r="M8" s="14">
        <f>+M26+M83</f>
      </c>
      <c r="N8" s="14">
        <f>+N26+N83</f>
      </c>
      <c r="O8" s="14">
        <f>+O26+O83</f>
      </c>
      <c r="P8" s="14">
        <f>+P26+P83</f>
      </c>
      <c r="Q8" s="14">
        <f>+Q26+Q83</f>
      </c>
      <c r="R8" s="14">
        <f>+R26+R83</f>
      </c>
      <c r="S8" s="14">
        <f>+S26+S83</f>
      </c>
      <c r="T8" s="14">
        <f>+T26+T83</f>
      </c>
      <c r="U8" s="14">
        <f>+U26+U83</f>
      </c>
      <c r="V8" s="14">
        <f>+V26+V83</f>
      </c>
      <c r="W8" s="14">
        <f>+W26+W83</f>
      </c>
      <c r="X8" s="14">
        <f>+X26+X83</f>
      </c>
      <c r="Y8" s="14">
        <f>+Y26+Y83</f>
      </c>
    </row>
    <row r="9" spans="1:25" s="1" customFormat="1" x14ac:dyDescent="0.25" ht="15.0" customHeight="true">
      <c r="A9" s="22" t="s">
        <v>10</v>
      </c>
      <c r="B9" s="6" t="s">
        <v>11</v>
      </c>
      <c r="C9" s="14">
        <f>+C8-C20</f>
      </c>
      <c r="D9" s="14">
        <f>+D8-D20</f>
      </c>
      <c r="E9" s="14">
        <f>+E8-E20</f>
      </c>
      <c r="F9" s="14">
        <f>+F8-F20</f>
      </c>
      <c r="G9" s="14">
        <f>+G8-G20</f>
      </c>
      <c r="H9" s="14">
        <f>+H8-H20</f>
      </c>
      <c r="I9" s="14">
        <f>+I8-I20</f>
      </c>
      <c r="J9" s="14">
        <f>+J8-J20</f>
      </c>
      <c r="K9" s="14">
        <f>+K8-K20</f>
      </c>
      <c r="L9" s="14">
        <f>+L8-L20</f>
      </c>
      <c r="M9" s="14">
        <f>+M8-M20</f>
      </c>
      <c r="N9" s="14">
        <f>+N8-N20</f>
      </c>
      <c r="O9" s="14">
        <f>+O8-O20</f>
      </c>
      <c r="P9" s="14">
        <f>+P8-P20</f>
      </c>
      <c r="Q9" s="14">
        <f>+Q8-Q20</f>
      </c>
      <c r="R9" s="14">
        <f>+R8-R20</f>
      </c>
      <c r="S9" s="14">
        <f>+S8-S20</f>
      </c>
      <c r="T9" s="14">
        <f>+T8-T20</f>
      </c>
      <c r="U9" s="14">
        <f>+U8-U20</f>
      </c>
      <c r="V9" s="14">
        <f>+V8-V20</f>
      </c>
      <c r="W9" s="14">
        <f>+W8-W20</f>
      </c>
      <c r="X9" s="14">
        <f>+X8-X20</f>
      </c>
      <c r="Y9" s="14">
        <f>+Y8-Y20</f>
      </c>
    </row>
    <row r="10" spans="1:25" x14ac:dyDescent="0.25" ht="15.0" customHeight="true">
      <c r="A10" s="23" t="n">
        <v>1.0</v>
      </c>
      <c r="B10" s="7" t="s">
        <v>12</v>
      </c>
      <c r="C10" s="15">
        <f>+C9-C12</f>
      </c>
      <c r="D10" s="15">
        <f>+D9-D12</f>
      </c>
      <c r="E10" s="15">
        <f>+E9-E12</f>
      </c>
      <c r="F10" s="15">
        <f>+F9-F12</f>
      </c>
      <c r="G10" s="15">
        <f>+G9-G12</f>
      </c>
      <c r="H10" s="15">
        <f>+H9-H12</f>
      </c>
      <c r="I10" s="15">
        <f>+I9-I12</f>
      </c>
      <c r="J10" s="15">
        <f>+J9-J12</f>
      </c>
      <c r="K10" s="15">
        <f>+K9-K12</f>
      </c>
      <c r="L10" s="15">
        <f>+L9-L12</f>
      </c>
      <c r="M10" s="15">
        <f>+M9-M12</f>
      </c>
      <c r="N10" s="15">
        <f>+N9-N12</f>
      </c>
      <c r="O10" s="15">
        <f>+O9-O12</f>
      </c>
      <c r="P10" s="15">
        <f>+P9-P12</f>
      </c>
      <c r="Q10" s="15">
        <f>+Q9-Q12</f>
      </c>
      <c r="R10" s="15">
        <f>+R9-R12</f>
      </c>
      <c r="S10" s="15">
        <f>+S9-S12</f>
      </c>
      <c r="T10" s="15">
        <f>+T9-T12</f>
      </c>
      <c r="U10" s="15">
        <f>+U9-U12</f>
      </c>
      <c r="V10" s="15">
        <f>+V9-V12</f>
      </c>
      <c r="W10" s="15">
        <f>+W9-W12</f>
      </c>
      <c r="X10" s="15">
        <f>+X9-X12</f>
      </c>
      <c r="Y10" s="15">
        <f>+Y9-Y12</f>
      </c>
    </row>
    <row r="11" spans="1:25" s="19" customFormat="1" x14ac:dyDescent="0.25" ht="15.0" customHeight="true">
      <c r="A11" s="24"/>
      <c r="B11" s="18" t="s">
        <v>13</v>
      </c>
      <c r="C11" s="18">
        <f>+C10/C8</f>
      </c>
      <c r="D11" s="18">
        <f>+D10/D8</f>
      </c>
      <c r="E11" s="18">
        <f>+E10/E8</f>
      </c>
      <c r="F11" s="18">
        <f>+F10/F8</f>
      </c>
      <c r="G11" s="18">
        <f>+G10/G8</f>
      </c>
      <c r="H11" s="18">
        <f>+H10/H8</f>
      </c>
      <c r="I11" s="18">
        <f>+I10/I8</f>
      </c>
      <c r="J11" s="18">
        <f>+J10/J8</f>
      </c>
      <c r="K11" s="18">
        <f>+K10/K8</f>
      </c>
      <c r="L11" s="18">
        <f>+L10/L8</f>
      </c>
      <c r="M11" s="18">
        <f>+M10/M8</f>
      </c>
      <c r="N11" s="18">
        <f>+N10/N8</f>
      </c>
      <c r="O11" s="18">
        <f>+O10/O8</f>
      </c>
      <c r="P11" s="18">
        <f>+P10/P8</f>
      </c>
      <c r="Q11" s="18">
        <f>+Q10/Q8</f>
      </c>
      <c r="R11" s="18">
        <f>+R10/R8</f>
      </c>
      <c r="S11" s="18">
        <f>+S10/S8</f>
      </c>
      <c r="T11" s="18">
        <f>+T10/T8</f>
      </c>
      <c r="U11" s="18">
        <f>+U10/U8</f>
      </c>
      <c r="V11" s="18">
        <f>+V10/V8</f>
      </c>
      <c r="W11" s="18">
        <f>+W10/W8</f>
      </c>
      <c r="X11" s="18">
        <f>+X10/X8</f>
      </c>
      <c r="Y11" s="18">
        <f>+Y10/Y8</f>
      </c>
    </row>
    <row r="12" spans="1:25" x14ac:dyDescent="0.25" ht="15.0" customHeight="true">
      <c r="A12" s="23" t="n">
        <v>2.0</v>
      </c>
      <c r="B12" s="7" t="s">
        <v>14</v>
      </c>
      <c r="C12" s="15" t="s">
        <v>1553</v>
      </c>
      <c r="D12" s="15" t="n">
        <v>306693.89</v>
      </c>
      <c r="E12" s="15" t="n">
        <v>80849.1</v>
      </c>
      <c r="F12" s="15" t="n">
        <v>87444.68</v>
      </c>
      <c r="G12" s="15" t="n">
        <v>72511.53</v>
      </c>
      <c r="H12" s="15" t="n">
        <v>77017.12</v>
      </c>
      <c r="I12" s="15" t="n">
        <v>60448.56</v>
      </c>
      <c r="J12" s="15" t="n">
        <v>72278.52</v>
      </c>
      <c r="K12" s="15" t="n">
        <v>66104.69</v>
      </c>
      <c r="L12" s="15" t="n">
        <v>69774.55</v>
      </c>
      <c r="M12" s="15" t="n">
        <v>62418.94</v>
      </c>
      <c r="N12" s="15" t="n">
        <v>92510.39</v>
      </c>
      <c r="O12" s="15" t="n">
        <v>46014.18</v>
      </c>
      <c r="P12" s="15" t="n">
        <v>54451.48</v>
      </c>
      <c r="Q12" s="15" t="n">
        <v>162288.73</v>
      </c>
      <c r="R12" s="15" t="n">
        <v>43094.61</v>
      </c>
      <c r="S12" s="15" t="n">
        <v>48440.74</v>
      </c>
      <c r="T12" s="15" t="n">
        <v>64375.96</v>
      </c>
      <c r="U12" s="15" t="n">
        <v>50341.99</v>
      </c>
      <c r="V12" s="15" t="n">
        <v>33475.24</v>
      </c>
      <c r="W12" s="15" t="n">
        <v>64464.41</v>
      </c>
      <c r="X12" s="15" t="n">
        <v>56267.67</v>
      </c>
      <c r="Y12" s="15" t="n">
        <v>42586.26</v>
      </c>
    </row>
    <row r="13" spans="1:25" s="19" customFormat="1" x14ac:dyDescent="0.25" ht="15.0" customHeight="true">
      <c r="A13" s="24"/>
      <c r="B13" s="18" t="s">
        <v>15</v>
      </c>
      <c r="C13" s="18">
        <f>+C12/C8</f>
      </c>
      <c r="D13" s="18">
        <f>+D12/D8</f>
      </c>
      <c r="E13" s="18">
        <f>+E12/E8</f>
      </c>
      <c r="F13" s="18">
        <f>+F12/F8</f>
      </c>
      <c r="G13" s="18">
        <f>+G12/G8</f>
      </c>
      <c r="H13" s="18">
        <f>+H12/H8</f>
      </c>
      <c r="I13" s="18">
        <f>+I12/I8</f>
      </c>
      <c r="J13" s="18">
        <f>+J12/J8</f>
      </c>
      <c r="K13" s="18">
        <f>+K12/K8</f>
      </c>
      <c r="L13" s="18">
        <f>+L12/L8</f>
      </c>
      <c r="M13" s="18">
        <f>+M12/M8</f>
      </c>
      <c r="N13" s="18">
        <f>+N12/N8</f>
      </c>
      <c r="O13" s="18">
        <f>+O12/O8</f>
      </c>
      <c r="P13" s="18">
        <f>+P12/P8</f>
      </c>
      <c r="Q13" s="18">
        <f>+Q12/Q8</f>
      </c>
      <c r="R13" s="18">
        <f>+R12/R8</f>
      </c>
      <c r="S13" s="18">
        <f>+S12/S8</f>
      </c>
      <c r="T13" s="18">
        <f>+T12/T8</f>
      </c>
      <c r="U13" s="18">
        <f>+U12/U8</f>
      </c>
      <c r="V13" s="18">
        <f>+V12/V8</f>
      </c>
      <c r="W13" s="18">
        <f>+W12/W8</f>
      </c>
      <c r="X13" s="18">
        <f>+X12/X8</f>
      </c>
      <c r="Y13" s="18">
        <f>+Y12/Y8</f>
      </c>
    </row>
    <row r="14" spans="1:25" x14ac:dyDescent="0.25" ht="15.0" customHeight="true">
      <c r="A14" s="25" t="s">
        <v>16</v>
      </c>
      <c r="B14" s="7" t="s">
        <v>17</v>
      </c>
      <c r="C14" s="15" t="s">
        <v>1554</v>
      </c>
      <c r="D14" s="15" t="n">
        <v>224825.31</v>
      </c>
      <c r="E14" s="15" t="n">
        <v>4332.78</v>
      </c>
      <c r="F14" s="15" t="n">
        <v>10462.13</v>
      </c>
      <c r="G14" s="15" t="n">
        <v>2863.44</v>
      </c>
      <c r="H14" s="15" t="n">
        <v>2634.93</v>
      </c>
      <c r="I14" s="15" t="n">
        <v>4193.74</v>
      </c>
      <c r="J14" s="15" t="n">
        <v>10706.26</v>
      </c>
      <c r="K14" s="15" t="n">
        <v>1145.45</v>
      </c>
      <c r="L14" s="15" t="n">
        <v>4457.58</v>
      </c>
      <c r="M14" s="15" t="n">
        <v>2104.1</v>
      </c>
      <c r="N14" s="15" t="n">
        <v>1656.09</v>
      </c>
      <c r="O14" s="15" t="n">
        <v>842.74</v>
      </c>
      <c r="P14" s="15" t="n">
        <v>2151.21</v>
      </c>
      <c r="Q14" s="15" t="n">
        <v>136620.31</v>
      </c>
      <c r="R14" s="15" t="n">
        <v>4373.94</v>
      </c>
      <c r="S14" s="15" t="n">
        <v>5407.69</v>
      </c>
      <c r="T14" s="15" t="n">
        <v>2344.03</v>
      </c>
      <c r="U14" s="15" t="n">
        <v>2132.64</v>
      </c>
      <c r="V14" s="15" t="n">
        <v>4437.06</v>
      </c>
      <c r="W14" s="15" t="n">
        <v>7658.19</v>
      </c>
      <c r="X14" s="15" t="n">
        <v>8353.75</v>
      </c>
      <c r="Y14" s="15" t="n">
        <v>2648.49</v>
      </c>
    </row>
    <row r="15" spans="1:25" x14ac:dyDescent="0.25" ht="15.0" customHeight="true">
      <c r="A15" s="25"/>
      <c r="B15" s="7" t="s">
        <v>18</v>
      </c>
      <c r="C15" s="15" t="s">
        <v>1555</v>
      </c>
      <c r="D15" s="15" t="n">
        <v>9522.08</v>
      </c>
      <c r="E15" s="15" t="n">
        <v>3337.71</v>
      </c>
      <c r="F15" s="15" t="n">
        <v>1545.04</v>
      </c>
      <c r="G15" s="15" t="n">
        <v>520.71</v>
      </c>
      <c r="H15" s="15" t="n">
        <v>1053.06</v>
      </c>
      <c r="I15" s="15" t="n">
        <v>2052.74</v>
      </c>
      <c r="J15" s="15" t="n">
        <v>210.26</v>
      </c>
      <c r="K15" s="15" t="n">
        <v>204.7</v>
      </c>
      <c r="L15" s="15" t="n">
        <v>204.7</v>
      </c>
      <c r="M15" s="15" t="n">
        <v>936.43</v>
      </c>
      <c r="N15" s="15" t="n">
        <v>0.0</v>
      </c>
      <c r="O15" s="15" t="n">
        <v>0.0</v>
      </c>
      <c r="P15" s="15" t="n">
        <v>1325.2</v>
      </c>
      <c r="Q15" s="15" t="n">
        <v>2725.39</v>
      </c>
      <c r="R15" s="15" t="n">
        <v>218.42</v>
      </c>
      <c r="S15" s="15" t="n">
        <v>209.4</v>
      </c>
      <c r="T15" s="15" t="n">
        <v>338.43</v>
      </c>
      <c r="U15" s="15" t="n">
        <v>314.96</v>
      </c>
      <c r="V15" s="15" t="n">
        <v>342.77</v>
      </c>
      <c r="W15" s="15" t="n">
        <v>111.31</v>
      </c>
      <c r="X15" s="15" t="n">
        <v>1166.38</v>
      </c>
      <c r="Y15" s="15" t="n">
        <v>675.76</v>
      </c>
    </row>
    <row r="16" spans="1:25" x14ac:dyDescent="0.25" ht="15.0" customHeight="true">
      <c r="A16" s="25"/>
      <c r="B16" s="7" t="s">
        <v>19</v>
      </c>
      <c r="C16" s="15" t="s">
        <v>1556</v>
      </c>
      <c r="D16" s="15" t="n">
        <v>0.0</v>
      </c>
      <c r="E16" s="15" t="n">
        <v>0.0</v>
      </c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n">
        <v>0.0</v>
      </c>
      <c r="L16" s="15" t="n">
        <v>0.0</v>
      </c>
      <c r="M16" s="15" t="n">
        <v>0.0</v>
      </c>
      <c r="N16" s="15" t="n">
        <v>0.0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0.0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</row>
    <row r="17" spans="1:25" x14ac:dyDescent="0.25" ht="15.0" customHeight="true">
      <c r="A17" s="25" t="s">
        <v>20</v>
      </c>
      <c r="B17" s="7" t="s">
        <v>21</v>
      </c>
      <c r="C17" s="15" t="s">
        <v>1557</v>
      </c>
      <c r="D17" s="15" t="n">
        <v>10761.19</v>
      </c>
      <c r="E17" s="15" t="n">
        <v>16616.68</v>
      </c>
      <c r="F17" s="15" t="n">
        <v>12029.31</v>
      </c>
      <c r="G17" s="15" t="n">
        <v>15068.72</v>
      </c>
      <c r="H17" s="15" t="n">
        <v>13418.05</v>
      </c>
      <c r="I17" s="15" t="n">
        <v>22105.82</v>
      </c>
      <c r="J17" s="15" t="n">
        <v>11015.07</v>
      </c>
      <c r="K17" s="15" t="n">
        <v>11617.26</v>
      </c>
      <c r="L17" s="15" t="n">
        <v>23587.85</v>
      </c>
      <c r="M17" s="15" t="n">
        <v>12857.52</v>
      </c>
      <c r="N17" s="15" t="n">
        <v>16682.14</v>
      </c>
      <c r="O17" s="15" t="n">
        <v>11648.3</v>
      </c>
      <c r="P17" s="15" t="n">
        <v>15358.35</v>
      </c>
      <c r="Q17" s="15" t="n">
        <v>11442.13</v>
      </c>
      <c r="R17" s="15" t="n">
        <v>12301.2</v>
      </c>
      <c r="S17" s="15" t="n">
        <v>3724.36</v>
      </c>
      <c r="T17" s="15" t="n">
        <v>15510.41</v>
      </c>
      <c r="U17" s="15" t="n">
        <v>25387.31</v>
      </c>
      <c r="V17" s="15" t="n">
        <v>8409.24</v>
      </c>
      <c r="W17" s="15" t="n">
        <v>15431.78</v>
      </c>
      <c r="X17" s="15" t="n">
        <v>7172.89</v>
      </c>
      <c r="Y17" s="15" t="n">
        <v>9169.82</v>
      </c>
    </row>
    <row r="18" spans="1:25" x14ac:dyDescent="0.25" ht="15.0" customHeight="true">
      <c r="A18" s="25" t="s">
        <v>22</v>
      </c>
      <c r="B18" s="7" t="s">
        <v>23</v>
      </c>
      <c r="C18" s="15" t="s">
        <v>1558</v>
      </c>
      <c r="D18" s="15" t="n">
        <v>4683.36</v>
      </c>
      <c r="E18" s="15" t="n">
        <v>2075.58</v>
      </c>
      <c r="F18" s="15" t="n">
        <v>5780.58</v>
      </c>
      <c r="G18" s="15" t="n">
        <v>3036.89</v>
      </c>
      <c r="H18" s="15" t="n">
        <v>8446.05</v>
      </c>
      <c r="I18" s="15" t="n">
        <v>10769.98</v>
      </c>
      <c r="J18" s="15" t="n">
        <v>9005.55</v>
      </c>
      <c r="K18" s="15" t="n">
        <v>3679.21</v>
      </c>
      <c r="L18" s="15" t="n">
        <v>6063.3</v>
      </c>
      <c r="M18" s="15" t="n">
        <v>6713.88</v>
      </c>
      <c r="N18" s="15" t="n">
        <v>4227.33</v>
      </c>
      <c r="O18" s="15" t="n">
        <v>2688.57</v>
      </c>
      <c r="P18" s="15" t="n">
        <v>1476.17</v>
      </c>
      <c r="Q18" s="15" t="n">
        <v>0.0</v>
      </c>
      <c r="R18" s="15" t="n">
        <v>2069.76</v>
      </c>
      <c r="S18" s="15" t="n">
        <v>5403.19</v>
      </c>
      <c r="T18" s="15" t="n">
        <v>2675.97</v>
      </c>
      <c r="U18" s="15" t="n">
        <v>471.31</v>
      </c>
      <c r="V18" s="15" t="n">
        <v>1352.72</v>
      </c>
      <c r="W18" s="15" t="n">
        <v>2932.42</v>
      </c>
      <c r="X18" s="15" t="n">
        <v>1302.79</v>
      </c>
      <c r="Y18" s="15" t="n">
        <v>3584.62</v>
      </c>
    </row>
    <row r="19" spans="1:25" x14ac:dyDescent="0.25" ht="15.0" customHeight="true">
      <c r="A19" s="25" t="s">
        <v>24</v>
      </c>
      <c r="B19" s="7" t="s">
        <v>25</v>
      </c>
      <c r="C19" s="15" t="s">
        <v>1559</v>
      </c>
      <c r="D19" s="15" t="n">
        <v>66424.03</v>
      </c>
      <c r="E19" s="15" t="n">
        <v>57824.06</v>
      </c>
      <c r="F19" s="15" t="n">
        <v>59172.66</v>
      </c>
      <c r="G19" s="15" t="n">
        <v>51542.48</v>
      </c>
      <c r="H19" s="15" t="n">
        <v>52518.09</v>
      </c>
      <c r="I19" s="15" t="n">
        <v>23379.02</v>
      </c>
      <c r="J19" s="15" t="n">
        <v>41551.64</v>
      </c>
      <c r="K19" s="15" t="n">
        <v>49662.77</v>
      </c>
      <c r="L19" s="15" t="n">
        <v>35665.82</v>
      </c>
      <c r="M19" s="15" t="n">
        <v>40743.44</v>
      </c>
      <c r="N19" s="15" t="n">
        <v>69944.83</v>
      </c>
      <c r="O19" s="15" t="n">
        <v>30834.57</v>
      </c>
      <c r="P19" s="15" t="n">
        <v>35465.75</v>
      </c>
      <c r="Q19" s="15" t="n">
        <v>14226.29</v>
      </c>
      <c r="R19" s="15" t="n">
        <v>24349.71</v>
      </c>
      <c r="S19" s="15" t="n">
        <v>33905.5</v>
      </c>
      <c r="T19" s="15" t="n">
        <v>43845.55</v>
      </c>
      <c r="U19" s="15" t="n">
        <v>22350.73</v>
      </c>
      <c r="V19" s="15" t="n">
        <v>19276.22</v>
      </c>
      <c r="W19" s="15" t="n">
        <v>38442.02</v>
      </c>
      <c r="X19" s="15" t="n">
        <v>39438.24</v>
      </c>
      <c r="Y19" s="15" t="n">
        <v>27183.33</v>
      </c>
    </row>
    <row r="20" spans="1:25" s="1" customFormat="1" x14ac:dyDescent="0.25" ht="15.0" customHeight="true">
      <c r="A20" s="22" t="s">
        <v>26</v>
      </c>
      <c r="B20" s="6" t="s">
        <v>27</v>
      </c>
      <c r="C20" s="14">
        <f>+C22+C23</f>
      </c>
      <c r="D20" s="14">
        <f>+D22+D23</f>
      </c>
      <c r="E20" s="14">
        <f>+E22+E23</f>
      </c>
      <c r="F20" s="14">
        <f>+F22+F23</f>
      </c>
      <c r="G20" s="14">
        <f>+G22+G23</f>
      </c>
      <c r="H20" s="14">
        <f>+H22+H23</f>
      </c>
      <c r="I20" s="14">
        <f>+I22+I23</f>
      </c>
      <c r="J20" s="14">
        <f>+J22+J23</f>
      </c>
      <c r="K20" s="14">
        <f>+K22+K23</f>
      </c>
      <c r="L20" s="14">
        <f>+L22+L23</f>
      </c>
      <c r="M20" s="14">
        <f>+M22+M23</f>
      </c>
      <c r="N20" s="14">
        <f>+N22+N23</f>
      </c>
      <c r="O20" s="14">
        <f>+O22+O23</f>
      </c>
      <c r="P20" s="14">
        <f>+P22+P23</f>
      </c>
      <c r="Q20" s="14">
        <f>+Q22+Q23</f>
      </c>
      <c r="R20" s="14">
        <f>+R22+R23</f>
      </c>
      <c r="S20" s="14">
        <f>+S22+S23</f>
      </c>
      <c r="T20" s="14">
        <f>+T22+T23</f>
      </c>
      <c r="U20" s="14">
        <f>+U22+U23</f>
      </c>
      <c r="V20" s="14">
        <f>+V22+V23</f>
      </c>
      <c r="W20" s="14">
        <f>+W22+W23</f>
      </c>
      <c r="X20" s="14">
        <f>+X22+X23</f>
      </c>
      <c r="Y20" s="14">
        <f>+Y22+Y23</f>
      </c>
    </row>
    <row r="21" spans="1:25" s="21" customFormat="1" x14ac:dyDescent="0.25" ht="15.0" customHeight="true">
      <c r="A21" s="26"/>
      <c r="B21" s="20" t="s">
        <v>15</v>
      </c>
      <c r="C21" s="18">
        <f>+C20/C8</f>
      </c>
      <c r="D21" s="18">
        <f>+D20/D8</f>
      </c>
      <c r="E21" s="18">
        <f>+E20/E8</f>
      </c>
      <c r="F21" s="18">
        <f>+F20/F8</f>
      </c>
      <c r="G21" s="18">
        <f>+G20/G8</f>
      </c>
      <c r="H21" s="18">
        <f>+H20/H8</f>
      </c>
      <c r="I21" s="18">
        <f>+I20/I8</f>
      </c>
      <c r="J21" s="18">
        <f>+J20/J8</f>
      </c>
      <c r="K21" s="18">
        <f>+K20/K8</f>
      </c>
      <c r="L21" s="18">
        <f>+L20/L8</f>
      </c>
      <c r="M21" s="18">
        <f>+M20/M8</f>
      </c>
      <c r="N21" s="18">
        <f>+N20/N8</f>
      </c>
      <c r="O21" s="18">
        <f>+O20/O8</f>
      </c>
      <c r="P21" s="18">
        <f>+P20/P8</f>
      </c>
      <c r="Q21" s="18">
        <f>+Q20/Q8</f>
      </c>
      <c r="R21" s="18">
        <f>+R20/R8</f>
      </c>
      <c r="S21" s="18">
        <f>+S20/S8</f>
      </c>
      <c r="T21" s="18">
        <f>+T20/T8</f>
      </c>
      <c r="U21" s="18">
        <f>+U20/U8</f>
      </c>
      <c r="V21" s="18">
        <f>+V20/V8</f>
      </c>
      <c r="W21" s="18">
        <f>+W20/W8</f>
      </c>
      <c r="X21" s="18">
        <f>+X20/X8</f>
      </c>
      <c r="Y21" s="18">
        <f>+Y20/Y8</f>
      </c>
    </row>
    <row r="22" spans="1:25" x14ac:dyDescent="0.25" ht="15.0" customHeight="true">
      <c r="A22" s="23" t="n">
        <v>1.0</v>
      </c>
      <c r="B22" s="8" t="s">
        <v>28</v>
      </c>
      <c r="C22" s="15" t="s">
        <v>1560</v>
      </c>
      <c r="D22" s="15" t="n">
        <v>21764.0</v>
      </c>
      <c r="E22" s="15" t="n">
        <v>29018.0</v>
      </c>
      <c r="F22" s="15" t="n">
        <v>40338.0</v>
      </c>
      <c r="G22" s="15" t="n">
        <v>34307.0</v>
      </c>
      <c r="H22" s="15" t="n">
        <v>46743.0</v>
      </c>
      <c r="I22" s="15" t="n">
        <v>48235.0</v>
      </c>
      <c r="J22" s="15" t="n">
        <v>74013.0</v>
      </c>
      <c r="K22" s="15" t="n">
        <v>69367.0</v>
      </c>
      <c r="L22" s="15" t="n">
        <v>34142.0</v>
      </c>
      <c r="M22" s="15" t="n">
        <v>45717.0</v>
      </c>
      <c r="N22" s="15" t="n">
        <v>31910.0</v>
      </c>
      <c r="O22" s="15" t="n">
        <v>100.0</v>
      </c>
      <c r="P22" s="15" t="n">
        <v>100.0</v>
      </c>
      <c r="Q22" s="15" t="n">
        <v>100.0</v>
      </c>
      <c r="R22" s="15" t="n">
        <v>100.0</v>
      </c>
      <c r="S22" s="15" t="n">
        <v>100.0</v>
      </c>
      <c r="T22" s="15" t="n">
        <v>100.0</v>
      </c>
      <c r="U22" s="15" t="n">
        <v>100.0</v>
      </c>
      <c r="V22" s="15" t="n">
        <v>100.0</v>
      </c>
      <c r="W22" s="15" t="n">
        <v>100.0</v>
      </c>
      <c r="X22" s="15" t="n">
        <v>100.0</v>
      </c>
      <c r="Y22" s="15" t="n">
        <v>100.0</v>
      </c>
    </row>
    <row r="23" spans="1:25" x14ac:dyDescent="0.25" ht="15.0" customHeight="true">
      <c r="A23" s="23" t="n">
        <v>2.0</v>
      </c>
      <c r="B23" s="8" t="s">
        <v>29</v>
      </c>
      <c r="C23" s="15" t="s">
        <v>845</v>
      </c>
      <c r="D23" s="15" t="n">
        <v>0.0</v>
      </c>
      <c r="E23" s="15" t="n">
        <v>0.0</v>
      </c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0.0</v>
      </c>
      <c r="K23" s="15" t="n">
        <v>0.0</v>
      </c>
      <c r="L23" s="15" t="n">
        <v>0.0</v>
      </c>
      <c r="M23" s="15" t="n">
        <v>0.0</v>
      </c>
      <c r="N23" s="15" t="n">
        <v>0.0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0.0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</row>
    <row r="24" spans="1:25" s="1" customFormat="1" x14ac:dyDescent="0.25" ht="15.0" customHeight="true">
      <c r="A24" s="22" t="s">
        <v>30</v>
      </c>
      <c r="B24" s="9" t="s">
        <v>31</v>
      </c>
      <c r="C24" s="14" t="n">
        <v>0.0</v>
      </c>
      <c r="D24" s="14" t="n">
        <v>0.0</v>
      </c>
      <c r="E24" s="14" t="n">
        <v>0.0</v>
      </c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n">
        <v>0.0</v>
      </c>
      <c r="L24" s="14" t="n">
        <v>0.0</v>
      </c>
      <c r="M24" s="14" t="n">
        <v>0.0</v>
      </c>
      <c r="N24" s="14" t="n">
        <v>0.0</v>
      </c>
      <c r="O24" s="14" t="n">
        <v>0.0</v>
      </c>
      <c r="P24" s="14" t="n">
        <v>0.0</v>
      </c>
      <c r="Q24" s="14" t="n">
        <v>0.0</v>
      </c>
      <c r="R24" s="14" t="n">
        <v>0.0</v>
      </c>
      <c r="S24" s="14" t="n">
        <v>0.0</v>
      </c>
      <c r="T24" s="14" t="n">
        <v>0.0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</row>
    <row r="25" spans="1:25" s="1" customFormat="1" x14ac:dyDescent="0.25" ht="15.0" customHeight="true">
      <c r="A25" s="22" t="s">
        <v>32</v>
      </c>
      <c r="B25" s="6" t="s">
        <v>33</v>
      </c>
      <c r="C25" s="14">
        <f>+C26+C82+C83</f>
      </c>
      <c r="D25" s="14">
        <f>+D26+D82+D83</f>
      </c>
      <c r="E25" s="14">
        <f>+E26+E82+E83</f>
      </c>
      <c r="F25" s="14">
        <f>+F26+F82+F83</f>
      </c>
      <c r="G25" s="14">
        <f>+G26+G82+G83</f>
      </c>
      <c r="H25" s="14">
        <f>+H26+H82+H83</f>
      </c>
      <c r="I25" s="14">
        <f>+I26+I82+I83</f>
      </c>
      <c r="J25" s="14">
        <f>+J26+J82+J83</f>
      </c>
      <c r="K25" s="14">
        <f>+K26+K82+K83</f>
      </c>
      <c r="L25" s="14">
        <f>+L26+L82+L83</f>
      </c>
      <c r="M25" s="14">
        <f>+M26+M82+M83</f>
      </c>
      <c r="N25" s="14">
        <f>+N26+N82+N83</f>
      </c>
      <c r="O25" s="14">
        <f>+O26+O82+O83</f>
      </c>
      <c r="P25" s="14">
        <f>+P26+P82+P83</f>
      </c>
      <c r="Q25" s="14">
        <f>+Q26+Q82+Q83</f>
      </c>
      <c r="R25" s="14">
        <f>+R26+R82+R83</f>
      </c>
      <c r="S25" s="14">
        <f>+S26+S82+S83</f>
      </c>
      <c r="T25" s="14">
        <f>+T26+T82+T83</f>
      </c>
      <c r="U25" s="14">
        <f>+U26+U82+U83</f>
      </c>
      <c r="V25" s="14">
        <f>+V26+V82+V83</f>
      </c>
      <c r="W25" s="14">
        <f>+W26+W82+W83</f>
      </c>
      <c r="X25" s="14">
        <f>+X26+X82+X83</f>
      </c>
      <c r="Y25" s="14">
        <f>+Y26+Y82+Y83</f>
      </c>
    </row>
    <row r="26" spans="1:25" s="1" customFormat="1" x14ac:dyDescent="0.25" ht="15.0" customHeight="true">
      <c r="A26" s="22" t="s">
        <v>34</v>
      </c>
      <c r="B26" s="6" t="s">
        <v>35</v>
      </c>
      <c r="C26" s="14">
        <f>+C29+C36</f>
      </c>
      <c r="D26" s="14">
        <f>+D29+D36</f>
      </c>
      <c r="E26" s="14">
        <f>+E29+E36</f>
      </c>
      <c r="F26" s="14">
        <f>+F29+F36</f>
      </c>
      <c r="G26" s="14">
        <f>+G29+G36</f>
      </c>
      <c r="H26" s="14">
        <f>+H29+H36</f>
      </c>
      <c r="I26" s="14">
        <f>+I29+I36</f>
      </c>
      <c r="J26" s="14">
        <f>+J29+J36</f>
      </c>
      <c r="K26" s="14">
        <f>+K29+K36</f>
      </c>
      <c r="L26" s="14">
        <f>+L29+L36</f>
      </c>
      <c r="M26" s="14">
        <f>+M29+M36</f>
      </c>
      <c r="N26" s="14">
        <f>+N29+N36</f>
      </c>
      <c r="O26" s="14">
        <f>+O29+O36</f>
      </c>
      <c r="P26" s="14">
        <f>+P29+P36</f>
      </c>
      <c r="Q26" s="14">
        <f>+Q29+Q36</f>
      </c>
      <c r="R26" s="14">
        <f>+R29+R36</f>
      </c>
      <c r="S26" s="14">
        <f>+S29+S36</f>
      </c>
      <c r="T26" s="14">
        <f>+T29+T36</f>
      </c>
      <c r="U26" s="14">
        <f>+U29+U36</f>
      </c>
      <c r="V26" s="14">
        <f>+V29+V36</f>
      </c>
      <c r="W26" s="14">
        <f>+W29+W36</f>
      </c>
      <c r="X26" s="14">
        <f>+X29+X36</f>
      </c>
      <c r="Y26" s="14">
        <f>+Y29+Y36</f>
      </c>
    </row>
    <row r="27" spans="1:25" s="31" customFormat="1" x14ac:dyDescent="0.25" ht="15.0" customHeight="true">
      <c r="A27" s="28"/>
      <c r="B27" s="29" t="s">
        <v>682</v>
      </c>
      <c r="C27" s="30">
        <f>+C30+C37</f>
      </c>
      <c r="D27" s="30">
        <f>+D30+D37</f>
      </c>
      <c r="E27" s="30">
        <f>+E30+E37</f>
      </c>
      <c r="F27" s="30">
        <f>+F30+F37</f>
      </c>
      <c r="G27" s="30">
        <f>+G30+G37</f>
      </c>
      <c r="H27" s="30">
        <f>+H30+H37</f>
      </c>
      <c r="I27" s="30">
        <f>+I30+I37</f>
      </c>
      <c r="J27" s="30">
        <f>+J30+J37</f>
      </c>
      <c r="K27" s="30">
        <f>+K30+K37</f>
      </c>
      <c r="L27" s="30">
        <f>+L30+L37</f>
      </c>
      <c r="M27" s="30">
        <f>+M30+M37</f>
      </c>
      <c r="N27" s="30">
        <f>+N30+N37</f>
      </c>
      <c r="O27" s="30">
        <f>+O30+O37</f>
      </c>
      <c r="P27" s="30">
        <f>+P30+P37</f>
      </c>
      <c r="Q27" s="30">
        <f>+Q30+Q37</f>
      </c>
      <c r="R27" s="30">
        <f>+R30+R37</f>
      </c>
      <c r="S27" s="30">
        <f>+S30+S37</f>
      </c>
      <c r="T27" s="30">
        <f>+T30+T37</f>
      </c>
      <c r="U27" s="30">
        <f>+U30+U37</f>
      </c>
      <c r="V27" s="30">
        <f>+V30+V37</f>
      </c>
      <c r="W27" s="30">
        <f>+W30+W37</f>
      </c>
      <c r="X27" s="30">
        <f>+X30+X37</f>
      </c>
      <c r="Y27" s="30">
        <f>+Y30+Y37</f>
      </c>
    </row>
    <row r="28" spans="1:25" s="31" customFormat="1" x14ac:dyDescent="0.25" ht="15.0" customHeight="true">
      <c r="A28" s="28"/>
      <c r="B28" s="29" t="s">
        <v>681</v>
      </c>
      <c r="C28" s="30">
        <f>+C31+C38</f>
      </c>
      <c r="D28" s="30">
        <f>+D31+D38</f>
      </c>
      <c r="E28" s="30">
        <f>+E31+E38</f>
      </c>
      <c r="F28" s="30">
        <f>+F31+F38</f>
      </c>
      <c r="G28" s="30">
        <f>+G31+G38</f>
      </c>
      <c r="H28" s="30">
        <f>+H31+H38</f>
      </c>
      <c r="I28" s="30">
        <f>+I31+I38</f>
      </c>
      <c r="J28" s="30">
        <f>+J31+J38</f>
      </c>
      <c r="K28" s="30">
        <f>+K31+K38</f>
      </c>
      <c r="L28" s="30">
        <f>+L31+L38</f>
      </c>
      <c r="M28" s="30">
        <f>+M31+M38</f>
      </c>
      <c r="N28" s="30">
        <f>+N31+N38</f>
      </c>
      <c r="O28" s="30">
        <f>+O31+O38</f>
      </c>
      <c r="P28" s="30">
        <f>+P31+P38</f>
      </c>
      <c r="Q28" s="30">
        <f>+Q31+Q38</f>
      </c>
      <c r="R28" s="30">
        <f>+R31+R38</f>
      </c>
      <c r="S28" s="30">
        <f>+S31+S38</f>
      </c>
      <c r="T28" s="30">
        <f>+T31+T38</f>
      </c>
      <c r="U28" s="30">
        <f>+U31+U38</f>
      </c>
      <c r="V28" s="30">
        <f>+V31+V38</f>
      </c>
      <c r="W28" s="30">
        <f>+W31+W38</f>
      </c>
      <c r="X28" s="30">
        <f>+X31+X38</f>
      </c>
      <c r="Y28" s="30">
        <f>+Y31+Y38</f>
      </c>
    </row>
    <row r="29" spans="1:25" s="1" customFormat="1" x14ac:dyDescent="0.25" ht="15.0" customHeight="true">
      <c r="A29" s="22" t="s">
        <v>10</v>
      </c>
      <c r="B29" s="6" t="s">
        <v>36</v>
      </c>
      <c r="C29" s="14" t="s">
        <v>1561</v>
      </c>
      <c r="D29" s="14" t="n">
        <v>362949.46</v>
      </c>
      <c r="E29" s="14" t="n">
        <v>409532.26</v>
      </c>
      <c r="F29" s="14" t="n">
        <v>415660.74</v>
      </c>
      <c r="G29" s="14" t="n">
        <v>457779.19</v>
      </c>
      <c r="H29" s="14" t="n">
        <v>539011.01</v>
      </c>
      <c r="I29" s="14" t="n">
        <v>450223.96</v>
      </c>
      <c r="J29" s="14" t="n">
        <v>430425.17</v>
      </c>
      <c r="K29" s="14" t="n">
        <v>498670.21</v>
      </c>
      <c r="L29" s="14" t="n">
        <v>425858.38</v>
      </c>
      <c r="M29" s="14" t="n">
        <v>409289.95</v>
      </c>
      <c r="N29" s="14" t="n">
        <v>397079.92</v>
      </c>
      <c r="O29" s="14" t="n">
        <v>262381.8</v>
      </c>
      <c r="P29" s="14" t="n">
        <v>663801.46</v>
      </c>
      <c r="Q29" s="14" t="n">
        <v>278704.35</v>
      </c>
      <c r="R29" s="14" t="n">
        <v>284764.18</v>
      </c>
      <c r="S29" s="14" t="n">
        <v>681370.39</v>
      </c>
      <c r="T29" s="14" t="n">
        <v>424933.31</v>
      </c>
      <c r="U29" s="14" t="n">
        <v>345213.41</v>
      </c>
      <c r="V29" s="14" t="n">
        <v>496678.28</v>
      </c>
      <c r="W29" s="14" t="n">
        <v>569020.67</v>
      </c>
      <c r="X29" s="14" t="n">
        <v>554996.42</v>
      </c>
      <c r="Y29" s="14" t="n">
        <v>437350.03</v>
      </c>
    </row>
    <row r="30" spans="1:25" s="31" customFormat="1" x14ac:dyDescent="0.25" ht="15.0" customHeight="true">
      <c r="A30" s="28"/>
      <c r="B30" s="29" t="s">
        <v>682</v>
      </c>
      <c r="C30" s="30" t="s">
        <v>1562</v>
      </c>
      <c r="D30" s="30" t="n">
        <v>950.77</v>
      </c>
      <c r="E30" s="30" t="n">
        <v>367.26</v>
      </c>
      <c r="F30" s="30" t="n">
        <v>3334.91</v>
      </c>
      <c r="G30" s="30" t="n">
        <v>889.85</v>
      </c>
      <c r="H30" s="30" t="n">
        <v>683.5</v>
      </c>
      <c r="I30" s="30" t="n">
        <v>527.09</v>
      </c>
      <c r="J30" s="30" t="n">
        <v>1217.16</v>
      </c>
      <c r="K30" s="30" t="n">
        <v>1703.85</v>
      </c>
      <c r="L30" s="30" t="n">
        <v>1967.78</v>
      </c>
      <c r="M30" s="30" t="n">
        <v>1477.02</v>
      </c>
      <c r="N30" s="30" t="n">
        <v>721.26</v>
      </c>
      <c r="O30" s="30" t="n">
        <v>557.68</v>
      </c>
      <c r="P30" s="30" t="n">
        <v>2515.06</v>
      </c>
      <c r="Q30" s="30" t="n">
        <v>760.08</v>
      </c>
      <c r="R30" s="30" t="n">
        <v>-315.29</v>
      </c>
      <c r="S30" s="30" t="n">
        <v>1178.4</v>
      </c>
      <c r="T30" s="30" t="n">
        <v>487.73</v>
      </c>
      <c r="U30" s="30" t="n">
        <v>185.0</v>
      </c>
      <c r="V30" s="30" t="n">
        <v>1351.94</v>
      </c>
      <c r="W30" s="30" t="n">
        <v>1524.57</v>
      </c>
      <c r="X30" s="30" t="n">
        <v>959.2</v>
      </c>
      <c r="Y30" s="30" t="n">
        <v>957.0</v>
      </c>
    </row>
    <row r="31" spans="1:25" s="31" customFormat="1" x14ac:dyDescent="0.25" ht="15.0" customHeight="true">
      <c r="A31" s="28"/>
      <c r="B31" s="29" t="s">
        <v>681</v>
      </c>
      <c r="C31" s="30" t="s">
        <v>1562</v>
      </c>
      <c r="D31" s="30" t="n">
        <v>73284.59</v>
      </c>
      <c r="E31" s="30" t="n">
        <v>38583.99</v>
      </c>
      <c r="F31" s="30" t="n">
        <v>25971.27</v>
      </c>
      <c r="G31" s="30" t="n">
        <v>80145.6</v>
      </c>
      <c r="H31" s="30" t="n">
        <v>113245.49</v>
      </c>
      <c r="I31" s="30" t="n">
        <v>1105.29</v>
      </c>
      <c r="J31" s="30" t="n">
        <v>45982.14</v>
      </c>
      <c r="K31" s="30" t="n">
        <v>31353.55</v>
      </c>
      <c r="L31" s="30" t="n">
        <v>62766.16</v>
      </c>
      <c r="M31" s="30" t="n">
        <v>30569.26</v>
      </c>
      <c r="N31" s="30" t="n">
        <v>47180.43</v>
      </c>
      <c r="O31" s="30" t="n">
        <v>53308.84</v>
      </c>
      <c r="P31" s="30" t="n">
        <v>35855.94</v>
      </c>
      <c r="Q31" s="30" t="n">
        <v>41993.82</v>
      </c>
      <c r="R31" s="30" t="n">
        <v>62177.18</v>
      </c>
      <c r="S31" s="30" t="n">
        <v>59396.8</v>
      </c>
      <c r="T31" s="30" t="n">
        <v>40442.87</v>
      </c>
      <c r="U31" s="30" t="n">
        <v>14822.13</v>
      </c>
      <c r="V31" s="30" t="n">
        <v>74147.38</v>
      </c>
      <c r="W31" s="30" t="n">
        <v>58752.81</v>
      </c>
      <c r="X31" s="30" t="n">
        <v>43573.51</v>
      </c>
      <c r="Y31" s="30" t="n">
        <v>35435.12</v>
      </c>
    </row>
    <row r="32" spans="1:25" x14ac:dyDescent="0.25" ht="15.0" customHeight="true">
      <c r="A32" s="23"/>
      <c r="B32" s="7" t="s">
        <v>37</v>
      </c>
      <c r="C32" s="15" t="s">
        <v>1563</v>
      </c>
      <c r="D32" s="15" t="n">
        <v>1246.27</v>
      </c>
      <c r="E32" s="15" t="n">
        <v>1402.59</v>
      </c>
      <c r="F32" s="15" t="n">
        <v>534.2</v>
      </c>
      <c r="G32" s="15" t="n">
        <v>672.2</v>
      </c>
      <c r="H32" s="15" t="n">
        <v>1099.99</v>
      </c>
      <c r="I32" s="15" t="n">
        <v>778.57</v>
      </c>
      <c r="J32" s="15" t="n">
        <v>184.81</v>
      </c>
      <c r="K32" s="15" t="n">
        <v>877.0</v>
      </c>
      <c r="L32" s="15" t="n">
        <v>198.05</v>
      </c>
      <c r="M32" s="15" t="n">
        <v>694.51</v>
      </c>
      <c r="N32" s="15" t="n">
        <v>688.45</v>
      </c>
      <c r="O32" s="15" t="n">
        <v>12.0</v>
      </c>
      <c r="P32" s="15" t="n">
        <v>309.61</v>
      </c>
      <c r="Q32" s="15" t="n">
        <v>507.94</v>
      </c>
      <c r="R32" s="15" t="n">
        <v>63.4</v>
      </c>
      <c r="S32" s="15" t="n">
        <v>544.37</v>
      </c>
      <c r="T32" s="15" t="n">
        <v>294.24</v>
      </c>
      <c r="U32" s="15" t="n">
        <v>0.0</v>
      </c>
      <c r="V32" s="15" t="n">
        <v>651.6</v>
      </c>
      <c r="W32" s="15" t="n">
        <v>248.78</v>
      </c>
      <c r="X32" s="15" t="n">
        <v>178.43</v>
      </c>
      <c r="Y32" s="15" t="n">
        <v>240.04</v>
      </c>
    </row>
    <row r="33" spans="1:25" s="31" customFormat="1" x14ac:dyDescent="0.25" ht="15.0" customHeight="true">
      <c r="A33" s="28"/>
      <c r="B33" s="29" t="s">
        <v>716</v>
      </c>
      <c r="C33" s="30" t="s">
        <v>1562</v>
      </c>
      <c r="D33" s="30" t="n">
        <v>-13.08</v>
      </c>
      <c r="E33" s="30" t="n">
        <v>0.0</v>
      </c>
      <c r="F33" s="30" t="n">
        <v>-34.2</v>
      </c>
      <c r="G33" s="30" t="n">
        <v>-195.1</v>
      </c>
      <c r="H33" s="30" t="n">
        <v>-38.87</v>
      </c>
      <c r="I33" s="30" t="n">
        <v>-39.86</v>
      </c>
      <c r="J33" s="30" t="n">
        <v>0.0</v>
      </c>
      <c r="K33" s="30" t="n">
        <v>-4.03</v>
      </c>
      <c r="L33" s="30" t="n">
        <v>-2.2</v>
      </c>
      <c r="M33" s="30" t="n">
        <v>-15.93</v>
      </c>
      <c r="N33" s="30" t="n">
        <v>-24.1</v>
      </c>
      <c r="O33" s="30" t="n">
        <v>0.0</v>
      </c>
      <c r="P33" s="30" t="n">
        <v>46.56</v>
      </c>
      <c r="Q33" s="30" t="n">
        <v>-5.98</v>
      </c>
      <c r="R33" s="30" t="n">
        <v>0.0</v>
      </c>
      <c r="S33" s="30" t="n">
        <v>-37.07</v>
      </c>
      <c r="T33" s="30" t="n">
        <v>-12.48</v>
      </c>
      <c r="U33" s="30" t="n">
        <v>0.0</v>
      </c>
      <c r="V33" s="30" t="n">
        <v>6.29</v>
      </c>
      <c r="W33" s="30" t="n">
        <v>-5.2</v>
      </c>
      <c r="X33" s="30" t="n">
        <v>0.0</v>
      </c>
      <c r="Y33" s="30" t="n">
        <v>0.0</v>
      </c>
    </row>
    <row r="34" spans="1:25" s="31" customFormat="1" x14ac:dyDescent="0.25" ht="15.0" customHeight="true">
      <c r="A34" s="28"/>
      <c r="B34" s="29" t="s">
        <v>728</v>
      </c>
      <c r="C34" s="30" t="s">
        <v>1562</v>
      </c>
      <c r="D34" s="30" t="n">
        <v>88.92</v>
      </c>
      <c r="E34" s="30" t="n">
        <v>370.73</v>
      </c>
      <c r="F34" s="30" t="n">
        <v>194.48</v>
      </c>
      <c r="G34" s="30" t="n">
        <v>164.3</v>
      </c>
      <c r="H34" s="30" t="n">
        <v>416.46</v>
      </c>
      <c r="I34" s="30" t="n">
        <v>320.04</v>
      </c>
      <c r="J34" s="30" t="n">
        <v>104.22</v>
      </c>
      <c r="K34" s="30" t="n">
        <v>17.84</v>
      </c>
      <c r="L34" s="30" t="n">
        <v>7.2</v>
      </c>
      <c r="M34" s="30" t="n">
        <v>363.42</v>
      </c>
      <c r="N34" s="30" t="n">
        <v>77.88</v>
      </c>
      <c r="O34" s="30" t="n">
        <v>12.0</v>
      </c>
      <c r="P34" s="30" t="n">
        <v>-10.4</v>
      </c>
      <c r="Q34" s="30" t="n">
        <v>94.86</v>
      </c>
      <c r="R34" s="30" t="n">
        <v>-34.1</v>
      </c>
      <c r="S34" s="30" t="n">
        <v>94.73</v>
      </c>
      <c r="T34" s="30" t="n">
        <v>18.38</v>
      </c>
      <c r="U34" s="30" t="n">
        <v>0.0</v>
      </c>
      <c r="V34" s="30" t="n">
        <v>255.3</v>
      </c>
      <c r="W34" s="30" t="n">
        <v>-1.22</v>
      </c>
      <c r="X34" s="30" t="n">
        <v>-28.14</v>
      </c>
      <c r="Y34" s="30" t="n">
        <v>10.11</v>
      </c>
    </row>
    <row r="35" spans="1:25" s="21" customFormat="1" x14ac:dyDescent="0.25" ht="15.0" customHeight="true">
      <c r="A35" s="27"/>
      <c r="B35" s="20" t="s">
        <v>38</v>
      </c>
      <c r="C35" s="20">
        <f>+C32/C29</f>
      </c>
      <c r="D35" s="20">
        <f>+D32/D29</f>
      </c>
      <c r="E35" s="20">
        <f>+E32/E29</f>
      </c>
      <c r="F35" s="20">
        <f>+F32/F29</f>
      </c>
      <c r="G35" s="20">
        <f>+G32/G29</f>
      </c>
      <c r="H35" s="20">
        <f>+H32/H29</f>
      </c>
      <c r="I35" s="20">
        <f>+I32/I29</f>
      </c>
      <c r="J35" s="20">
        <f>+J32/J29</f>
      </c>
      <c r="K35" s="20">
        <f>+K32/K29</f>
      </c>
      <c r="L35" s="20">
        <f>+L32/L29</f>
      </c>
      <c r="M35" s="20">
        <f>+M32/M29</f>
      </c>
      <c r="N35" s="20">
        <f>+N32/N29</f>
      </c>
      <c r="O35" s="20">
        <f>+O32/O29</f>
      </c>
      <c r="P35" s="20">
        <f>+P32/P29</f>
      </c>
      <c r="Q35" s="20">
        <f>+Q32/Q29</f>
      </c>
      <c r="R35" s="20">
        <f>+R32/R29</f>
      </c>
      <c r="S35" s="20">
        <f>+S32/S29</f>
      </c>
      <c r="T35" s="20">
        <f>+T32/T29</f>
      </c>
      <c r="U35" s="20">
        <f>+U32/U29</f>
      </c>
      <c r="V35" s="20">
        <f>+V32/V29</f>
      </c>
      <c r="W35" s="20">
        <f>+W32/W29</f>
      </c>
      <c r="X35" s="20">
        <f>+X32/X29</f>
      </c>
      <c r="Y35" s="20">
        <f>+Y32/Y29</f>
      </c>
    </row>
    <row r="36" spans="1:25" s="1" customFormat="1" x14ac:dyDescent="0.25" ht="15.0" customHeight="true">
      <c r="A36" s="22" t="s">
        <v>26</v>
      </c>
      <c r="B36" s="6" t="s">
        <v>39</v>
      </c>
      <c r="C36" s="14" t="s">
        <v>1564</v>
      </c>
      <c r="D36" s="14" t="n">
        <v>314251.49</v>
      </c>
      <c r="E36" s="14" t="n">
        <v>131452.45</v>
      </c>
      <c r="F36" s="14" t="n">
        <v>174002.61</v>
      </c>
      <c r="G36" s="14" t="n">
        <v>270290.23</v>
      </c>
      <c r="H36" s="14" t="n">
        <v>156239.38</v>
      </c>
      <c r="I36" s="14" t="n">
        <v>109730.41</v>
      </c>
      <c r="J36" s="14" t="n">
        <v>185955.09</v>
      </c>
      <c r="K36" s="14" t="n">
        <v>176073.5</v>
      </c>
      <c r="L36" s="14" t="n">
        <v>135746.05</v>
      </c>
      <c r="M36" s="14" t="n">
        <v>119708.45</v>
      </c>
      <c r="N36" s="14" t="n">
        <v>141073.45</v>
      </c>
      <c r="O36" s="14" t="n">
        <v>46193.0</v>
      </c>
      <c r="P36" s="14" t="n">
        <v>27113.1</v>
      </c>
      <c r="Q36" s="14" t="n">
        <v>69521.38</v>
      </c>
      <c r="R36" s="14" t="n">
        <v>48410.97</v>
      </c>
      <c r="S36" s="14" t="n">
        <v>22010.1</v>
      </c>
      <c r="T36" s="14" t="n">
        <v>35257.36</v>
      </c>
      <c r="U36" s="14" t="n">
        <v>37605.2</v>
      </c>
      <c r="V36" s="14" t="n">
        <v>25003.7</v>
      </c>
      <c r="W36" s="14" t="n">
        <v>23516.52</v>
      </c>
      <c r="X36" s="14" t="n">
        <v>30372.97</v>
      </c>
      <c r="Y36" s="14" t="n">
        <v>25864.79</v>
      </c>
    </row>
    <row r="37" spans="1:25" s="31" customFormat="1" x14ac:dyDescent="0.25" ht="15.0" customHeight="true">
      <c r="A37" s="28"/>
      <c r="B37" s="29" t="s">
        <v>682</v>
      </c>
      <c r="C37" s="30" t="s">
        <v>1562</v>
      </c>
      <c r="D37" s="30" t="n">
        <v>-785.84</v>
      </c>
      <c r="E37" s="30" t="n">
        <v>176.0</v>
      </c>
      <c r="F37" s="30" t="n">
        <v>2804.75</v>
      </c>
      <c r="G37" s="30" t="n">
        <v>32840.32</v>
      </c>
      <c r="H37" s="30" t="n">
        <v>455.52</v>
      </c>
      <c r="I37" s="30" t="n">
        <v>283.1</v>
      </c>
      <c r="J37" s="30" t="n">
        <v>634.35</v>
      </c>
      <c r="K37" s="30" t="n">
        <v>-39.0</v>
      </c>
      <c r="L37" s="30" t="n">
        <v>283.88</v>
      </c>
      <c r="M37" s="30" t="n">
        <v>479.6</v>
      </c>
      <c r="N37" s="30" t="n">
        <v>1187.52</v>
      </c>
      <c r="O37" s="30" t="n">
        <v>4.6</v>
      </c>
      <c r="P37" s="30" t="n">
        <v>728.0</v>
      </c>
      <c r="Q37" s="30" t="n">
        <v>293.3</v>
      </c>
      <c r="R37" s="30" t="n">
        <v>700.0</v>
      </c>
      <c r="S37" s="30" t="n">
        <v>0.0</v>
      </c>
      <c r="T37" s="30" t="n">
        <v>2488.91</v>
      </c>
      <c r="U37" s="30" t="n">
        <v>200.0</v>
      </c>
      <c r="V37" s="30" t="n">
        <v>1046.0</v>
      </c>
      <c r="W37" s="30" t="n">
        <v>114.5</v>
      </c>
      <c r="X37" s="30" t="n">
        <v>1650.0</v>
      </c>
      <c r="Y37" s="30" t="n">
        <v>558.0</v>
      </c>
    </row>
    <row r="38" spans="1:25" s="31" customFormat="1" x14ac:dyDescent="0.25" ht="15.0" customHeight="true">
      <c r="A38" s="28"/>
      <c r="B38" s="29" t="s">
        <v>681</v>
      </c>
      <c r="C38" s="30" t="s">
        <v>1562</v>
      </c>
      <c r="D38" s="30" t="n">
        <v>78976.02</v>
      </c>
      <c r="E38" s="30" t="n">
        <v>17283.7</v>
      </c>
      <c r="F38" s="30" t="n">
        <v>21301.09</v>
      </c>
      <c r="G38" s="30" t="n">
        <v>108263.07</v>
      </c>
      <c r="H38" s="30" t="n">
        <v>33596.63</v>
      </c>
      <c r="I38" s="30" t="n">
        <v>3284.03</v>
      </c>
      <c r="J38" s="30" t="n">
        <v>24010.69</v>
      </c>
      <c r="K38" s="30" t="n">
        <v>28498.85</v>
      </c>
      <c r="L38" s="30" t="n">
        <v>23177.13</v>
      </c>
      <c r="M38" s="30" t="n">
        <v>9085.52</v>
      </c>
      <c r="N38" s="30" t="n">
        <v>21143.57</v>
      </c>
      <c r="O38" s="30" t="n">
        <v>12018.4</v>
      </c>
      <c r="P38" s="30" t="n">
        <v>10520.63</v>
      </c>
      <c r="Q38" s="30" t="n">
        <v>10535.7</v>
      </c>
      <c r="R38" s="30" t="n">
        <v>13761.97</v>
      </c>
      <c r="S38" s="30" t="n">
        <v>6441.1</v>
      </c>
      <c r="T38" s="30" t="n">
        <v>12706.36</v>
      </c>
      <c r="U38" s="30" t="n">
        <v>7566.1</v>
      </c>
      <c r="V38" s="30" t="n">
        <v>10202.95</v>
      </c>
      <c r="W38" s="30" t="n">
        <v>6153.52</v>
      </c>
      <c r="X38" s="30" t="n">
        <v>13011.87</v>
      </c>
      <c r="Y38" s="30" t="n">
        <v>8541.35</v>
      </c>
    </row>
    <row r="39" spans="1:25" x14ac:dyDescent="0.25" ht="15.0" customHeight="true">
      <c r="A39" s="23"/>
      <c r="B39" s="7" t="s">
        <v>37</v>
      </c>
      <c r="C39" s="15" t="s">
        <v>1565</v>
      </c>
      <c r="D39" s="15" t="n">
        <v>415.76</v>
      </c>
      <c r="E39" s="15" t="n">
        <v>138.4</v>
      </c>
      <c r="F39" s="15" t="n">
        <v>195.34</v>
      </c>
      <c r="G39" s="15" t="n">
        <v>117.55</v>
      </c>
      <c r="H39" s="15" t="n">
        <v>184.6</v>
      </c>
      <c r="I39" s="15" t="n">
        <v>203.03</v>
      </c>
      <c r="J39" s="15" t="n">
        <v>74.69</v>
      </c>
      <c r="K39" s="15" t="n">
        <v>264.9</v>
      </c>
      <c r="L39" s="15" t="n">
        <v>52.06</v>
      </c>
      <c r="M39" s="15" t="n">
        <v>154.51</v>
      </c>
      <c r="N39" s="15" t="n">
        <v>82.43</v>
      </c>
      <c r="O39" s="15" t="n">
        <v>0.0</v>
      </c>
      <c r="P39" s="15" t="n">
        <v>14.2</v>
      </c>
      <c r="Q39" s="15" t="n">
        <v>86.65</v>
      </c>
      <c r="R39" s="15" t="n">
        <v>48.29</v>
      </c>
      <c r="S39" s="15" t="n">
        <v>23.0</v>
      </c>
      <c r="T39" s="15" t="n">
        <v>73.5</v>
      </c>
      <c r="U39" s="15" t="n">
        <v>0.0</v>
      </c>
      <c r="V39" s="15" t="n">
        <v>35.0</v>
      </c>
      <c r="W39" s="15" t="n">
        <v>0.0</v>
      </c>
      <c r="X39" s="15" t="n">
        <v>0.0</v>
      </c>
      <c r="Y39" s="15" t="n">
        <v>0.0</v>
      </c>
    </row>
    <row r="40" spans="1:25" x14ac:dyDescent="0.25" ht="15.0" customHeight="true">
      <c r="A40" s="23"/>
      <c r="B40" s="29" t="s">
        <v>716</v>
      </c>
      <c r="C40" s="30" t="s">
        <v>1562</v>
      </c>
      <c r="D40" s="30" t="n">
        <v>-11.92</v>
      </c>
      <c r="E40" s="30" t="n">
        <v>0.0</v>
      </c>
      <c r="F40" s="30" t="n">
        <v>40.0</v>
      </c>
      <c r="G40" s="30" t="n">
        <v>-64.4</v>
      </c>
      <c r="H40" s="30" t="n">
        <v>-0.3</v>
      </c>
      <c r="I40" s="30" t="n">
        <v>-2.1</v>
      </c>
      <c r="J40" s="30" t="n">
        <v>0.0</v>
      </c>
      <c r="K40" s="30" t="n">
        <v>0.0</v>
      </c>
      <c r="L40" s="30" t="n">
        <v>-1.5</v>
      </c>
      <c r="M40" s="30" t="n">
        <v>0.0</v>
      </c>
      <c r="N40" s="30" t="n">
        <v>0.0</v>
      </c>
      <c r="O40" s="30" t="n">
        <v>0.0</v>
      </c>
      <c r="P40" s="30" t="n">
        <v>0.0</v>
      </c>
      <c r="Q40" s="30" t="n">
        <v>-4.0</v>
      </c>
      <c r="R40" s="30" t="n">
        <v>0.0</v>
      </c>
      <c r="S40" s="30" t="n">
        <v>0.0</v>
      </c>
      <c r="T40" s="30" t="n">
        <v>6.0</v>
      </c>
      <c r="U40" s="30" t="n">
        <v>0.0</v>
      </c>
      <c r="V40" s="30" t="n">
        <v>0.0</v>
      </c>
      <c r="W40" s="30" t="n">
        <v>0.0</v>
      </c>
      <c r="X40" s="30" t="n">
        <v>0.0</v>
      </c>
      <c r="Y40" s="30" t="n">
        <v>0.0</v>
      </c>
    </row>
    <row r="41" spans="1:25" x14ac:dyDescent="0.25" ht="15.0" customHeight="true">
      <c r="A41" s="23"/>
      <c r="B41" s="29" t="s">
        <v>728</v>
      </c>
      <c r="C41" s="30" t="s">
        <v>1562</v>
      </c>
      <c r="D41" s="30" t="n">
        <v>246.01</v>
      </c>
      <c r="E41" s="30" t="n">
        <v>64.3</v>
      </c>
      <c r="F41" s="30" t="n">
        <v>-10.25</v>
      </c>
      <c r="G41" s="30" t="n">
        <v>16.21</v>
      </c>
      <c r="H41" s="30" t="n">
        <v>128.7</v>
      </c>
      <c r="I41" s="30" t="n">
        <v>-17.97</v>
      </c>
      <c r="J41" s="30" t="n">
        <v>35.0</v>
      </c>
      <c r="K41" s="30" t="n">
        <v>107.4</v>
      </c>
      <c r="L41" s="30" t="n">
        <v>-17.5</v>
      </c>
      <c r="M41" s="30" t="n">
        <v>87.31</v>
      </c>
      <c r="N41" s="30" t="n">
        <v>35.43</v>
      </c>
      <c r="O41" s="30" t="n">
        <v>0.0</v>
      </c>
      <c r="P41" s="30" t="n">
        <v>5.8</v>
      </c>
      <c r="Q41" s="30" t="n">
        <v>-24.77</v>
      </c>
      <c r="R41" s="30" t="n">
        <v>48.29</v>
      </c>
      <c r="S41" s="30" t="n">
        <v>23.0</v>
      </c>
      <c r="T41" s="30" t="n">
        <v>6.0</v>
      </c>
      <c r="U41" s="30" t="n">
        <v>0.0</v>
      </c>
      <c r="V41" s="30" t="n">
        <v>0.0</v>
      </c>
      <c r="W41" s="30" t="n">
        <v>0.0</v>
      </c>
      <c r="X41" s="30" t="n">
        <v>0.0</v>
      </c>
      <c r="Y41" s="30" t="n">
        <v>0.0</v>
      </c>
    </row>
    <row r="42" spans="1:25" s="21" customFormat="1" x14ac:dyDescent="0.25" ht="15.0" customHeight="true">
      <c r="A42" s="27"/>
      <c r="B42" s="20" t="s">
        <v>38</v>
      </c>
      <c r="C42" s="20">
        <f>+C39/C36</f>
      </c>
      <c r="D42" s="20">
        <f>+D39/D36</f>
      </c>
      <c r="E42" s="20">
        <f>+E39/E36</f>
      </c>
      <c r="F42" s="20">
        <f>+F39/F36</f>
      </c>
      <c r="G42" s="20">
        <f>+G39/G36</f>
      </c>
      <c r="H42" s="20">
        <f>+H39/H36</f>
      </c>
      <c r="I42" s="20">
        <f>+I39/I36</f>
      </c>
      <c r="J42" s="20">
        <f>+J39/J36</f>
      </c>
      <c r="K42" s="20">
        <f>+K39/K36</f>
      </c>
      <c r="L42" s="20">
        <f>+L39/L36</f>
      </c>
      <c r="M42" s="20">
        <f>+M39/M36</f>
      </c>
      <c r="N42" s="20">
        <f>+N39/N36</f>
      </c>
      <c r="O42" s="20">
        <f>+O39/O36</f>
      </c>
      <c r="P42" s="20">
        <f>+P39/P36</f>
      </c>
      <c r="Q42" s="20">
        <f>+Q39/Q36</f>
      </c>
      <c r="R42" s="20">
        <f>+R39/R36</f>
      </c>
      <c r="S42" s="20">
        <f>+S39/S36</f>
      </c>
      <c r="T42" s="20">
        <f>+T39/T36</f>
      </c>
      <c r="U42" s="20">
        <f>+U39/U36</f>
      </c>
      <c r="V42" s="20">
        <f>+V39/V36</f>
      </c>
      <c r="W42" s="20">
        <f>+W39/W36</f>
      </c>
      <c r="X42" s="20">
        <f>+X39/X36</f>
      </c>
      <c r="Y42" s="20">
        <f>+Y39/Y36</f>
      </c>
    </row>
    <row r="43" spans="1:25" s="1" customFormat="1" x14ac:dyDescent="0.25" ht="15.0" customHeight="true">
      <c r="A43" s="22" t="s">
        <v>30</v>
      </c>
      <c r="B43" s="6" t="s">
        <v>40</v>
      </c>
      <c r="C43" s="14">
        <f>+C44+C47+C50+C53+C54+C57+C65+C66+C67+C70+C71+C72+C75+C78+C80+C81</f>
      </c>
      <c r="D43" s="14">
        <f>+D44+D47+D50+D53+D54+D57+D65+D66+D67+D70+D71+D72+D75+D78+D80+D81</f>
      </c>
      <c r="E43" s="14">
        <f>+E44+E47+E50+E53+E54+E57+E65+E66+E67+E70+E71+E72+E75+E78+E80+E81</f>
      </c>
      <c r="F43" s="14">
        <f>+F44+F47+F50+F53+F54+F57+F65+F66+F67+F70+F71+F72+F75+F78+F80+F81</f>
      </c>
      <c r="G43" s="14">
        <f>+G44+G47+G50+G53+G54+G57+G65+G66+G67+G70+G71+G72+G75+G78+G80+G81</f>
      </c>
      <c r="H43" s="14">
        <f>+H44+H47+H50+H53+H54+H57+H65+H66+H67+H70+H71+H72+H75+H78+H80+H81</f>
      </c>
      <c r="I43" s="14">
        <f>+I44+I47+I50+I53+I54+I57+I65+I66+I67+I70+I71+I72+I75+I78+I80+I81</f>
      </c>
      <c r="J43" s="14">
        <f>+J44+J47+J50+J53+J54+J57+J65+J66+J67+J70+J71+J72+J75+J78+J80+J81</f>
      </c>
      <c r="K43" s="14">
        <f>+K44+K47+K50+K53+K54+K57+K65+K66+K67+K70+K71+K72+K75+K78+K80+K81</f>
      </c>
      <c r="L43" s="14">
        <f>+L44+L47+L50+L53+L54+L57+L65+L66+L67+L70+L71+L72+L75+L78+L80+L81</f>
      </c>
      <c r="M43" s="14">
        <f>+M44+M47+M50+M53+M54+M57+M65+M66+M67+M70+M71+M72+M75+M78+M80+M81</f>
      </c>
      <c r="N43" s="14">
        <f>+N44+N47+N50+N53+N54+N57+N65+N66+N67+N70+N71+N72+N75+N78+N80+N81</f>
      </c>
      <c r="O43" s="14">
        <f>+O44+O47+O50+O53+O54+O57+O65+O66+O67+O70+O71+O72+O75+O78+O80+O81</f>
      </c>
      <c r="P43" s="14">
        <f>+P44+P47+P50+P53+P54+P57+P65+P66+P67+P70+P71+P72+P75+P78+P80+P81</f>
      </c>
      <c r="Q43" s="14">
        <f>+Q44+Q47+Q50+Q53+Q54+Q57+Q65+Q66+Q67+Q70+Q71+Q72+Q75+Q78+Q80+Q81</f>
      </c>
      <c r="R43" s="14">
        <f>+R44+R47+R50+R53+R54+R57+R65+R66+R67+R70+R71+R72+R75+R78+R80+R81</f>
      </c>
      <c r="S43" s="14">
        <f>+S44+S47+S50+S53+S54+S57+S65+S66+S67+S70+S71+S72+S75+S78+S80+S81</f>
      </c>
      <c r="T43" s="14">
        <f>+T44+T47+T50+T53+T54+T57+T65+T66+T67+T70+T71+T72+T75+T78+T80+T81</f>
      </c>
      <c r="U43" s="14">
        <f>+U44+U47+U50+U53+U54+U57+U65+U66+U67+U70+U71+U72+U75+U78+U80+U81</f>
      </c>
      <c r="V43" s="14">
        <f>+V44+V47+V50+V53+V54+V57+V65+V66+V67+V70+V71+V72+V75+V78+V80+V81</f>
      </c>
      <c r="W43" s="14">
        <f>+W44+W47+W50+W53+W54+W57+W65+W66+W67+W70+W71+W72+W75+W78+W80+W81</f>
      </c>
      <c r="X43" s="14">
        <f>+X44+X47+X50+X53+X54+X57+X65+X66+X67+X70+X71+X72+X75+X78+X80+X81</f>
      </c>
      <c r="Y43" s="14">
        <f>+Y44+Y47+Y50+Y53+Y54+Y57+Y65+Y66+Y67+Y70+Y71+Y72+Y75+Y78+Y80+Y81</f>
      </c>
    </row>
    <row r="44" spans="1:25" s="1" customFormat="1" x14ac:dyDescent="0.25" ht="15.0" customHeight="true">
      <c r="A44" s="22" t="n">
        <v>1.0</v>
      </c>
      <c r="B44" s="6" t="s">
        <v>41</v>
      </c>
      <c r="C44" s="14" t="s">
        <v>1566</v>
      </c>
      <c r="D44" s="14" t="n">
        <v>1102.52</v>
      </c>
      <c r="E44" s="14" t="n">
        <v>4036.3</v>
      </c>
      <c r="F44" s="14" t="n">
        <v>7009.7</v>
      </c>
      <c r="G44" s="14" t="n">
        <v>4298.89</v>
      </c>
      <c r="H44" s="14" t="n">
        <v>8698.12</v>
      </c>
      <c r="I44" s="14" t="n">
        <v>15022.48</v>
      </c>
      <c r="J44" s="14" t="n">
        <v>2783.39</v>
      </c>
      <c r="K44" s="14" t="n">
        <v>14123.39</v>
      </c>
      <c r="L44" s="14" t="n">
        <v>8945.41</v>
      </c>
      <c r="M44" s="14" t="n">
        <v>2262.22</v>
      </c>
      <c r="N44" s="14" t="n">
        <v>7189.29</v>
      </c>
      <c r="O44" s="14" t="n">
        <v>3962.0</v>
      </c>
      <c r="P44" s="14" t="n">
        <v>19915.2</v>
      </c>
      <c r="Q44" s="14" t="n">
        <v>271.31</v>
      </c>
      <c r="R44" s="14" t="n">
        <v>2488.0</v>
      </c>
      <c r="S44" s="14" t="n">
        <v>48666.63</v>
      </c>
      <c r="T44" s="14" t="n">
        <v>2198.0</v>
      </c>
      <c r="U44" s="14" t="n">
        <v>97.0</v>
      </c>
      <c r="V44" s="14" t="n">
        <v>24556.36</v>
      </c>
      <c r="W44" s="14" t="n">
        <v>36520.75</v>
      </c>
      <c r="X44" s="14" t="n">
        <v>20419.28</v>
      </c>
      <c r="Y44" s="14" t="n">
        <v>26127.53</v>
      </c>
    </row>
    <row r="45" spans="1:25" x14ac:dyDescent="0.25" ht="15.0" customHeight="true">
      <c r="A45" s="23"/>
      <c r="B45" s="7" t="s">
        <v>42</v>
      </c>
      <c r="C45" s="15" t="s">
        <v>1567</v>
      </c>
      <c r="D45" s="15" t="n">
        <v>259.02</v>
      </c>
      <c r="E45" s="15" t="n">
        <v>2992.1</v>
      </c>
      <c r="F45" s="15" t="n">
        <v>2318.0</v>
      </c>
      <c r="G45" s="15" t="n">
        <v>1684.49</v>
      </c>
      <c r="H45" s="15" t="n">
        <v>4919.15</v>
      </c>
      <c r="I45" s="15" t="n">
        <v>12131.28</v>
      </c>
      <c r="J45" s="15" t="n">
        <v>2241.98</v>
      </c>
      <c r="K45" s="15" t="n">
        <v>7317.29</v>
      </c>
      <c r="L45" s="15" t="n">
        <v>5178.75</v>
      </c>
      <c r="M45" s="15" t="n">
        <v>1655.22</v>
      </c>
      <c r="N45" s="15" t="n">
        <v>2850.38</v>
      </c>
      <c r="O45" s="15" t="n">
        <v>3962.0</v>
      </c>
      <c r="P45" s="15" t="n">
        <v>19746.2</v>
      </c>
      <c r="Q45" s="15" t="n">
        <v>271.31</v>
      </c>
      <c r="R45" s="15" t="n">
        <v>2488.0</v>
      </c>
      <c r="S45" s="15" t="n">
        <v>48596.63</v>
      </c>
      <c r="T45" s="15" t="n">
        <v>2198.0</v>
      </c>
      <c r="U45" s="15" t="n">
        <v>97.0</v>
      </c>
      <c r="V45" s="15" t="n">
        <v>22886.86</v>
      </c>
      <c r="W45" s="15" t="n">
        <v>33975.75</v>
      </c>
      <c r="X45" s="15" t="n">
        <v>18746.78</v>
      </c>
      <c r="Y45" s="15" t="n">
        <v>24932.53</v>
      </c>
    </row>
    <row r="46" spans="1:25" x14ac:dyDescent="0.25" ht="15.0" customHeight="true">
      <c r="A46" s="23"/>
      <c r="B46" s="7" t="s">
        <v>43</v>
      </c>
      <c r="C46" s="15" t="s">
        <v>1568</v>
      </c>
      <c r="D46" s="15" t="n">
        <v>843.5</v>
      </c>
      <c r="E46" s="15" t="n">
        <v>1044.2</v>
      </c>
      <c r="F46" s="15" t="n">
        <v>4691.7</v>
      </c>
      <c r="G46" s="15" t="n">
        <v>2614.4</v>
      </c>
      <c r="H46" s="15" t="n">
        <v>3778.97</v>
      </c>
      <c r="I46" s="15" t="n">
        <v>2891.2</v>
      </c>
      <c r="J46" s="15" t="n">
        <v>541.41</v>
      </c>
      <c r="K46" s="15" t="n">
        <v>6806.1</v>
      </c>
      <c r="L46" s="15" t="n">
        <v>3766.66</v>
      </c>
      <c r="M46" s="15" t="n">
        <v>607.0</v>
      </c>
      <c r="N46" s="15" t="n">
        <v>4338.91</v>
      </c>
      <c r="O46" s="15" t="n">
        <v>0.0</v>
      </c>
      <c r="P46" s="15" t="n">
        <v>169.0</v>
      </c>
      <c r="Q46" s="15" t="n">
        <v>0.0</v>
      </c>
      <c r="R46" s="15" t="n">
        <v>0.0</v>
      </c>
      <c r="S46" s="15" t="n">
        <v>70.0</v>
      </c>
      <c r="T46" s="15" t="n">
        <v>0.0</v>
      </c>
      <c r="U46" s="15" t="n">
        <v>0.0</v>
      </c>
      <c r="V46" s="15" t="n">
        <v>1669.5</v>
      </c>
      <c r="W46" s="15" t="n">
        <v>2545.0</v>
      </c>
      <c r="X46" s="15" t="n">
        <v>1672.5</v>
      </c>
      <c r="Y46" s="15" t="n">
        <v>1195.0</v>
      </c>
    </row>
    <row r="47" spans="1:25" s="1" customFormat="1" x14ac:dyDescent="0.25" ht="15.0" customHeight="true">
      <c r="A47" s="22" t="n">
        <v>2.0</v>
      </c>
      <c r="B47" s="6" t="s">
        <v>44</v>
      </c>
      <c r="C47" s="14" t="s">
        <v>1569</v>
      </c>
      <c r="D47" s="14" t="n">
        <v>946.18</v>
      </c>
      <c r="E47" s="14" t="n">
        <v>1720.81</v>
      </c>
      <c r="F47" s="14" t="n">
        <v>10573.4</v>
      </c>
      <c r="G47" s="14" t="n">
        <v>4031.26</v>
      </c>
      <c r="H47" s="14" t="n">
        <v>36150.02</v>
      </c>
      <c r="I47" s="14" t="n">
        <v>16052.98</v>
      </c>
      <c r="J47" s="14" t="n">
        <v>42464.13</v>
      </c>
      <c r="K47" s="14" t="n">
        <v>74329.65</v>
      </c>
      <c r="L47" s="14" t="n">
        <v>11197.29</v>
      </c>
      <c r="M47" s="14" t="n">
        <v>21349.87</v>
      </c>
      <c r="N47" s="14" t="n">
        <v>5666.68</v>
      </c>
      <c r="O47" s="14" t="n">
        <v>4696.0</v>
      </c>
      <c r="P47" s="14" t="n">
        <v>53179.72</v>
      </c>
      <c r="Q47" s="14" t="n">
        <v>650.6</v>
      </c>
      <c r="R47" s="14" t="n">
        <v>7201.0</v>
      </c>
      <c r="S47" s="14" t="n">
        <v>35370.0</v>
      </c>
      <c r="T47" s="14" t="n">
        <v>63959.06</v>
      </c>
      <c r="U47" s="14" t="n">
        <v>606.0</v>
      </c>
      <c r="V47" s="14" t="n">
        <v>24968.15</v>
      </c>
      <c r="W47" s="14" t="n">
        <v>111658.87</v>
      </c>
      <c r="X47" s="14" t="n">
        <v>52031.83</v>
      </c>
      <c r="Y47" s="14" t="n">
        <v>11395.0</v>
      </c>
    </row>
    <row r="48" spans="1:25" x14ac:dyDescent="0.25" ht="15.0" customHeight="true">
      <c r="A48" s="23"/>
      <c r="B48" s="7" t="s">
        <v>42</v>
      </c>
      <c r="C48" s="15" t="s">
        <v>1570</v>
      </c>
      <c r="D48" s="15" t="n">
        <v>349.0</v>
      </c>
      <c r="E48" s="15" t="n">
        <v>1360.81</v>
      </c>
      <c r="F48" s="15" t="n">
        <v>2108.2</v>
      </c>
      <c r="G48" s="15" t="n">
        <v>1346.3</v>
      </c>
      <c r="H48" s="15" t="n">
        <v>21837.58</v>
      </c>
      <c r="I48" s="15" t="n">
        <v>10596.43</v>
      </c>
      <c r="J48" s="15" t="n">
        <v>24465.14</v>
      </c>
      <c r="K48" s="15" t="n">
        <v>37073.05</v>
      </c>
      <c r="L48" s="15" t="n">
        <v>5705.62</v>
      </c>
      <c r="M48" s="15" t="n">
        <v>10259.95</v>
      </c>
      <c r="N48" s="15" t="n">
        <v>2446.1</v>
      </c>
      <c r="O48" s="15" t="n">
        <v>4696.0</v>
      </c>
      <c r="P48" s="15" t="n">
        <v>52690.22</v>
      </c>
      <c r="Q48" s="15" t="n">
        <v>636.0</v>
      </c>
      <c r="R48" s="15" t="n">
        <v>7201.0</v>
      </c>
      <c r="S48" s="15" t="n">
        <v>35370.0</v>
      </c>
      <c r="T48" s="15" t="n">
        <v>63959.06</v>
      </c>
      <c r="U48" s="15" t="n">
        <v>606.0</v>
      </c>
      <c r="V48" s="15" t="n">
        <v>24908.15</v>
      </c>
      <c r="W48" s="15" t="n">
        <v>111658.87</v>
      </c>
      <c r="X48" s="15" t="n">
        <v>52031.83</v>
      </c>
      <c r="Y48" s="15" t="n">
        <v>11395.0</v>
      </c>
    </row>
    <row r="49" spans="1:25" x14ac:dyDescent="0.25" ht="15.0" customHeight="true">
      <c r="A49" s="23"/>
      <c r="B49" s="7" t="s">
        <v>43</v>
      </c>
      <c r="C49" s="15" t="s">
        <v>1571</v>
      </c>
      <c r="D49" s="15" t="n">
        <v>597.18</v>
      </c>
      <c r="E49" s="15" t="n">
        <v>360.0</v>
      </c>
      <c r="F49" s="15" t="n">
        <v>8465.2</v>
      </c>
      <c r="G49" s="15" t="n">
        <v>2684.96</v>
      </c>
      <c r="H49" s="15" t="n">
        <v>14312.44</v>
      </c>
      <c r="I49" s="15" t="n">
        <v>5456.55</v>
      </c>
      <c r="J49" s="15" t="n">
        <v>17998.99</v>
      </c>
      <c r="K49" s="15" t="n">
        <v>37256.6</v>
      </c>
      <c r="L49" s="15" t="n">
        <v>5491.67</v>
      </c>
      <c r="M49" s="15" t="n">
        <v>11089.92</v>
      </c>
      <c r="N49" s="15" t="n">
        <v>3220.58</v>
      </c>
      <c r="O49" s="15" t="n">
        <v>0.0</v>
      </c>
      <c r="P49" s="15" t="n">
        <v>489.5</v>
      </c>
      <c r="Q49" s="15" t="n">
        <v>14.6</v>
      </c>
      <c r="R49" s="15" t="n">
        <v>0.0</v>
      </c>
      <c r="S49" s="15" t="n">
        <v>0.0</v>
      </c>
      <c r="T49" s="15" t="n">
        <v>0.0</v>
      </c>
      <c r="U49" s="15" t="n">
        <v>0.0</v>
      </c>
      <c r="V49" s="15" t="n">
        <v>60.0</v>
      </c>
      <c r="W49" s="15" t="n">
        <v>0.0</v>
      </c>
      <c r="X49" s="15" t="n">
        <v>0.0</v>
      </c>
      <c r="Y49" s="15" t="n">
        <v>0.0</v>
      </c>
    </row>
    <row r="50" spans="1:25" s="1" customFormat="1" x14ac:dyDescent="0.25" ht="15.0" customHeight="true">
      <c r="A50" s="22" t="n">
        <v>3.0</v>
      </c>
      <c r="B50" s="6" t="s">
        <v>45</v>
      </c>
      <c r="C50" s="14" t="s">
        <v>1572</v>
      </c>
      <c r="D50" s="14" t="n">
        <v>231.0</v>
      </c>
      <c r="E50" s="14" t="n">
        <v>735.1</v>
      </c>
      <c r="F50" s="14" t="n">
        <v>5806.15</v>
      </c>
      <c r="G50" s="14" t="n">
        <v>3676.5</v>
      </c>
      <c r="H50" s="14" t="n">
        <v>42596.22</v>
      </c>
      <c r="I50" s="14" t="n">
        <v>16043.99</v>
      </c>
      <c r="J50" s="14" t="n">
        <v>52446.34</v>
      </c>
      <c r="K50" s="14" t="n">
        <v>33254.3</v>
      </c>
      <c r="L50" s="14" t="n">
        <v>3205.3</v>
      </c>
      <c r="M50" s="14" t="n">
        <v>14212.29</v>
      </c>
      <c r="N50" s="14" t="n">
        <v>11130.04</v>
      </c>
      <c r="O50" s="14" t="n">
        <v>7615.6</v>
      </c>
      <c r="P50" s="14" t="n">
        <v>146049.44</v>
      </c>
      <c r="Q50" s="14" t="n">
        <v>287.5</v>
      </c>
      <c r="R50" s="14" t="n">
        <v>16510.1</v>
      </c>
      <c r="S50" s="14" t="n">
        <v>96786.5</v>
      </c>
      <c r="T50" s="14" t="n">
        <v>55462.6</v>
      </c>
      <c r="U50" s="14" t="n">
        <v>80612.55</v>
      </c>
      <c r="V50" s="14" t="n">
        <v>149875.02</v>
      </c>
      <c r="W50" s="14" t="n">
        <v>45421.38</v>
      </c>
      <c r="X50" s="14" t="n">
        <v>156088.29</v>
      </c>
      <c r="Y50" s="14" t="n">
        <v>64113.12</v>
      </c>
    </row>
    <row r="51" spans="1:25" x14ac:dyDescent="0.25" ht="15.0" customHeight="true">
      <c r="A51" s="23"/>
      <c r="B51" s="7" t="s">
        <v>42</v>
      </c>
      <c r="C51" s="15" t="s">
        <v>1573</v>
      </c>
      <c r="D51" s="15" t="n">
        <v>100.0</v>
      </c>
      <c r="E51" s="15" t="n">
        <v>302.1</v>
      </c>
      <c r="F51" s="15" t="n">
        <v>4194.15</v>
      </c>
      <c r="G51" s="15" t="n">
        <v>1158.7</v>
      </c>
      <c r="H51" s="15" t="n">
        <v>23621.94</v>
      </c>
      <c r="I51" s="15" t="n">
        <v>11105.91</v>
      </c>
      <c r="J51" s="15" t="n">
        <v>18124.7</v>
      </c>
      <c r="K51" s="15" t="n">
        <v>14962.4</v>
      </c>
      <c r="L51" s="15" t="n">
        <v>2216.8</v>
      </c>
      <c r="M51" s="15" t="n">
        <v>10023.79</v>
      </c>
      <c r="N51" s="15" t="n">
        <v>9370.24</v>
      </c>
      <c r="O51" s="15" t="n">
        <v>7615.6</v>
      </c>
      <c r="P51" s="15" t="n">
        <v>141632.94</v>
      </c>
      <c r="Q51" s="15" t="n">
        <v>252.1</v>
      </c>
      <c r="R51" s="15" t="n">
        <v>16510.1</v>
      </c>
      <c r="S51" s="15" t="n">
        <v>96786.5</v>
      </c>
      <c r="T51" s="15" t="n">
        <v>55462.6</v>
      </c>
      <c r="U51" s="15" t="n">
        <v>80271.55</v>
      </c>
      <c r="V51" s="15" t="n">
        <v>149433.02</v>
      </c>
      <c r="W51" s="15" t="n">
        <v>45421.38</v>
      </c>
      <c r="X51" s="15" t="n">
        <v>155388.29</v>
      </c>
      <c r="Y51" s="15" t="n">
        <v>64113.12</v>
      </c>
    </row>
    <row r="52" spans="1:25" x14ac:dyDescent="0.25" ht="15.0" customHeight="true">
      <c r="A52" s="23"/>
      <c r="B52" s="7" t="s">
        <v>43</v>
      </c>
      <c r="C52" s="15" t="s">
        <v>1574</v>
      </c>
      <c r="D52" s="15" t="n">
        <v>131.0</v>
      </c>
      <c r="E52" s="15" t="n">
        <v>433.0</v>
      </c>
      <c r="F52" s="15" t="n">
        <v>1612.0</v>
      </c>
      <c r="G52" s="15" t="n">
        <v>2517.8</v>
      </c>
      <c r="H52" s="15" t="n">
        <v>18974.28</v>
      </c>
      <c r="I52" s="15" t="n">
        <v>4938.08</v>
      </c>
      <c r="J52" s="15" t="n">
        <v>34321.64</v>
      </c>
      <c r="K52" s="15" t="n">
        <v>18291.9</v>
      </c>
      <c r="L52" s="15" t="n">
        <v>988.5</v>
      </c>
      <c r="M52" s="15" t="n">
        <v>4188.5</v>
      </c>
      <c r="N52" s="15" t="n">
        <v>1759.8</v>
      </c>
      <c r="O52" s="15" t="n">
        <v>0.0</v>
      </c>
      <c r="P52" s="15" t="n">
        <v>4416.5</v>
      </c>
      <c r="Q52" s="15" t="n">
        <v>35.4</v>
      </c>
      <c r="R52" s="15" t="n">
        <v>0.0</v>
      </c>
      <c r="S52" s="15" t="n">
        <v>0.0</v>
      </c>
      <c r="T52" s="15" t="n">
        <v>0.0</v>
      </c>
      <c r="U52" s="15" t="n">
        <v>341.0</v>
      </c>
      <c r="V52" s="15" t="n">
        <v>442.0</v>
      </c>
      <c r="W52" s="15" t="n">
        <v>0.0</v>
      </c>
      <c r="X52" s="15" t="n">
        <v>700.0</v>
      </c>
      <c r="Y52" s="15" t="n">
        <v>0.0</v>
      </c>
    </row>
    <row r="53" spans="1:25" s="1" customFormat="1" x14ac:dyDescent="0.25" ht="15.0" customHeight="true">
      <c r="A53" s="22" t="n">
        <v>4.0</v>
      </c>
      <c r="B53" s="6" t="s">
        <v>46</v>
      </c>
      <c r="C53" s="14" t="s">
        <v>1575</v>
      </c>
      <c r="D53" s="14" t="n">
        <v>83539.52</v>
      </c>
      <c r="E53" s="14" t="n">
        <v>74116.88</v>
      </c>
      <c r="F53" s="14" t="n">
        <v>54737.83</v>
      </c>
      <c r="G53" s="14" t="n">
        <v>104426.54</v>
      </c>
      <c r="H53" s="14" t="n">
        <v>89625.14</v>
      </c>
      <c r="I53" s="14" t="n">
        <v>101319.64</v>
      </c>
      <c r="J53" s="14" t="n">
        <v>74392.18</v>
      </c>
      <c r="K53" s="14" t="n">
        <v>114791.87</v>
      </c>
      <c r="L53" s="14" t="n">
        <v>59644.61</v>
      </c>
      <c r="M53" s="14" t="n">
        <v>60972.51</v>
      </c>
      <c r="N53" s="14" t="n">
        <v>53962.92</v>
      </c>
      <c r="O53" s="14" t="n">
        <v>53252.8</v>
      </c>
      <c r="P53" s="14" t="n">
        <v>110450.81</v>
      </c>
      <c r="Q53" s="14" t="n">
        <v>68832.43</v>
      </c>
      <c r="R53" s="14" t="n">
        <v>77701.08</v>
      </c>
      <c r="S53" s="14" t="n">
        <v>154857.65</v>
      </c>
      <c r="T53" s="14" t="n">
        <v>59037.64</v>
      </c>
      <c r="U53" s="14" t="n">
        <v>59392.5</v>
      </c>
      <c r="V53" s="14" t="n">
        <v>52203.5</v>
      </c>
      <c r="W53" s="14" t="n">
        <v>78493.0</v>
      </c>
      <c r="X53" s="14" t="n">
        <v>95414.21</v>
      </c>
      <c r="Y53" s="14" t="n">
        <v>87261.34</v>
      </c>
    </row>
    <row r="54" spans="1:25" s="1" customFormat="1" x14ac:dyDescent="0.25" ht="15.0" customHeight="true">
      <c r="A54" s="22" t="n">
        <v>5.0</v>
      </c>
      <c r="B54" s="6" t="s">
        <v>47</v>
      </c>
      <c r="C54" s="14" t="s">
        <v>1576</v>
      </c>
      <c r="D54" s="14" t="n">
        <v>16741.52</v>
      </c>
      <c r="E54" s="14" t="n">
        <v>134676.02</v>
      </c>
      <c r="F54" s="14" t="n">
        <v>144848.75</v>
      </c>
      <c r="G54" s="14" t="n">
        <v>77160.13</v>
      </c>
      <c r="H54" s="14" t="n">
        <v>198845.24</v>
      </c>
      <c r="I54" s="14" t="n">
        <v>149395.56</v>
      </c>
      <c r="J54" s="14" t="n">
        <v>121295.81</v>
      </c>
      <c r="K54" s="14" t="n">
        <v>157389.37</v>
      </c>
      <c r="L54" s="14" t="n">
        <v>140517.19</v>
      </c>
      <c r="M54" s="14" t="n">
        <v>145255.09</v>
      </c>
      <c r="N54" s="14" t="n">
        <v>132730.1</v>
      </c>
      <c r="O54" s="14" t="n">
        <v>54271.85</v>
      </c>
      <c r="P54" s="14" t="n">
        <v>164958.01</v>
      </c>
      <c r="Q54" s="14" t="n">
        <v>41750.72</v>
      </c>
      <c r="R54" s="14" t="n">
        <v>42246.2</v>
      </c>
      <c r="S54" s="14" t="n">
        <v>193588.94</v>
      </c>
      <c r="T54" s="14" t="n">
        <v>126929.94</v>
      </c>
      <c r="U54" s="14" t="n">
        <v>65918.2</v>
      </c>
      <c r="V54" s="14" t="n">
        <v>129869.7</v>
      </c>
      <c r="W54" s="14" t="n">
        <v>113055.74</v>
      </c>
      <c r="X54" s="14" t="n">
        <v>103165.15</v>
      </c>
      <c r="Y54" s="14" t="n">
        <v>149065.92</v>
      </c>
    </row>
    <row r="55" spans="1:25" x14ac:dyDescent="0.25" ht="15.0" customHeight="true">
      <c r="A55" s="23"/>
      <c r="B55" s="7" t="s">
        <v>42</v>
      </c>
      <c r="C55" s="15" t="s">
        <v>1577</v>
      </c>
      <c r="D55" s="15" t="n">
        <v>16741.52</v>
      </c>
      <c r="E55" s="15" t="n">
        <v>134676.02</v>
      </c>
      <c r="F55" s="15" t="n">
        <v>144848.75</v>
      </c>
      <c r="G55" s="15" t="n">
        <v>77160.13</v>
      </c>
      <c r="H55" s="15" t="n">
        <v>198770.24</v>
      </c>
      <c r="I55" s="15" t="n">
        <v>149395.56</v>
      </c>
      <c r="J55" s="15" t="n">
        <v>119820.81</v>
      </c>
      <c r="K55" s="15" t="n">
        <v>157389.37</v>
      </c>
      <c r="L55" s="15" t="n">
        <v>140517.19</v>
      </c>
      <c r="M55" s="15" t="n">
        <v>145255.09</v>
      </c>
      <c r="N55" s="15" t="n">
        <v>131730.1</v>
      </c>
      <c r="O55" s="15" t="n">
        <v>54271.85</v>
      </c>
      <c r="P55" s="15" t="n">
        <v>164821.01</v>
      </c>
      <c r="Q55" s="15" t="n">
        <v>41746.07</v>
      </c>
      <c r="R55" s="15" t="n">
        <v>42246.2</v>
      </c>
      <c r="S55" s="15" t="n">
        <v>193588.94</v>
      </c>
      <c r="T55" s="15" t="n">
        <v>126929.94</v>
      </c>
      <c r="U55" s="15" t="n">
        <v>64938.2</v>
      </c>
      <c r="V55" s="15" t="n">
        <v>127869.7</v>
      </c>
      <c r="W55" s="15" t="n">
        <v>113055.74</v>
      </c>
      <c r="X55" s="15" t="n">
        <v>101175.15</v>
      </c>
      <c r="Y55" s="15" t="n">
        <v>149045.92</v>
      </c>
    </row>
    <row r="56" spans="1:25" x14ac:dyDescent="0.25" ht="15.0" customHeight="true">
      <c r="A56" s="23"/>
      <c r="B56" s="7" t="s">
        <v>43</v>
      </c>
      <c r="C56" s="15" t="s">
        <v>1578</v>
      </c>
      <c r="D56" s="15" t="n">
        <v>0.0</v>
      </c>
      <c r="E56" s="15" t="n">
        <v>0.0</v>
      </c>
      <c r="F56" s="15" t="n">
        <v>0.0</v>
      </c>
      <c r="G56" s="15" t="n">
        <v>0.0</v>
      </c>
      <c r="H56" s="15" t="n">
        <v>75.0</v>
      </c>
      <c r="I56" s="15" t="n">
        <v>0.0</v>
      </c>
      <c r="J56" s="15" t="n">
        <v>1475.0</v>
      </c>
      <c r="K56" s="15" t="n">
        <v>0.0</v>
      </c>
      <c r="L56" s="15" t="n">
        <v>0.0</v>
      </c>
      <c r="M56" s="15" t="n">
        <v>0.0</v>
      </c>
      <c r="N56" s="15" t="n">
        <v>1000.0</v>
      </c>
      <c r="O56" s="15" t="n">
        <v>0.0</v>
      </c>
      <c r="P56" s="15" t="n">
        <v>137.0</v>
      </c>
      <c r="Q56" s="15" t="n">
        <v>4.65</v>
      </c>
      <c r="R56" s="15" t="n">
        <v>0.0</v>
      </c>
      <c r="S56" s="15" t="n">
        <v>0.0</v>
      </c>
      <c r="T56" s="15" t="n">
        <v>0.0</v>
      </c>
      <c r="U56" s="15" t="n">
        <v>980.0</v>
      </c>
      <c r="V56" s="15" t="n">
        <v>2000.0</v>
      </c>
      <c r="W56" s="15" t="n">
        <v>0.0</v>
      </c>
      <c r="X56" s="15" t="n">
        <v>1990.0</v>
      </c>
      <c r="Y56" s="15" t="n">
        <v>20.0</v>
      </c>
    </row>
    <row r="57" spans="1:25" s="1" customFormat="1" x14ac:dyDescent="0.25" ht="15.0" customHeight="true">
      <c r="A57" s="22" t="n">
        <v>6.0</v>
      </c>
      <c r="B57" s="6" t="s">
        <v>48</v>
      </c>
      <c r="C57" s="14" t="s">
        <v>1579</v>
      </c>
      <c r="D57" s="14" t="n">
        <v>453153.5</v>
      </c>
      <c r="E57" s="14" t="n">
        <v>321352.15</v>
      </c>
      <c r="F57" s="14" t="n">
        <v>341043.69</v>
      </c>
      <c r="G57" s="14" t="n">
        <v>380601.55</v>
      </c>
      <c r="H57" s="14" t="n">
        <v>298988.52</v>
      </c>
      <c r="I57" s="14" t="n">
        <v>236993.88</v>
      </c>
      <c r="J57" s="14" t="n">
        <v>299257.46</v>
      </c>
      <c r="K57" s="14" t="n">
        <v>265465.56</v>
      </c>
      <c r="L57" s="14" t="n">
        <v>322826.07</v>
      </c>
      <c r="M57" s="14" t="n">
        <v>270009.52</v>
      </c>
      <c r="N57" s="14" t="n">
        <v>300707.97</v>
      </c>
      <c r="O57" s="14" t="n">
        <v>173250.6</v>
      </c>
      <c r="P57" s="14" t="n">
        <v>55698.51</v>
      </c>
      <c r="Q57" s="14" t="n">
        <v>208140.37</v>
      </c>
      <c r="R57" s="14" t="n">
        <v>175834.97</v>
      </c>
      <c r="S57" s="14" t="n">
        <v>65022.07</v>
      </c>
      <c r="T57" s="14" t="n">
        <v>114659.5</v>
      </c>
      <c r="U57" s="14" t="n">
        <v>163361.0</v>
      </c>
      <c r="V57" s="14" t="n">
        <v>48636.98</v>
      </c>
      <c r="W57" s="14" t="n">
        <v>40972.1</v>
      </c>
      <c r="X57" s="14" t="n">
        <v>51826.9</v>
      </c>
      <c r="Y57" s="14" t="n">
        <v>92749.32</v>
      </c>
    </row>
    <row r="58" spans="1:25" x14ac:dyDescent="0.25" ht="15.0" customHeight="true">
      <c r="A58" s="23" t="s">
        <v>49</v>
      </c>
      <c r="B58" s="8" t="s">
        <v>50</v>
      </c>
      <c r="C58" s="15" t="s">
        <v>1580</v>
      </c>
      <c r="D58" s="15" t="n">
        <v>0.0</v>
      </c>
      <c r="E58" s="15" t="n">
        <v>0.0</v>
      </c>
      <c r="F58" s="15" t="n">
        <v>0.0</v>
      </c>
      <c r="G58" s="15" t="n">
        <v>0.0</v>
      </c>
      <c r="H58" s="15" t="n">
        <v>0.0</v>
      </c>
      <c r="I58" s="15" t="n">
        <v>0.0</v>
      </c>
      <c r="J58" s="15" t="n">
        <v>0.0</v>
      </c>
      <c r="K58" s="15" t="n">
        <v>0.0</v>
      </c>
      <c r="L58" s="15" t="n">
        <v>0.0</v>
      </c>
      <c r="M58" s="15" t="n">
        <v>0.0</v>
      </c>
      <c r="N58" s="15" t="n">
        <v>0.0</v>
      </c>
      <c r="O58" s="15" t="n">
        <v>0.0</v>
      </c>
      <c r="P58" s="15" t="n">
        <v>0.0</v>
      </c>
      <c r="Q58" s="15" t="n">
        <v>0.0</v>
      </c>
      <c r="R58" s="15" t="n">
        <v>0.0</v>
      </c>
      <c r="S58" s="15" t="n">
        <v>0.0</v>
      </c>
      <c r="T58" s="15" t="n">
        <v>0.0</v>
      </c>
      <c r="U58" s="15" t="n">
        <v>0.0</v>
      </c>
      <c r="V58" s="15" t="n">
        <v>0.0</v>
      </c>
      <c r="W58" s="15" t="n">
        <v>0.0</v>
      </c>
      <c r="X58" s="15" t="n">
        <v>0.0</v>
      </c>
      <c r="Y58" s="15" t="n">
        <v>0.0</v>
      </c>
    </row>
    <row r="59" spans="1:25" x14ac:dyDescent="0.25" ht="15.0" customHeight="true">
      <c r="A59" s="23"/>
      <c r="B59" s="8" t="s">
        <v>51</v>
      </c>
      <c r="C59" s="15" t="s">
        <v>1581</v>
      </c>
      <c r="D59" s="15" t="n">
        <v>0.0</v>
      </c>
      <c r="E59" s="15" t="n">
        <v>0.0</v>
      </c>
      <c r="F59" s="15" t="n">
        <v>0.0</v>
      </c>
      <c r="G59" s="15" t="n">
        <v>0.0</v>
      </c>
      <c r="H59" s="15" t="n">
        <v>0.0</v>
      </c>
      <c r="I59" s="15" t="n">
        <v>0.0</v>
      </c>
      <c r="J59" s="15" t="n">
        <v>0.0</v>
      </c>
      <c r="K59" s="15" t="n">
        <v>0.0</v>
      </c>
      <c r="L59" s="15" t="n">
        <v>0.0</v>
      </c>
      <c r="M59" s="15" t="n">
        <v>0.0</v>
      </c>
      <c r="N59" s="15" t="n">
        <v>0.0</v>
      </c>
      <c r="O59" s="15" t="n">
        <v>0.0</v>
      </c>
      <c r="P59" s="15" t="n">
        <v>0.0</v>
      </c>
      <c r="Q59" s="15" t="n">
        <v>0.0</v>
      </c>
      <c r="R59" s="15" t="n">
        <v>0.0</v>
      </c>
      <c r="S59" s="15" t="n">
        <v>0.0</v>
      </c>
      <c r="T59" s="15" t="n">
        <v>0.0</v>
      </c>
      <c r="U59" s="15" t="n">
        <v>0.0</v>
      </c>
      <c r="V59" s="15" t="n">
        <v>0.0</v>
      </c>
      <c r="W59" s="15" t="n">
        <v>0.0</v>
      </c>
      <c r="X59" s="15" t="n">
        <v>0.0</v>
      </c>
      <c r="Y59" s="15" t="n">
        <v>0.0</v>
      </c>
    </row>
    <row r="60" spans="1:25" x14ac:dyDescent="0.25" ht="15.0" customHeight="true">
      <c r="A60" s="23"/>
      <c r="B60" s="8" t="s">
        <v>762</v>
      </c>
      <c r="C60" s="15" t="s">
        <v>1582</v>
      </c>
      <c r="D60" s="15" t="n">
        <v>0.0</v>
      </c>
      <c r="E60" s="15" t="n">
        <v>0.0</v>
      </c>
      <c r="F60" s="15" t="n">
        <v>0.0</v>
      </c>
      <c r="G60" s="15" t="n">
        <v>0.0</v>
      </c>
      <c r="H60" s="15" t="n">
        <v>0.0</v>
      </c>
      <c r="I60" s="15" t="n">
        <v>0.0</v>
      </c>
      <c r="J60" s="15" t="n">
        <v>0.0</v>
      </c>
      <c r="K60" s="15" t="n">
        <v>0.0</v>
      </c>
      <c r="L60" s="15" t="n">
        <v>0.0</v>
      </c>
      <c r="M60" s="15" t="n">
        <v>0.0</v>
      </c>
      <c r="N60" s="15" t="n">
        <v>0.0</v>
      </c>
      <c r="O60" s="15" t="n">
        <v>0.0</v>
      </c>
      <c r="P60" s="15" t="n">
        <v>0.0</v>
      </c>
      <c r="Q60" s="15" t="n">
        <v>0.0</v>
      </c>
      <c r="R60" s="15" t="n">
        <v>0.0</v>
      </c>
      <c r="S60" s="15" t="n">
        <v>0.0</v>
      </c>
      <c r="T60" s="15" t="n">
        <v>0.0</v>
      </c>
      <c r="U60" s="15" t="n">
        <v>0.0</v>
      </c>
      <c r="V60" s="15" t="n">
        <v>0.0</v>
      </c>
      <c r="W60" s="15" t="n">
        <v>0.0</v>
      </c>
      <c r="X60" s="15" t="n">
        <v>0.0</v>
      </c>
      <c r="Y60" s="15" t="n">
        <v>0.0</v>
      </c>
    </row>
    <row r="61" spans="1:25" x14ac:dyDescent="0.25" ht="15.0" customHeight="true">
      <c r="A61" s="23" t="s">
        <v>52</v>
      </c>
      <c r="B61" s="8" t="s">
        <v>53</v>
      </c>
      <c r="C61" s="15" t="s">
        <v>1583</v>
      </c>
      <c r="D61" s="15" t="n">
        <v>0.0</v>
      </c>
      <c r="E61" s="15" t="n">
        <v>0.0</v>
      </c>
      <c r="F61" s="15" t="n">
        <v>0.0</v>
      </c>
      <c r="G61" s="15" t="n">
        <v>0.0</v>
      </c>
      <c r="H61" s="15" t="n">
        <v>0.0</v>
      </c>
      <c r="I61" s="15" t="n">
        <v>0.0</v>
      </c>
      <c r="J61" s="15" t="n">
        <v>0.0</v>
      </c>
      <c r="K61" s="15" t="n">
        <v>0.0</v>
      </c>
      <c r="L61" s="15" t="n">
        <v>0.0</v>
      </c>
      <c r="M61" s="15" t="n">
        <v>0.0</v>
      </c>
      <c r="N61" s="15" t="n">
        <v>0.0</v>
      </c>
      <c r="O61" s="15" t="n">
        <v>0.0</v>
      </c>
      <c r="P61" s="15" t="n">
        <v>0.0</v>
      </c>
      <c r="Q61" s="15" t="n">
        <v>0.0</v>
      </c>
      <c r="R61" s="15" t="n">
        <v>0.0</v>
      </c>
      <c r="S61" s="15" t="n">
        <v>0.0</v>
      </c>
      <c r="T61" s="15" t="n">
        <v>0.0</v>
      </c>
      <c r="U61" s="15" t="n">
        <v>0.0</v>
      </c>
      <c r="V61" s="15" t="n">
        <v>0.0</v>
      </c>
      <c r="W61" s="15" t="n">
        <v>0.0</v>
      </c>
      <c r="X61" s="15" t="n">
        <v>0.0</v>
      </c>
      <c r="Y61" s="15" t="n">
        <v>0.0</v>
      </c>
    </row>
    <row r="62" spans="1:25" x14ac:dyDescent="0.25" ht="15.0" customHeight="true">
      <c r="A62" s="23" t="s">
        <v>54</v>
      </c>
      <c r="B62" s="8" t="s">
        <v>55</v>
      </c>
      <c r="C62" s="15" t="s">
        <v>1584</v>
      </c>
      <c r="D62" s="15" t="n">
        <v>0.0</v>
      </c>
      <c r="E62" s="15" t="n">
        <v>0.0</v>
      </c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n">
        <v>0.0</v>
      </c>
      <c r="L62" s="15" t="n">
        <v>0.0</v>
      </c>
      <c r="M62" s="15" t="n">
        <v>0.0</v>
      </c>
      <c r="N62" s="15" t="n">
        <v>0.0</v>
      </c>
      <c r="O62" s="15" t="n">
        <v>0.0</v>
      </c>
      <c r="P62" s="15" t="n">
        <v>0.0</v>
      </c>
      <c r="Q62" s="15" t="n">
        <v>0.0</v>
      </c>
      <c r="R62" s="15" t="n">
        <v>0.0</v>
      </c>
      <c r="S62" s="15" t="n">
        <v>0.0</v>
      </c>
      <c r="T62" s="15" t="n">
        <v>0.0</v>
      </c>
      <c r="U62" s="15" t="n">
        <v>0.0</v>
      </c>
      <c r="V62" s="15" t="n">
        <v>0.0</v>
      </c>
      <c r="W62" s="15" t="n">
        <v>0.0</v>
      </c>
      <c r="X62" s="15" t="n">
        <v>0.0</v>
      </c>
      <c r="Y62" s="15" t="n">
        <v>0.0</v>
      </c>
    </row>
    <row r="63" spans="1:25" x14ac:dyDescent="0.25" ht="15.0" customHeight="true">
      <c r="A63" s="23"/>
      <c r="B63" s="8" t="s">
        <v>56</v>
      </c>
      <c r="C63" s="15" t="s">
        <v>1585</v>
      </c>
      <c r="D63" s="15" t="n">
        <v>0.0</v>
      </c>
      <c r="E63" s="15" t="n">
        <v>0.0</v>
      </c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n">
        <v>0.0</v>
      </c>
      <c r="L63" s="15" t="n">
        <v>0.0</v>
      </c>
      <c r="M63" s="15" t="n">
        <v>0.0</v>
      </c>
      <c r="N63" s="15" t="n">
        <v>0.0</v>
      </c>
      <c r="O63" s="15" t="n">
        <v>0.0</v>
      </c>
      <c r="P63" s="15" t="n">
        <v>0.0</v>
      </c>
      <c r="Q63" s="15" t="n">
        <v>0.0</v>
      </c>
      <c r="R63" s="15" t="n">
        <v>0.0</v>
      </c>
      <c r="S63" s="15" t="n">
        <v>0.0</v>
      </c>
      <c r="T63" s="15" t="n">
        <v>0.0</v>
      </c>
      <c r="U63" s="15" t="n">
        <v>0.0</v>
      </c>
      <c r="V63" s="15" t="n">
        <v>0.0</v>
      </c>
      <c r="W63" s="15" t="n">
        <v>0.0</v>
      </c>
      <c r="X63" s="15" t="n">
        <v>0.0</v>
      </c>
      <c r="Y63" s="15" t="n">
        <v>0.0</v>
      </c>
    </row>
    <row r="64" spans="1:25" x14ac:dyDescent="0.25" ht="15.0" customHeight="true">
      <c r="A64" s="23"/>
      <c r="B64" s="8" t="s">
        <v>763</v>
      </c>
      <c r="C64" s="15" t="s">
        <v>1586</v>
      </c>
      <c r="D64" s="15" t="n">
        <v>0.0</v>
      </c>
      <c r="E64" s="15" t="n">
        <v>0.0</v>
      </c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n">
        <v>0.0</v>
      </c>
      <c r="L64" s="15" t="n">
        <v>0.0</v>
      </c>
      <c r="M64" s="15" t="n">
        <v>0.0</v>
      </c>
      <c r="N64" s="15" t="n">
        <v>0.0</v>
      </c>
      <c r="O64" s="15" t="n">
        <v>0.0</v>
      </c>
      <c r="P64" s="15" t="n">
        <v>0.0</v>
      </c>
      <c r="Q64" s="15" t="n">
        <v>0.0</v>
      </c>
      <c r="R64" s="15" t="n">
        <v>0.0</v>
      </c>
      <c r="S64" s="15" t="n">
        <v>0.0</v>
      </c>
      <c r="T64" s="15" t="n">
        <v>0.0</v>
      </c>
      <c r="U64" s="15" t="n">
        <v>0.0</v>
      </c>
      <c r="V64" s="15" t="n">
        <v>0.0</v>
      </c>
      <c r="W64" s="15" t="n">
        <v>0.0</v>
      </c>
      <c r="X64" s="15" t="n">
        <v>0.0</v>
      </c>
      <c r="Y64" s="15" t="n">
        <v>0.0</v>
      </c>
    </row>
    <row r="65" spans="1:25" s="1" customFormat="1" x14ac:dyDescent="0.25" ht="15.0" customHeight="true">
      <c r="A65" s="22" t="n">
        <v>7.0</v>
      </c>
      <c r="B65" s="9" t="s">
        <v>57</v>
      </c>
      <c r="C65" s="14" t="s">
        <v>1587</v>
      </c>
      <c r="D65" s="14" t="n">
        <v>0.0</v>
      </c>
      <c r="E65" s="14" t="n">
        <v>0.0</v>
      </c>
      <c r="F65" s="14" t="n">
        <v>0.0</v>
      </c>
      <c r="G65" s="14" t="n">
        <v>0.0</v>
      </c>
      <c r="H65" s="14" t="n">
        <v>8.0</v>
      </c>
      <c r="I65" s="14" t="n">
        <v>16.0</v>
      </c>
      <c r="J65" s="14" t="n">
        <v>0.0</v>
      </c>
      <c r="K65" s="14" t="n">
        <v>0.0</v>
      </c>
      <c r="L65" s="14" t="n">
        <v>0.0</v>
      </c>
      <c r="M65" s="14" t="n">
        <v>0.0</v>
      </c>
      <c r="N65" s="14" t="n">
        <v>0.0</v>
      </c>
      <c r="O65" s="14" t="n">
        <v>0.0</v>
      </c>
      <c r="P65" s="14" t="n">
        <v>18.7</v>
      </c>
      <c r="Q65" s="14" t="n">
        <v>0.0</v>
      </c>
      <c r="R65" s="14" t="n">
        <v>0.0</v>
      </c>
      <c r="S65" s="14" t="n">
        <v>8.0</v>
      </c>
      <c r="T65" s="14" t="n">
        <v>0.0</v>
      </c>
      <c r="U65" s="14" t="n">
        <v>0.0</v>
      </c>
      <c r="V65" s="14" t="n">
        <v>8.0</v>
      </c>
      <c r="W65" s="14" t="n">
        <v>16.0</v>
      </c>
      <c r="X65" s="14" t="n">
        <v>0.0</v>
      </c>
      <c r="Y65" s="14" t="n">
        <v>32.0</v>
      </c>
    </row>
    <row r="66" spans="1:25" s="1" customFormat="1" x14ac:dyDescent="0.25" ht="15.0" customHeight="true">
      <c r="A66" s="22" t="n">
        <v>8.0</v>
      </c>
      <c r="B66" s="9" t="s">
        <v>58</v>
      </c>
      <c r="C66" s="14" t="s">
        <v>1588</v>
      </c>
      <c r="D66" s="14" t="n">
        <v>0.0</v>
      </c>
      <c r="E66" s="14" t="n">
        <v>0.0</v>
      </c>
      <c r="F66" s="14" t="n">
        <v>0.0</v>
      </c>
      <c r="G66" s="14" t="n">
        <v>0.0</v>
      </c>
      <c r="H66" s="14" t="n">
        <v>0.0</v>
      </c>
      <c r="I66" s="14" t="n">
        <v>69.8</v>
      </c>
      <c r="J66" s="14" t="n">
        <v>0.0</v>
      </c>
      <c r="K66" s="14" t="n">
        <v>99.4</v>
      </c>
      <c r="L66" s="14" t="n">
        <v>0.0</v>
      </c>
      <c r="M66" s="14" t="n">
        <v>25.0</v>
      </c>
      <c r="N66" s="14" t="n">
        <v>0.0</v>
      </c>
      <c r="O66" s="14" t="n">
        <v>0.0</v>
      </c>
      <c r="P66" s="14" t="n">
        <v>2962.6</v>
      </c>
      <c r="Q66" s="14" t="n">
        <v>0.0</v>
      </c>
      <c r="R66" s="14" t="n">
        <v>0.0</v>
      </c>
      <c r="S66" s="14" t="n">
        <v>1333.9</v>
      </c>
      <c r="T66" s="14" t="n">
        <v>576.0</v>
      </c>
      <c r="U66" s="14" t="n">
        <v>0.0</v>
      </c>
      <c r="V66" s="14" t="n">
        <v>936.0</v>
      </c>
      <c r="W66" s="14" t="n">
        <v>2324.07</v>
      </c>
      <c r="X66" s="14" t="n">
        <v>2269.4</v>
      </c>
      <c r="Y66" s="14" t="n">
        <v>342.5</v>
      </c>
    </row>
    <row r="67" spans="1:25" s="1" customFormat="1" x14ac:dyDescent="0.25" ht="15.0" customHeight="true">
      <c r="A67" s="22" t="n">
        <v>9.0</v>
      </c>
      <c r="B67" s="9" t="s">
        <v>59</v>
      </c>
      <c r="C67" s="14" t="s">
        <v>1589</v>
      </c>
      <c r="D67" s="14" t="n">
        <v>86583.54</v>
      </c>
      <c r="E67" s="14" t="n">
        <v>2748.9</v>
      </c>
      <c r="F67" s="14" t="n">
        <v>13793.94</v>
      </c>
      <c r="G67" s="14" t="n">
        <v>116440.75</v>
      </c>
      <c r="H67" s="14" t="n">
        <v>16026.09</v>
      </c>
      <c r="I67" s="14" t="n">
        <v>19127.8</v>
      </c>
      <c r="J67" s="14" t="n">
        <v>18388.2</v>
      </c>
      <c r="K67" s="14" t="n">
        <v>9975.18</v>
      </c>
      <c r="L67" s="14" t="n">
        <v>10160.4</v>
      </c>
      <c r="M67" s="14" t="n">
        <v>10952.9</v>
      </c>
      <c r="N67" s="14" t="n">
        <v>23996.3</v>
      </c>
      <c r="O67" s="14" t="n">
        <v>2207.05</v>
      </c>
      <c r="P67" s="14" t="n">
        <v>1526.04</v>
      </c>
      <c r="Q67" s="14" t="n">
        <v>21756.2</v>
      </c>
      <c r="R67" s="14" t="n">
        <v>8256.9</v>
      </c>
      <c r="S67" s="14" t="n">
        <v>8559.35</v>
      </c>
      <c r="T67" s="14" t="n">
        <v>4558.76</v>
      </c>
      <c r="U67" s="14" t="n">
        <v>7823.76</v>
      </c>
      <c r="V67" s="14" t="n">
        <v>6081.32</v>
      </c>
      <c r="W67" s="14" t="n">
        <v>8089.0</v>
      </c>
      <c r="X67" s="14" t="n">
        <v>38930.26</v>
      </c>
      <c r="Y67" s="14" t="n">
        <v>1374.4</v>
      </c>
    </row>
    <row r="68" spans="1:25" x14ac:dyDescent="0.25" ht="15.0" customHeight="true">
      <c r="A68" s="23"/>
      <c r="B68" s="7" t="s">
        <v>42</v>
      </c>
      <c r="C68" s="15" t="s">
        <v>1590</v>
      </c>
      <c r="D68" s="15" t="n">
        <v>7829.4</v>
      </c>
      <c r="E68" s="15" t="n">
        <v>1337.0</v>
      </c>
      <c r="F68" s="15" t="n">
        <v>12091.94</v>
      </c>
      <c r="G68" s="15" t="n">
        <v>40308.29</v>
      </c>
      <c r="H68" s="15" t="n">
        <v>10543.56</v>
      </c>
      <c r="I68" s="15" t="n">
        <v>16867.2</v>
      </c>
      <c r="J68" s="15" t="n">
        <v>12313.0</v>
      </c>
      <c r="K68" s="15" t="n">
        <v>8819.88</v>
      </c>
      <c r="L68" s="15" t="n">
        <v>9578.0</v>
      </c>
      <c r="M68" s="15" t="n">
        <v>8739.0</v>
      </c>
      <c r="N68" s="15" t="n">
        <v>10143.9</v>
      </c>
      <c r="O68" s="15" t="n">
        <v>2207.05</v>
      </c>
      <c r="P68" s="15" t="n">
        <v>1526.04</v>
      </c>
      <c r="Q68" s="15" t="n">
        <v>21756.2</v>
      </c>
      <c r="R68" s="15" t="n">
        <v>8256.91</v>
      </c>
      <c r="S68" s="15" t="n">
        <v>8559.35</v>
      </c>
      <c r="T68" s="15" t="n">
        <v>4558.76</v>
      </c>
      <c r="U68" s="15" t="n">
        <v>7823.76</v>
      </c>
      <c r="V68" s="15" t="n">
        <v>6081.32</v>
      </c>
      <c r="W68" s="15" t="n">
        <v>8089.0</v>
      </c>
      <c r="X68" s="15" t="n">
        <v>38930.25</v>
      </c>
      <c r="Y68" s="15" t="n">
        <v>1374.4</v>
      </c>
    </row>
    <row r="69" spans="1:25" x14ac:dyDescent="0.25" ht="15.0" customHeight="true">
      <c r="A69" s="23"/>
      <c r="B69" s="7" t="s">
        <v>43</v>
      </c>
      <c r="C69" s="15" t="s">
        <v>1591</v>
      </c>
      <c r="D69" s="15" t="n">
        <v>78754.14</v>
      </c>
      <c r="E69" s="15" t="n">
        <v>1411.9</v>
      </c>
      <c r="F69" s="15" t="n">
        <v>1702.0</v>
      </c>
      <c r="G69" s="15" t="n">
        <v>76132.46</v>
      </c>
      <c r="H69" s="15" t="n">
        <v>5482.53</v>
      </c>
      <c r="I69" s="15" t="n">
        <v>2260.6</v>
      </c>
      <c r="J69" s="15" t="n">
        <v>6075.2</v>
      </c>
      <c r="K69" s="15" t="n">
        <v>1155.3</v>
      </c>
      <c r="L69" s="15" t="n">
        <v>582.4</v>
      </c>
      <c r="M69" s="15" t="n">
        <v>2213.9</v>
      </c>
      <c r="N69" s="15" t="n">
        <v>13852.4</v>
      </c>
      <c r="O69" s="15" t="n">
        <v>0.0</v>
      </c>
      <c r="P69" s="15" t="n">
        <v>0.0</v>
      </c>
      <c r="Q69" s="15" t="n">
        <v>0.0</v>
      </c>
      <c r="R69" s="15" t="n">
        <v>0.0</v>
      </c>
      <c r="S69" s="15" t="n">
        <v>0.0</v>
      </c>
      <c r="T69" s="15" t="n">
        <v>0.0</v>
      </c>
      <c r="U69" s="15" t="n">
        <v>0.0</v>
      </c>
      <c r="V69" s="15" t="n">
        <v>0.0</v>
      </c>
      <c r="W69" s="15" t="n">
        <v>0.0</v>
      </c>
      <c r="X69" s="15" t="n">
        <v>0.0</v>
      </c>
      <c r="Y69" s="15" t="n">
        <v>0.0</v>
      </c>
    </row>
    <row r="70" spans="1:25" s="1" customFormat="1" x14ac:dyDescent="0.25" ht="15.0" customHeight="true">
      <c r="A70" s="22" t="n">
        <v>10.0</v>
      </c>
      <c r="B70" s="9" t="s">
        <v>60</v>
      </c>
      <c r="C70" s="14" t="s">
        <v>1592</v>
      </c>
      <c r="D70" s="14" t="n">
        <v>0.0</v>
      </c>
      <c r="E70" s="14" t="n">
        <v>0.0</v>
      </c>
      <c r="F70" s="14" t="n">
        <v>0.0</v>
      </c>
      <c r="G70" s="14" t="n">
        <v>0.0</v>
      </c>
      <c r="H70" s="14" t="n">
        <v>0.1</v>
      </c>
      <c r="I70" s="14" t="n">
        <v>0.0</v>
      </c>
      <c r="J70" s="14" t="n">
        <v>0.0</v>
      </c>
      <c r="K70" s="14" t="n">
        <v>15.0</v>
      </c>
      <c r="L70" s="14" t="n">
        <v>0.0</v>
      </c>
      <c r="M70" s="14" t="n">
        <v>60.5</v>
      </c>
      <c r="N70" s="14" t="n">
        <v>0.0</v>
      </c>
      <c r="O70" s="14" t="n">
        <v>5626.0</v>
      </c>
      <c r="P70" s="14" t="n">
        <v>126742.73</v>
      </c>
      <c r="Q70" s="14" t="n">
        <v>0.0</v>
      </c>
      <c r="R70" s="14" t="n">
        <v>350.0</v>
      </c>
      <c r="S70" s="14" t="n">
        <v>87811.7</v>
      </c>
      <c r="T70" s="14" t="n">
        <v>14846.76</v>
      </c>
      <c r="U70" s="14" t="n">
        <v>0.0</v>
      </c>
      <c r="V70" s="14" t="n">
        <v>68603.75</v>
      </c>
      <c r="W70" s="14" t="n">
        <v>143497.18</v>
      </c>
      <c r="X70" s="14" t="n">
        <v>33075.09</v>
      </c>
      <c r="Y70" s="14" t="n">
        <v>27043.8</v>
      </c>
    </row>
    <row r="71" spans="1:25" s="1" customFormat="1" x14ac:dyDescent="0.25" ht="15.0" customHeight="true">
      <c r="A71" s="22" t="n">
        <v>11.0</v>
      </c>
      <c r="B71" s="9" t="s">
        <v>61</v>
      </c>
      <c r="C71" s="14" t="s">
        <v>1593</v>
      </c>
      <c r="D71" s="14" t="n">
        <v>0.0</v>
      </c>
      <c r="E71" s="14" t="n">
        <v>0.0</v>
      </c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n">
        <v>0.0</v>
      </c>
      <c r="L71" s="14" t="n">
        <v>6.97</v>
      </c>
      <c r="M71" s="14" t="n">
        <v>0.0</v>
      </c>
      <c r="N71" s="14" t="n">
        <v>0.0</v>
      </c>
      <c r="O71" s="14" t="n">
        <v>0.0</v>
      </c>
      <c r="P71" s="14" t="n">
        <v>319.0</v>
      </c>
      <c r="Q71" s="14" t="n">
        <v>0.0</v>
      </c>
      <c r="R71" s="14" t="n">
        <v>0.0</v>
      </c>
      <c r="S71" s="14" t="n">
        <v>0.0</v>
      </c>
      <c r="T71" s="14" t="n">
        <v>0.0</v>
      </c>
      <c r="U71" s="14" t="n">
        <v>0.0</v>
      </c>
      <c r="V71" s="14" t="n">
        <v>80.0</v>
      </c>
      <c r="W71" s="14" t="n">
        <v>4193.0</v>
      </c>
      <c r="X71" s="14" t="n">
        <v>0.0</v>
      </c>
      <c r="Y71" s="14" t="n">
        <v>0.0</v>
      </c>
    </row>
    <row r="72" spans="1:25" s="1" customFormat="1" x14ac:dyDescent="0.25" ht="15.0" customHeight="true">
      <c r="A72" s="22" t="n">
        <v>12.0</v>
      </c>
      <c r="B72" s="6" t="s">
        <v>62</v>
      </c>
      <c r="C72" s="14" t="s">
        <v>1594</v>
      </c>
      <c r="D72" s="14" t="n">
        <v>0.0</v>
      </c>
      <c r="E72" s="14" t="n">
        <v>0.0</v>
      </c>
      <c r="F72" s="14" t="n">
        <v>0.0</v>
      </c>
      <c r="G72" s="14" t="n">
        <v>0.0</v>
      </c>
      <c r="H72" s="14" t="n">
        <v>0.0</v>
      </c>
      <c r="I72" s="14" t="n">
        <v>15.0</v>
      </c>
      <c r="J72" s="14" t="n">
        <v>0.0</v>
      </c>
      <c r="K72" s="14" t="n">
        <v>0.0</v>
      </c>
      <c r="L72" s="14" t="n">
        <v>0.0</v>
      </c>
      <c r="M72" s="14" t="n">
        <v>0.0</v>
      </c>
      <c r="N72" s="14" t="n">
        <v>0.0</v>
      </c>
      <c r="O72" s="14" t="n">
        <v>0.0</v>
      </c>
      <c r="P72" s="14" t="n">
        <v>0.0</v>
      </c>
      <c r="Q72" s="14" t="n">
        <v>0.0</v>
      </c>
      <c r="R72" s="14" t="n">
        <v>0.0</v>
      </c>
      <c r="S72" s="14" t="n">
        <v>0.0</v>
      </c>
      <c r="T72" s="14" t="n">
        <v>0.0</v>
      </c>
      <c r="U72" s="14" t="n">
        <v>0.0</v>
      </c>
      <c r="V72" s="14" t="n">
        <v>30.0</v>
      </c>
      <c r="W72" s="14" t="n">
        <v>0.0</v>
      </c>
      <c r="X72" s="14" t="n">
        <v>0.0</v>
      </c>
      <c r="Y72" s="14" t="n">
        <v>0.0</v>
      </c>
    </row>
    <row r="73" spans="1:25" x14ac:dyDescent="0.25" ht="15.0" customHeight="true">
      <c r="A73" s="23"/>
      <c r="B73" s="7" t="s">
        <v>42</v>
      </c>
      <c r="C73" s="15" t="s">
        <v>1595</v>
      </c>
      <c r="D73" s="15" t="n">
        <v>0.0</v>
      </c>
      <c r="E73" s="15" t="n">
        <v>0.0</v>
      </c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n">
        <v>0.0</v>
      </c>
      <c r="L73" s="15" t="n">
        <v>0.0</v>
      </c>
      <c r="M73" s="15" t="n">
        <v>0.0</v>
      </c>
      <c r="N73" s="15" t="n">
        <v>0.0</v>
      </c>
      <c r="O73" s="15" t="n">
        <v>0.0</v>
      </c>
      <c r="P73" s="15" t="n">
        <v>0.0</v>
      </c>
      <c r="Q73" s="15" t="n">
        <v>0.0</v>
      </c>
      <c r="R73" s="15" t="n">
        <v>0.0</v>
      </c>
      <c r="S73" s="15" t="n">
        <v>0.0</v>
      </c>
      <c r="T73" s="15" t="n">
        <v>0.0</v>
      </c>
      <c r="U73" s="15" t="n">
        <v>0.0</v>
      </c>
      <c r="V73" s="15" t="n">
        <v>30.0</v>
      </c>
      <c r="W73" s="15" t="n">
        <v>0.0</v>
      </c>
      <c r="X73" s="15" t="n">
        <v>0.0</v>
      </c>
      <c r="Y73" s="15" t="n">
        <v>0.0</v>
      </c>
    </row>
    <row r="74" spans="1:25" x14ac:dyDescent="0.25" ht="15.0" customHeight="true">
      <c r="A74" s="23"/>
      <c r="B74" s="7" t="s">
        <v>43</v>
      </c>
      <c r="C74" s="15" t="s">
        <v>1596</v>
      </c>
      <c r="D74" s="15" t="n">
        <v>0.0</v>
      </c>
      <c r="E74" s="15" t="n">
        <v>0.0</v>
      </c>
      <c r="F74" s="15" t="n">
        <v>0.0</v>
      </c>
      <c r="G74" s="15" t="n">
        <v>0.0</v>
      </c>
      <c r="H74" s="15" t="n">
        <v>0.0</v>
      </c>
      <c r="I74" s="15" t="n">
        <v>15.0</v>
      </c>
      <c r="J74" s="15" t="n">
        <v>0.0</v>
      </c>
      <c r="K74" s="15" t="n">
        <v>0.0</v>
      </c>
      <c r="L74" s="15" t="n">
        <v>0.0</v>
      </c>
      <c r="M74" s="15" t="n">
        <v>0.0</v>
      </c>
      <c r="N74" s="15" t="n">
        <v>0.0</v>
      </c>
      <c r="O74" s="15" t="n">
        <v>0.0</v>
      </c>
      <c r="P74" s="15" t="n">
        <v>0.0</v>
      </c>
      <c r="Q74" s="15" t="n">
        <v>0.0</v>
      </c>
      <c r="R74" s="15" t="n">
        <v>0.0</v>
      </c>
      <c r="S74" s="15" t="n">
        <v>0.0</v>
      </c>
      <c r="T74" s="15" t="n">
        <v>0.0</v>
      </c>
      <c r="U74" s="15" t="n">
        <v>0.0</v>
      </c>
      <c r="V74" s="15" t="n">
        <v>0.0</v>
      </c>
      <c r="W74" s="15" t="n">
        <v>0.0</v>
      </c>
      <c r="X74" s="15" t="n">
        <v>0.0</v>
      </c>
      <c r="Y74" s="15" t="n">
        <v>0.0</v>
      </c>
    </row>
    <row r="75" spans="1:25" s="1" customFormat="1" x14ac:dyDescent="0.25" ht="15.0" customHeight="true">
      <c r="A75" s="22" t="n">
        <v>13.0</v>
      </c>
      <c r="B75" s="6" t="s">
        <v>63</v>
      </c>
      <c r="C75" s="14" t="s">
        <v>1597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n">
        <v>0.0</v>
      </c>
      <c r="L75" s="14" t="n">
        <v>0.0</v>
      </c>
      <c r="M75" s="14" t="n">
        <v>0.0</v>
      </c>
      <c r="N75" s="14" t="n">
        <v>0.0</v>
      </c>
      <c r="O75" s="14" t="n">
        <v>0.0</v>
      </c>
      <c r="P75" s="14" t="n">
        <v>1432.0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140.0</v>
      </c>
      <c r="W75" s="14" t="n">
        <v>40.0</v>
      </c>
      <c r="X75" s="14" t="n">
        <v>296.0</v>
      </c>
      <c r="Y75" s="14" t="n">
        <v>0.0</v>
      </c>
    </row>
    <row r="76" spans="1:25" x14ac:dyDescent="0.25" ht="15.0" customHeight="true">
      <c r="A76" s="23"/>
      <c r="B76" s="7" t="s">
        <v>42</v>
      </c>
      <c r="C76" s="15" t="s">
        <v>1598</v>
      </c>
      <c r="D76" s="15" t="n">
        <v>0.0</v>
      </c>
      <c r="E76" s="15" t="n">
        <v>0.0</v>
      </c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n">
        <v>0.0</v>
      </c>
      <c r="L76" s="15" t="n">
        <v>0.0</v>
      </c>
      <c r="M76" s="15" t="n">
        <v>0.0</v>
      </c>
      <c r="N76" s="15" t="n">
        <v>0.0</v>
      </c>
      <c r="O76" s="15" t="n">
        <v>0.0</v>
      </c>
      <c r="P76" s="15" t="n">
        <v>1432.0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140.0</v>
      </c>
      <c r="W76" s="15" t="n">
        <v>40.0</v>
      </c>
      <c r="X76" s="15" t="n">
        <v>296.0</v>
      </c>
      <c r="Y76" s="15" t="n">
        <v>0.0</v>
      </c>
    </row>
    <row r="77" spans="1:25" x14ac:dyDescent="0.25" ht="15.0" customHeight="true">
      <c r="A77" s="23"/>
      <c r="B77" s="7" t="s">
        <v>43</v>
      </c>
      <c r="C77" s="15" t="s">
        <v>1599</v>
      </c>
      <c r="D77" s="15" t="n">
        <v>0.0</v>
      </c>
      <c r="E77" s="15" t="n">
        <v>0.0</v>
      </c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n">
        <v>0.0</v>
      </c>
      <c r="L77" s="15" t="n">
        <v>0.0</v>
      </c>
      <c r="M77" s="15" t="n">
        <v>0.0</v>
      </c>
      <c r="N77" s="15" t="n">
        <v>0.0</v>
      </c>
      <c r="O77" s="15" t="n">
        <v>0.0</v>
      </c>
      <c r="P77" s="15" t="n">
        <v>0.0</v>
      </c>
      <c r="Q77" s="15" t="n">
        <v>0.0</v>
      </c>
      <c r="R77" s="15" t="n">
        <v>0.0</v>
      </c>
      <c r="S77" s="15" t="n">
        <v>0.0</v>
      </c>
      <c r="T77" s="15" t="n">
        <v>0.0</v>
      </c>
      <c r="U77" s="15" t="n">
        <v>0.0</v>
      </c>
      <c r="V77" s="15" t="n">
        <v>0.0</v>
      </c>
      <c r="W77" s="15" t="n">
        <v>0.0</v>
      </c>
      <c r="X77" s="15" t="n">
        <v>0.0</v>
      </c>
      <c r="Y77" s="15" t="n">
        <v>0.0</v>
      </c>
    </row>
    <row r="78" spans="1:25" s="1" customFormat="1" x14ac:dyDescent="0.25" ht="15.0" customHeight="true">
      <c r="A78" s="22" t="n">
        <v>14.0</v>
      </c>
      <c r="B78" s="6" t="s">
        <v>64</v>
      </c>
      <c r="C78" s="14" t="s">
        <v>1600</v>
      </c>
      <c r="D78" s="14" t="n">
        <v>14.0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100.0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72.5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70.3</v>
      </c>
      <c r="Y78" s="14" t="n">
        <v>42.89</v>
      </c>
    </row>
    <row r="79" spans="1:25" x14ac:dyDescent="0.25" ht="15.0" customHeight="true">
      <c r="A79" s="23"/>
      <c r="B79" s="7" t="s">
        <v>65</v>
      </c>
      <c r="C79" s="15" t="s">
        <v>1601</v>
      </c>
      <c r="D79" s="15" t="n">
        <v>0.0</v>
      </c>
      <c r="E79" s="15" t="n">
        <v>0.0</v>
      </c>
      <c r="F79" s="15" t="n">
        <v>0.0</v>
      </c>
      <c r="G79" s="15" t="n">
        <v>0.0</v>
      </c>
      <c r="H79" s="15" t="n">
        <v>0.0</v>
      </c>
      <c r="I79" s="15" t="n">
        <v>100.0</v>
      </c>
      <c r="J79" s="15" t="n">
        <v>0.0</v>
      </c>
      <c r="K79" s="15" t="n">
        <v>0.0</v>
      </c>
      <c r="L79" s="15" t="n">
        <v>0.0</v>
      </c>
      <c r="M79" s="15" t="n">
        <v>0.0</v>
      </c>
      <c r="N79" s="15" t="n">
        <v>0.0</v>
      </c>
      <c r="O79" s="15" t="n">
        <v>0.0</v>
      </c>
      <c r="P79" s="15" t="n">
        <v>0.0</v>
      </c>
      <c r="Q79" s="15" t="n">
        <v>0.0</v>
      </c>
      <c r="R79" s="15" t="n">
        <v>0.0</v>
      </c>
      <c r="S79" s="15" t="n">
        <v>72.5</v>
      </c>
      <c r="T79" s="15" t="n">
        <v>0.0</v>
      </c>
      <c r="U79" s="15" t="n">
        <v>0.0</v>
      </c>
      <c r="V79" s="15" t="n">
        <v>0.0</v>
      </c>
      <c r="W79" s="15" t="n">
        <v>0.0</v>
      </c>
      <c r="X79" s="15" t="n">
        <v>70.3</v>
      </c>
      <c r="Y79" s="15" t="n">
        <v>42.89</v>
      </c>
    </row>
    <row r="80" spans="1:25" s="1" customFormat="1" x14ac:dyDescent="0.25" ht="15.0" customHeight="true">
      <c r="A80" s="22" t="n">
        <v>15.0</v>
      </c>
      <c r="B80" s="6" t="s">
        <v>66</v>
      </c>
      <c r="C80" s="14" t="s">
        <v>1602</v>
      </c>
      <c r="D80" s="14" t="n">
        <v>0.0</v>
      </c>
      <c r="E80" s="14" t="n">
        <v>0.0</v>
      </c>
      <c r="F80" s="14" t="n">
        <v>0.0</v>
      </c>
      <c r="G80" s="14" t="n">
        <v>0.0</v>
      </c>
      <c r="H80" s="14" t="n">
        <v>0.0</v>
      </c>
      <c r="I80" s="14" t="n">
        <v>0.0</v>
      </c>
      <c r="J80" s="14" t="n">
        <v>0.0</v>
      </c>
      <c r="K80" s="14" t="n">
        <v>0.0</v>
      </c>
      <c r="L80" s="14" t="n">
        <v>0.0</v>
      </c>
      <c r="M80" s="14" t="n">
        <v>0.0</v>
      </c>
      <c r="N80" s="14" t="n">
        <v>0.0</v>
      </c>
      <c r="O80" s="14" t="n">
        <v>0.0</v>
      </c>
      <c r="P80" s="14" t="n">
        <v>0.0</v>
      </c>
      <c r="Q80" s="14" t="n">
        <v>0.0</v>
      </c>
      <c r="R80" s="14" t="n">
        <v>0.0</v>
      </c>
      <c r="S80" s="14" t="n">
        <v>0.0</v>
      </c>
      <c r="T80" s="14" t="n">
        <v>0.0</v>
      </c>
      <c r="U80" s="14" t="n">
        <v>0.0</v>
      </c>
      <c r="V80" s="14" t="n">
        <v>0.0</v>
      </c>
      <c r="W80" s="14" t="n">
        <v>0.0</v>
      </c>
      <c r="X80" s="14" t="n">
        <v>0.0</v>
      </c>
      <c r="Y80" s="14" t="n">
        <v>0.0</v>
      </c>
    </row>
    <row r="81" spans="1:25" s="1" customFormat="1" x14ac:dyDescent="0.25" ht="15.0" customHeight="true">
      <c r="A81" s="22" t="n">
        <v>16.0</v>
      </c>
      <c r="B81" s="6" t="s">
        <v>67</v>
      </c>
      <c r="C81" s="14" t="s">
        <v>1603</v>
      </c>
      <c r="D81" s="14" t="n">
        <v>0.0</v>
      </c>
      <c r="E81" s="14" t="n">
        <v>0.0</v>
      </c>
      <c r="F81" s="14" t="n">
        <v>0.0</v>
      </c>
      <c r="G81" s="14" t="n">
        <v>0.0</v>
      </c>
      <c r="H81" s="14" t="n">
        <v>0.0</v>
      </c>
      <c r="I81" s="14" t="n">
        <v>0.0</v>
      </c>
      <c r="J81" s="14" t="n">
        <v>0.0</v>
      </c>
      <c r="K81" s="14" t="n">
        <v>0.0</v>
      </c>
      <c r="L81" s="14" t="n">
        <v>0.0</v>
      </c>
      <c r="M81" s="14" t="n">
        <v>0.0</v>
      </c>
      <c r="N81" s="14" t="n">
        <v>0.0</v>
      </c>
      <c r="O81" s="14" t="n">
        <v>0.0</v>
      </c>
      <c r="P81" s="14" t="n">
        <v>0.0</v>
      </c>
      <c r="Q81" s="14" t="n">
        <v>0.0</v>
      </c>
      <c r="R81" s="14" t="n">
        <v>0.0</v>
      </c>
      <c r="S81" s="14" t="n">
        <v>0.0</v>
      </c>
      <c r="T81" s="14" t="n">
        <v>0.0</v>
      </c>
      <c r="U81" s="14" t="n">
        <v>0.0</v>
      </c>
      <c r="V81" s="14" t="n">
        <v>0.0</v>
      </c>
      <c r="W81" s="14" t="n">
        <v>0.0</v>
      </c>
      <c r="X81" s="14" t="n">
        <v>0.0</v>
      </c>
      <c r="Y81" s="14" t="n">
        <v>0.0</v>
      </c>
    </row>
    <row r="82" spans="1:25" s="1" customFormat="1" x14ac:dyDescent="0.25" ht="15.0" customHeight="true">
      <c r="A82" s="22" t="s">
        <v>68</v>
      </c>
      <c r="B82" s="6" t="s">
        <v>69</v>
      </c>
      <c r="C82" s="14" t="n">
        <v>0.0</v>
      </c>
      <c r="D82" s="14" t="n">
        <v>0.0</v>
      </c>
      <c r="E82" s="14" t="n">
        <v>0.0</v>
      </c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n">
        <v>0.0</v>
      </c>
      <c r="L82" s="14" t="n">
        <v>0.0</v>
      </c>
      <c r="M82" s="14" t="n">
        <v>0.0</v>
      </c>
      <c r="N82" s="14" t="n">
        <v>0.0</v>
      </c>
      <c r="O82" s="14" t="n">
        <v>0.0</v>
      </c>
      <c r="P82" s="14" t="n">
        <v>0.0</v>
      </c>
      <c r="Q82" s="14" t="n">
        <v>0.0</v>
      </c>
      <c r="R82" s="14" t="n">
        <v>0.0</v>
      </c>
      <c r="S82" s="14" t="n">
        <v>0.0</v>
      </c>
      <c r="T82" s="14" t="n">
        <v>0.0</v>
      </c>
      <c r="U82" s="14" t="n">
        <v>0.0</v>
      </c>
      <c r="V82" s="14" t="n">
        <v>0.0</v>
      </c>
      <c r="W82" s="14" t="n">
        <v>0.0</v>
      </c>
      <c r="X82" s="14" t="n">
        <v>0.0</v>
      </c>
      <c r="Y82" s="14" t="n">
        <v>0.0</v>
      </c>
    </row>
    <row r="83" spans="1:25" s="1" customFormat="1" x14ac:dyDescent="0.25" ht="15.0" customHeight="true">
      <c r="A83" s="22" t="s">
        <v>70</v>
      </c>
      <c r="B83" s="6" t="s">
        <v>71</v>
      </c>
      <c r="C83" s="14">
        <f>+C84+C85</f>
      </c>
      <c r="D83" s="14">
        <f>+D84+D85</f>
      </c>
      <c r="E83" s="14">
        <f>+E84+E85</f>
      </c>
      <c r="F83" s="14">
        <f>+F84+F85</f>
      </c>
      <c r="G83" s="14">
        <f>+G84+G85</f>
      </c>
      <c r="H83" s="14">
        <f>+H84+H85</f>
      </c>
      <c r="I83" s="14">
        <f>+I84+I85</f>
      </c>
      <c r="J83" s="14">
        <f>+J84+J85</f>
      </c>
      <c r="K83" s="14">
        <f>+K84+K85</f>
      </c>
      <c r="L83" s="14">
        <f>+L84+L85</f>
      </c>
      <c r="M83" s="14">
        <f>+M84+M85</f>
      </c>
      <c r="N83" s="14">
        <f>+N84+N85</f>
      </c>
      <c r="O83" s="14">
        <f>+O84+O85</f>
      </c>
      <c r="P83" s="14">
        <f>+P84+P85</f>
      </c>
      <c r="Q83" s="14">
        <f>+Q84+Q85</f>
      </c>
      <c r="R83" s="14">
        <f>+R84+R85</f>
      </c>
      <c r="S83" s="14">
        <f>+S84+S85</f>
      </c>
      <c r="T83" s="14">
        <f>+T84+T85</f>
      </c>
      <c r="U83" s="14">
        <f>+U84+U85</f>
      </c>
      <c r="V83" s="14">
        <f>+V84+V85</f>
      </c>
      <c r="W83" s="14">
        <f>+W84+W85</f>
      </c>
      <c r="X83" s="14">
        <f>+X84+X85</f>
      </c>
      <c r="Y83" s="14">
        <f>+Y84+Y85</f>
      </c>
    </row>
    <row r="84" spans="1:25" s="1" customFormat="1" x14ac:dyDescent="0.25" ht="15.0" customHeight="true">
      <c r="A84" s="23" t="n">
        <v>1.0</v>
      </c>
      <c r="B84" s="7" t="s">
        <v>72</v>
      </c>
      <c r="C84" s="15" t="s">
        <v>1604</v>
      </c>
      <c r="D84" s="15" t="n">
        <v>679.62</v>
      </c>
      <c r="E84" s="15" t="n">
        <v>176.59</v>
      </c>
      <c r="F84" s="15" t="n">
        <v>86.0</v>
      </c>
      <c r="G84" s="15" t="n">
        <v>4.9</v>
      </c>
      <c r="H84" s="15" t="n">
        <v>65.14</v>
      </c>
      <c r="I84" s="15" t="n">
        <v>0.0</v>
      </c>
      <c r="J84" s="15" t="n">
        <v>189.02</v>
      </c>
      <c r="K84" s="15" t="n">
        <v>0.0</v>
      </c>
      <c r="L84" s="15" t="n">
        <v>0.0</v>
      </c>
      <c r="M84" s="15" t="n">
        <v>528.96</v>
      </c>
      <c r="N84" s="15" t="n">
        <v>338.55</v>
      </c>
      <c r="O84" s="15" t="n">
        <v>297.93</v>
      </c>
      <c r="P84" s="15" t="n">
        <v>7.38</v>
      </c>
      <c r="Q84" s="15" t="n">
        <v>45.26</v>
      </c>
      <c r="R84" s="15" t="n">
        <v>292.51</v>
      </c>
      <c r="S84" s="15" t="n">
        <v>1135.86</v>
      </c>
      <c r="T84" s="15" t="n">
        <v>29.61</v>
      </c>
      <c r="U84" s="15" t="n">
        <v>243.88</v>
      </c>
      <c r="V84" s="15" t="n">
        <v>404.6</v>
      </c>
      <c r="W84" s="15" t="n">
        <v>128.78</v>
      </c>
      <c r="X84" s="15" t="n">
        <v>406.56</v>
      </c>
      <c r="Y84" s="15" t="n">
        <v>366.03</v>
      </c>
    </row>
    <row r="85" spans="1:25" s="1" customFormat="1" x14ac:dyDescent="0.25" ht="15.0" customHeight="true">
      <c r="A85" s="23" t="n">
        <v>2.0</v>
      </c>
      <c r="B85" s="7" t="s">
        <v>73</v>
      </c>
      <c r="C85" s="15" t="s">
        <v>1605</v>
      </c>
      <c r="D85" s="15" t="n">
        <v>3718.07</v>
      </c>
      <c r="E85" s="15" t="n">
        <v>221.82</v>
      </c>
      <c r="F85" s="15" t="n">
        <v>1.49</v>
      </c>
      <c r="G85" s="15" t="n">
        <v>282.86</v>
      </c>
      <c r="H85" s="15" t="n">
        <v>755.11</v>
      </c>
      <c r="I85" s="15" t="n">
        <v>496.65</v>
      </c>
      <c r="J85" s="15" t="n">
        <v>1021.26</v>
      </c>
      <c r="K85" s="15" t="n">
        <v>925.92</v>
      </c>
      <c r="L85" s="15" t="n">
        <v>57.09</v>
      </c>
      <c r="M85" s="15" t="n">
        <v>539.3</v>
      </c>
      <c r="N85" s="15" t="n">
        <v>240.34</v>
      </c>
      <c r="O85" s="15" t="n">
        <v>103.96</v>
      </c>
      <c r="P85" s="15" t="n">
        <v>125.93</v>
      </c>
      <c r="Q85" s="15" t="n">
        <v>769.94</v>
      </c>
      <c r="R85" s="15" t="n">
        <v>59.57</v>
      </c>
      <c r="S85" s="15" t="n">
        <v>56.11</v>
      </c>
      <c r="T85" s="15" t="n">
        <v>109.33</v>
      </c>
      <c r="U85" s="15" t="n">
        <v>6.42</v>
      </c>
      <c r="V85" s="15" t="n">
        <v>119.03</v>
      </c>
      <c r="W85" s="15" t="n">
        <v>501.78</v>
      </c>
      <c r="X85" s="15" t="n">
        <v>56.75</v>
      </c>
      <c r="Y85" s="15" t="n">
        <v>589.42</v>
      </c>
    </row>
    <row r="86" spans="1:25" s="1" customFormat="1" x14ac:dyDescent="0.25" ht="15.0" customHeight="true">
      <c r="A86" s="23" t="n">
        <v>3.0</v>
      </c>
      <c r="B86" s="7" t="s">
        <v>74</v>
      </c>
      <c r="C86" s="15" t="s">
        <v>1606</v>
      </c>
      <c r="D86" s="15" t="n">
        <v>-297.69</v>
      </c>
      <c r="E86" s="15" t="n">
        <v>401.59</v>
      </c>
      <c r="F86" s="15" t="n">
        <v>712.51</v>
      </c>
      <c r="G86" s="15" t="n">
        <v>512.24</v>
      </c>
      <c r="H86" s="15" t="n">
        <v>179.75</v>
      </c>
      <c r="I86" s="15" t="n">
        <v>503.35</v>
      </c>
      <c r="J86" s="15" t="n">
        <v>-410.28</v>
      </c>
      <c r="K86" s="15" t="n">
        <v>74.08</v>
      </c>
      <c r="L86" s="15" t="n">
        <v>742.91</v>
      </c>
      <c r="M86" s="15" t="n">
        <v>-268.26</v>
      </c>
      <c r="N86" s="15" t="n">
        <v>221.11</v>
      </c>
      <c r="O86" s="15" t="n">
        <v>-301.89</v>
      </c>
      <c r="P86" s="15" t="n">
        <v>-33.31</v>
      </c>
      <c r="Q86" s="15" t="n">
        <v>-715.2</v>
      </c>
      <c r="R86" s="15" t="n">
        <v>-252.08</v>
      </c>
      <c r="S86" s="15" t="n">
        <v>-1091.97</v>
      </c>
      <c r="T86" s="15" t="n">
        <v>-38.94</v>
      </c>
      <c r="U86" s="15" t="n">
        <v>-150.3</v>
      </c>
      <c r="V86" s="15" t="n">
        <v>-423.63</v>
      </c>
      <c r="W86" s="15" t="n">
        <v>-530.56</v>
      </c>
      <c r="X86" s="15" t="n">
        <v>-363.31</v>
      </c>
      <c r="Y86" s="15" t="n">
        <v>-855.45</v>
      </c>
    </row>
    <row r="87" spans="1:25" s="1" customFormat="1" hidden="1" x14ac:dyDescent="0.25" ht="15.0" customHeight="true">
      <c r="C87" s="16" t="n">
        <v>12700.0</v>
      </c>
      <c r="D87" s="16" t="n">
        <v>4100.0</v>
      </c>
      <c r="E87" s="16" t="n">
        <v>800.0</v>
      </c>
      <c r="F87" s="16" t="n">
        <v>800.0</v>
      </c>
      <c r="G87" s="16" t="n">
        <v>800.0</v>
      </c>
      <c r="H87" s="16" t="n">
        <v>1000.0</v>
      </c>
      <c r="I87" s="16" t="n">
        <v>1000.0</v>
      </c>
      <c r="J87" s="16" t="n">
        <v>800.0</v>
      </c>
      <c r="K87" s="16" t="n">
        <v>1000.0</v>
      </c>
      <c r="L87" s="16" t="n">
        <v>800.0</v>
      </c>
      <c r="M87" s="16" t="n">
        <v>800.0</v>
      </c>
      <c r="N87" s="16" t="n">
        <v>800.0</v>
      </c>
      <c r="O87" s="16" t="n">
        <v>800.0</v>
      </c>
      <c r="P87" s="16" t="n">
        <v>800.0</v>
      </c>
      <c r="Q87" s="16" t="n">
        <v>800.0</v>
      </c>
      <c r="R87" s="16" t="n">
        <v>800.0</v>
      </c>
      <c r="S87" s="16" t="n">
        <v>800.0</v>
      </c>
      <c r="T87" s="16" t="n">
        <v>800.0</v>
      </c>
      <c r="U87" s="16" t="n">
        <v>800.0</v>
      </c>
      <c r="V87" s="16" t="n">
        <v>800.0</v>
      </c>
      <c r="W87" s="16" t="n">
        <v>800.0</v>
      </c>
      <c r="X87" s="16" t="n">
        <v>800.0</v>
      </c>
      <c r="Y87" s="16" t="n">
        <v>800.0</v>
      </c>
    </row>
    <row r="88" spans="1:25" s="1" customFormat="1" x14ac:dyDescent="0.25" ht="15.0" customHeight="true">
      <c r="A88" s="23"/>
      <c r="B88" s="7"/>
      <c r="C88" s="15" t="s">
        <v>1607</v>
      </c>
      <c r="D88" s="15" t="n">
        <v>0.0</v>
      </c>
      <c r="E88" s="15" t="n">
        <v>0.0</v>
      </c>
      <c r="F88" s="15" t="n">
        <v>30.0</v>
      </c>
      <c r="G88" s="15" t="n">
        <v>0.0</v>
      </c>
      <c r="H88" s="15" t="n">
        <v>10.0</v>
      </c>
      <c r="I88" s="15" t="n">
        <v>0.0</v>
      </c>
      <c r="J88" s="15" t="n">
        <v>0.0</v>
      </c>
      <c r="K88" s="15" t="n">
        <v>0.0</v>
      </c>
      <c r="L88" s="15" t="n">
        <v>0.0</v>
      </c>
      <c r="M88" s="15" t="n">
        <v>0.0</v>
      </c>
      <c r="N88" s="15" t="n">
        <v>0.0</v>
      </c>
      <c r="O88" s="15" t="n">
        <v>0.0</v>
      </c>
      <c r="P88" s="15" t="n">
        <v>168.8</v>
      </c>
      <c r="Q88" s="15" t="n">
        <v>0.0</v>
      </c>
      <c r="R88" s="15" t="n">
        <v>0.0</v>
      </c>
      <c r="S88" s="15" t="n">
        <v>107.5</v>
      </c>
      <c r="T88" s="15" t="n">
        <v>0.0</v>
      </c>
      <c r="U88" s="15" t="n">
        <v>0.0</v>
      </c>
      <c r="V88" s="15" t="n">
        <v>0.0</v>
      </c>
      <c r="W88" s="15" t="n">
        <v>0.0</v>
      </c>
      <c r="X88" s="15" t="n">
        <v>0.0</v>
      </c>
      <c r="Y88" s="15" t="n">
        <v>0.0</v>
      </c>
    </row>
    <row r="89" spans="1:25" s="1" customFormat="1" x14ac:dyDescent="0.25" ht="15.0" customHeight="true">
      <c r="C89" s="15" t="s">
        <v>1608</v>
      </c>
      <c r="D89" s="15" t="n">
        <v>1650.0</v>
      </c>
      <c r="E89" s="15" t="n">
        <v>848.55</v>
      </c>
      <c r="F89" s="15" t="n">
        <v>808.24</v>
      </c>
      <c r="G89" s="15" t="n">
        <v>76.0</v>
      </c>
      <c r="H89" s="15" t="n">
        <v>786.0</v>
      </c>
      <c r="I89" s="15" t="n">
        <v>1158.93</v>
      </c>
      <c r="J89" s="15" t="n">
        <v>1553.95</v>
      </c>
      <c r="K89" s="15" t="n">
        <v>857.0</v>
      </c>
      <c r="L89" s="15" t="n">
        <v>407.0</v>
      </c>
      <c r="M89" s="15" t="n">
        <v>370.0</v>
      </c>
      <c r="N89" s="15" t="n">
        <v>114.0</v>
      </c>
      <c r="O89" t="n" s="15">
        <v>582.5</v>
      </c>
      <c r="P89" t="n" s="15">
        <v>258.0</v>
      </c>
      <c r="Q89" t="n" s="15">
        <v>168.0</v>
      </c>
      <c r="R89" t="n" s="15">
        <v>636.89</v>
      </c>
      <c r="S89" t="n" s="15">
        <v>159.05</v>
      </c>
      <c r="T89" t="n" s="15">
        <v>0.0</v>
      </c>
      <c r="U89" t="n" s="15">
        <v>371.1</v>
      </c>
      <c r="V89" t="n" s="15">
        <v>87.4</v>
      </c>
      <c r="W89" t="n" s="15">
        <v>257.5</v>
      </c>
      <c r="X89" t="n" s="15">
        <v>347.5</v>
      </c>
      <c r="Y89" t="n" s="15">
        <v>324.0</v>
      </c>
    </row>
    <row r="90" spans="1:25" x14ac:dyDescent="0.25" ht="15.0" customHeight="true">
      <c r="A90" s="1"/>
      <c r="B90" s="1"/>
      <c r="C90" t="s" s="15">
        <v>1609</v>
      </c>
      <c r="D90" t="n" s="15">
        <v>5762.7</v>
      </c>
      <c r="E90" t="n" s="15">
        <v>51909.18</v>
      </c>
      <c r="F90" t="n" s="15">
        <v>66757.2</v>
      </c>
      <c r="G90" t="n" s="15">
        <v>30791.61</v>
      </c>
      <c r="H90" t="n" s="15">
        <v>79361.46</v>
      </c>
      <c r="I90" t="n" s="15">
        <v>63406.92</v>
      </c>
      <c r="J90" t="n" s="15">
        <v>60728.3</v>
      </c>
      <c r="K90" t="n" s="15">
        <v>58707.9</v>
      </c>
      <c r="L90" t="n" s="15">
        <v>74727.45</v>
      </c>
      <c r="M90" t="n" s="15">
        <v>64056.4</v>
      </c>
      <c r="N90" t="n" s="15">
        <v>67704.76</v>
      </c>
      <c r="O90" t="n" s="15">
        <v>21532.0</v>
      </c>
      <c r="P90" t="n" s="15">
        <v>58139.51</v>
      </c>
      <c r="Q90" t="n" s="15">
        <v>18849.3</v>
      </c>
      <c r="R90" t="n" s="15">
        <v>22502.5</v>
      </c>
      <c r="S90" t="n" s="15">
        <v>61329.0</v>
      </c>
      <c r="T90" t="n" s="15">
        <v>60033.7</v>
      </c>
      <c r="U90" t="n" s="15">
        <v>32909.7</v>
      </c>
      <c r="V90" t="n" s="15">
        <v>48408.05</v>
      </c>
      <c r="W90" t="n" s="15">
        <v>59423.3</v>
      </c>
      <c r="X90" t="n" s="15">
        <v>46322.0</v>
      </c>
      <c r="Y90" t="n" s="15">
        <v>64979.6</v>
      </c>
    </row>
    <row r="91" spans="1:25" x14ac:dyDescent="0.25" ht="15.0" customHeight="true">
      <c r="A91" s="1"/>
      <c r="B91" s="1"/>
      <c r="C91" t="s" s="15">
        <v>1610</v>
      </c>
      <c r="D91" t="n" s="15">
        <v>31967.66</v>
      </c>
      <c r="E91" t="n" s="15">
        <v>0.0</v>
      </c>
      <c r="F91" t="n" s="15">
        <v>9358.7</v>
      </c>
      <c r="G91" t="n" s="15">
        <v>34463.6</v>
      </c>
      <c r="H91" t="n" s="15">
        <v>290.0</v>
      </c>
      <c r="I91" t="n" s="15">
        <v>1938.3</v>
      </c>
      <c r="J91" t="n" s="15">
        <v>285.8</v>
      </c>
      <c r="K91" t="n" s="15">
        <v>1735.0</v>
      </c>
      <c r="L91" t="n" s="15">
        <v>2904.1</v>
      </c>
      <c r="M91" t="n" s="15">
        <v>1290.4</v>
      </c>
      <c r="N91" t="n" s="15">
        <v>0.0</v>
      </c>
      <c r="O91" t="n" s="15">
        <v>710.4</v>
      </c>
      <c r="P91" t="n" s="15">
        <v>0.0</v>
      </c>
      <c r="Q91" t="n" s="15">
        <v>2937.6</v>
      </c>
      <c r="R91" t="n" s="15">
        <v>0.0</v>
      </c>
      <c r="S91" t="n" s="15">
        <v>4298.7</v>
      </c>
      <c r="T91" t="n" s="15">
        <v>14255.41</v>
      </c>
      <c r="U91" t="n" s="15">
        <v>2416.5</v>
      </c>
      <c r="V91" t="n" s="15">
        <v>6239.8</v>
      </c>
      <c r="W91" t="n" s="15">
        <v>4292.6</v>
      </c>
      <c r="X91" t="n" s="15">
        <v>19241.2</v>
      </c>
      <c r="Y91" t="n" s="15">
        <v>0.0</v>
      </c>
    </row>
    <row r="92" spans="1:25" x14ac:dyDescent="0.25" ht="15.0" customHeight="true">
      <c r="A92" s="1"/>
      <c r="B92" s="1"/>
      <c r="C92" t="s" s="15">
        <v>1611</v>
      </c>
      <c r="D92" t="n" s="15">
        <v>0.0</v>
      </c>
      <c r="E92" t="n" s="15">
        <v>0.0</v>
      </c>
      <c r="F92" t="n" s="15">
        <v>0.0</v>
      </c>
      <c r="G92" t="n" s="15">
        <v>0.0</v>
      </c>
      <c r="H92" t="n" s="15">
        <v>0.0</v>
      </c>
      <c r="I92" t="n" s="15">
        <v>0.0</v>
      </c>
      <c r="J92" t="n" s="15">
        <v>0.0</v>
      </c>
      <c r="K92" t="n" s="15">
        <v>0.0</v>
      </c>
      <c r="L92" t="n" s="15">
        <v>0.0</v>
      </c>
      <c r="M92" t="n" s="15">
        <v>0.0</v>
      </c>
      <c r="N92" t="n" s="15">
        <v>0.0</v>
      </c>
      <c r="O92" t="n" s="15">
        <v>0.0</v>
      </c>
      <c r="P92" t="n" s="15">
        <v>0.0</v>
      </c>
      <c r="Q92" t="n" s="15">
        <v>0.0</v>
      </c>
      <c r="R92" t="n" s="15">
        <v>0.0</v>
      </c>
      <c r="S92" t="n" s="15">
        <v>0.0</v>
      </c>
      <c r="T92" t="n" s="15">
        <v>0.0</v>
      </c>
      <c r="U92" t="n" s="15">
        <v>0.0</v>
      </c>
      <c r="V92" t="n" s="15">
        <v>0.0</v>
      </c>
      <c r="W92" t="n" s="15">
        <v>0.0</v>
      </c>
      <c r="X92" t="n" s="15">
        <v>0.0</v>
      </c>
      <c r="Y92" t="n" s="15">
        <v>0.0</v>
      </c>
    </row>
    <row r="93" spans="1:25" x14ac:dyDescent="0.25" ht="15.0" customHeight="true">
      <c r="A93" s="1"/>
      <c r="B93" s="1"/>
      <c r="C93" t="s" s="15">
        <v>1612</v>
      </c>
      <c r="D93" t="n" s="15">
        <v>0.0</v>
      </c>
      <c r="E93" t="n" s="15">
        <v>0.0</v>
      </c>
      <c r="F93" t="n" s="15">
        <v>49.95</v>
      </c>
      <c r="G93" t="n" s="15">
        <v>0.0</v>
      </c>
      <c r="H93" t="n" s="15">
        <v>0.0</v>
      </c>
      <c r="I93" t="n" s="15">
        <v>0.0</v>
      </c>
      <c r="J93" t="n" s="15">
        <v>0.0</v>
      </c>
      <c r="K93" t="n" s="15">
        <v>0.0</v>
      </c>
      <c r="L93" t="n" s="15">
        <v>0.0</v>
      </c>
      <c r="M93" t="n" s="15">
        <v>0.0</v>
      </c>
      <c r="N93" t="n" s="15">
        <v>0.0</v>
      </c>
      <c r="O93" t="n" s="15">
        <v>0.0</v>
      </c>
      <c r="P93" t="n" s="15">
        <v>0.0</v>
      </c>
      <c r="Q93" t="n" s="15">
        <v>0.0</v>
      </c>
      <c r="R93" t="n" s="15">
        <v>0.0</v>
      </c>
      <c r="S93" t="n" s="15">
        <v>0.0</v>
      </c>
      <c r="T93" t="n" s="15">
        <v>0.0</v>
      </c>
      <c r="U93" t="n" s="15">
        <v>0.0</v>
      </c>
      <c r="V93" t="n" s="15">
        <v>0.0</v>
      </c>
      <c r="W93" t="n" s="15">
        <v>0.0</v>
      </c>
      <c r="X93" t="n" s="15">
        <v>0.0</v>
      </c>
      <c r="Y93" t="n" s="15">
        <v>0.0</v>
      </c>
    </row>
    <row r="94" spans="1:25" x14ac:dyDescent="0.25" ht="15.0" customHeight="true">
      <c r="A94" s="1"/>
      <c r="B94" s="1"/>
      <c r="C94" t="s" s="15">
        <v>1613</v>
      </c>
      <c r="D94" t="n" s="15">
        <v>0.0</v>
      </c>
      <c r="E94" t="n" s="15">
        <v>0.0</v>
      </c>
      <c r="F94" t="n" s="15">
        <v>0.0</v>
      </c>
      <c r="G94" t="n" s="15">
        <v>0.0</v>
      </c>
      <c r="H94" t="n" s="15">
        <v>0.0</v>
      </c>
      <c r="I94" t="n" s="15">
        <v>0.0</v>
      </c>
      <c r="J94" t="n" s="15">
        <v>0.0</v>
      </c>
      <c r="K94" t="n" s="15">
        <v>0.0</v>
      </c>
      <c r="L94" t="n" s="15">
        <v>0.0</v>
      </c>
      <c r="M94" t="n" s="15">
        <v>0.0</v>
      </c>
      <c r="N94" t="n" s="15">
        <v>0.0</v>
      </c>
      <c r="O94" t="n" s="15">
        <v>0.0</v>
      </c>
      <c r="P94" t="n" s="15">
        <v>3847.0</v>
      </c>
      <c r="Q94" t="n" s="15">
        <v>0.0</v>
      </c>
      <c r="R94" t="n" s="15">
        <v>200.0</v>
      </c>
      <c r="S94" t="n" s="15">
        <v>3048.0</v>
      </c>
      <c r="T94" t="n" s="15">
        <v>0.0</v>
      </c>
      <c r="U94" t="n" s="15">
        <v>0.0</v>
      </c>
      <c r="V94" t="n" s="15">
        <v>5771.0</v>
      </c>
      <c r="W94" t="n" s="15">
        <v>1741.0</v>
      </c>
      <c r="X94" t="n" s="15">
        <v>2527.0</v>
      </c>
      <c r="Y94" t="n" s="15">
        <v>0.0</v>
      </c>
    </row>
    <row r="95" spans="1:25" x14ac:dyDescent="0.25" ht="15.0" customHeight="true">
      <c r="A95" s="1"/>
      <c r="C95" t="s" s="15">
        <v>1614</v>
      </c>
      <c r="D95" t="n" s="15">
        <v>1171.5</v>
      </c>
      <c r="E95" t="n" s="15">
        <v>610.0</v>
      </c>
      <c r="F95" t="n" s="15">
        <v>1303.0</v>
      </c>
      <c r="G95" t="n" s="15">
        <v>1844.2</v>
      </c>
      <c r="H95" t="n" s="15">
        <v>3226.94</v>
      </c>
      <c r="I95" t="n" s="15">
        <v>1700.0</v>
      </c>
      <c r="J95" t="n" s="15">
        <v>1713.0</v>
      </c>
      <c r="K95" t="n" s="15">
        <v>2573.0</v>
      </c>
      <c r="L95" t="n" s="15">
        <v>1361.1</v>
      </c>
      <c r="M95" t="n" s="15">
        <v>1238.1</v>
      </c>
      <c r="N95" t="n" s="15">
        <v>2456.07</v>
      </c>
      <c r="O95" t="n" s="15">
        <v>2400.0</v>
      </c>
      <c r="P95" t="n" s="15">
        <v>3388.0</v>
      </c>
      <c r="Q95" t="n" s="15">
        <v>3431.0</v>
      </c>
      <c r="R95" t="n" s="15">
        <v>1750.0</v>
      </c>
      <c r="S95" t="n" s="15">
        <v>3690.0</v>
      </c>
      <c r="T95" t="n" s="15">
        <v>3707.0</v>
      </c>
      <c r="U95" t="n" s="15">
        <v>2120.0</v>
      </c>
      <c r="V95" t="n" s="15">
        <v>3595.0</v>
      </c>
      <c r="W95" t="n" s="15">
        <v>1965.0</v>
      </c>
      <c r="X95" t="n" s="15">
        <v>9550.0</v>
      </c>
      <c r="Y95" t="n" s="15">
        <v>3343.0</v>
      </c>
    </row>
    <row r="96" spans="1:25" x14ac:dyDescent="0.25" ht="15.0" customHeight="true">
      <c r="A96" s="1"/>
      <c r="C96" t="s" s="15">
        <v>1615</v>
      </c>
      <c r="D96" t="n" s="15">
        <v>5762.7</v>
      </c>
      <c r="E96" t="n" s="15">
        <v>51909.18</v>
      </c>
      <c r="F96" t="n" s="15">
        <v>66757.2</v>
      </c>
      <c r="G96" t="n" s="15">
        <v>30791.61</v>
      </c>
      <c r="H96" t="n" s="15">
        <v>79361.46</v>
      </c>
      <c r="I96" t="n" s="15">
        <v>63406.92</v>
      </c>
      <c r="J96" t="n" s="15">
        <v>59253.3</v>
      </c>
      <c r="K96" t="n" s="15">
        <v>58707.9</v>
      </c>
      <c r="L96" t="n" s="15">
        <v>74727.45</v>
      </c>
      <c r="M96" t="n" s="15">
        <v>64056.4</v>
      </c>
      <c r="N96" t="n" s="15">
        <v>66704.76</v>
      </c>
      <c r="O96" t="n" s="15">
        <v>21532.0</v>
      </c>
      <c r="P96" t="n" s="15">
        <v>58033.51</v>
      </c>
      <c r="Q96" t="n" s="15">
        <v>18849.3</v>
      </c>
      <c r="R96" t="n" s="15">
        <v>22502.5</v>
      </c>
      <c r="S96" t="n" s="15">
        <v>61329.0</v>
      </c>
      <c r="T96" t="n" s="15">
        <v>60033.7</v>
      </c>
      <c r="U96" t="n" s="15">
        <v>32376.7</v>
      </c>
      <c r="V96" t="n" s="15">
        <v>46408.05</v>
      </c>
      <c r="W96" t="n" s="15">
        <v>59423.3</v>
      </c>
      <c r="X96" t="n" s="15">
        <v>44332.0</v>
      </c>
      <c r="Y96" t="n" s="15">
        <v>64979.6</v>
      </c>
    </row>
    <row r="97" spans="1:2" x14ac:dyDescent="0.25" ht="15.0" customHeight="true">
      <c r="A97" s="1"/>
      <c r="C97" t="s" s="15">
        <v>1616</v>
      </c>
      <c r="D97" t="n" s="15">
        <v>0.0</v>
      </c>
      <c r="E97" t="n" s="15">
        <v>0.0</v>
      </c>
      <c r="F97" t="n" s="15">
        <v>0.0</v>
      </c>
      <c r="G97" t="n" s="15">
        <v>0.0</v>
      </c>
      <c r="H97" t="n" s="15">
        <v>0.0</v>
      </c>
      <c r="I97" t="n" s="15">
        <v>0.0</v>
      </c>
      <c r="J97" t="n" s="15">
        <v>1475.0</v>
      </c>
      <c r="K97" t="n" s="15">
        <v>0.0</v>
      </c>
      <c r="L97" t="n" s="15">
        <v>0.0</v>
      </c>
      <c r="M97" t="n" s="15">
        <v>0.0</v>
      </c>
      <c r="N97" t="n" s="15">
        <v>1000.0</v>
      </c>
      <c r="O97" t="n" s="15">
        <v>0.0</v>
      </c>
      <c r="P97" t="n" s="15">
        <v>106.0</v>
      </c>
      <c r="Q97" t="n" s="15">
        <v>0.0</v>
      </c>
      <c r="R97" t="n" s="15">
        <v>0.0</v>
      </c>
      <c r="S97" t="n" s="15">
        <v>0.0</v>
      </c>
      <c r="T97" t="n" s="15">
        <v>0.0</v>
      </c>
      <c r="U97" t="n" s="15">
        <v>533.0</v>
      </c>
      <c r="V97" t="n" s="15">
        <v>2000.0</v>
      </c>
      <c r="W97" t="n" s="15">
        <v>0.0</v>
      </c>
      <c r="X97" t="n" s="15">
        <v>1990.0</v>
      </c>
      <c r="Y97" t="n" s="15">
        <v>0.0</v>
      </c>
    </row>
    <row r="98" spans="1:2" x14ac:dyDescent="0.25" ht="15.0" customHeight="true">
      <c r="A98" s="1"/>
      <c r="C98" t="s" s="15">
        <v>1617</v>
      </c>
      <c r="D98" t="n" s="15">
        <v>0.0</v>
      </c>
      <c r="E98" t="n" s="15">
        <v>0.0</v>
      </c>
      <c r="F98" t="n" s="15">
        <v>0.0</v>
      </c>
      <c r="G98" t="n" s="15">
        <v>0.0</v>
      </c>
      <c r="H98" t="n" s="15">
        <v>8.0</v>
      </c>
      <c r="I98" t="n" s="15">
        <v>16.0</v>
      </c>
      <c r="J98" t="n" s="15">
        <v>0.0</v>
      </c>
      <c r="K98" t="n" s="15">
        <v>0.0</v>
      </c>
      <c r="L98" t="n" s="15">
        <v>0.0</v>
      </c>
      <c r="M98" t="n" s="15">
        <v>0.0</v>
      </c>
      <c r="N98" t="n" s="15">
        <v>0.0</v>
      </c>
      <c r="O98" t="n" s="15">
        <v>0.0</v>
      </c>
      <c r="P98" t="n" s="15">
        <v>18.7</v>
      </c>
      <c r="Q98" t="n" s="15">
        <v>0.0</v>
      </c>
      <c r="R98" t="n" s="15">
        <v>0.0</v>
      </c>
      <c r="S98" t="n" s="15">
        <v>8.0</v>
      </c>
      <c r="T98" t="n" s="15">
        <v>0.0</v>
      </c>
      <c r="U98" t="n" s="15">
        <v>0.0</v>
      </c>
      <c r="V98" t="n" s="15">
        <v>8.0</v>
      </c>
      <c r="W98" t="n" s="15">
        <v>8.0</v>
      </c>
      <c r="X98" t="n" s="15">
        <v>0.0</v>
      </c>
      <c r="Y98" t="n" s="15">
        <v>32.0</v>
      </c>
    </row>
    <row r="99" spans="1:2" x14ac:dyDescent="0.25" ht="15.0" customHeight="true">
      <c r="A99" s="1"/>
      <c r="C99" t="s" s="15">
        <v>1618</v>
      </c>
      <c r="D99" t="n" s="15">
        <v>0.0</v>
      </c>
      <c r="E99" t="n" s="15">
        <v>0.0</v>
      </c>
      <c r="F99" t="n" s="15">
        <v>0.0</v>
      </c>
      <c r="G99" t="n" s="15">
        <v>0.0</v>
      </c>
      <c r="H99" t="n" s="15">
        <v>0.1</v>
      </c>
      <c r="I99" t="n" s="15">
        <v>0.0</v>
      </c>
      <c r="J99" t="n" s="15">
        <v>0.0</v>
      </c>
      <c r="K99" t="n" s="15">
        <v>15.0</v>
      </c>
      <c r="L99" t="n" s="15">
        <v>0.0</v>
      </c>
      <c r="M99" t="n" s="15">
        <v>60.5</v>
      </c>
      <c r="N99" t="n" s="15">
        <v>0.0</v>
      </c>
      <c r="O99" t="n" s="15">
        <v>5626.0</v>
      </c>
      <c r="P99" t="n" s="15">
        <v>126302.43</v>
      </c>
      <c r="Q99" t="n" s="15">
        <v>0.0</v>
      </c>
      <c r="R99" t="n" s="15">
        <v>350.0</v>
      </c>
      <c r="S99" t="n" s="15">
        <v>87811.7</v>
      </c>
      <c r="T99" t="n" s="15">
        <v>14846.76</v>
      </c>
      <c r="U99" t="n" s="15">
        <v>0.0</v>
      </c>
      <c r="V99" t="n" s="15">
        <v>67764.75</v>
      </c>
      <c r="W99" t="n" s="15">
        <v>136761.66</v>
      </c>
      <c r="X99" t="n" s="15">
        <v>33075.09</v>
      </c>
      <c r="Y99" t="n" s="15">
        <v>27043.8</v>
      </c>
    </row>
    <row r="100" spans="1:2" x14ac:dyDescent="0.25" ht="15.0" customHeight="true">
      <c r="A100" s="1"/>
      <c r="C100" t="s" s="15">
        <v>1619</v>
      </c>
      <c r="D100" t="n" s="15">
        <v>0.0</v>
      </c>
      <c r="E100" t="n" s="15">
        <v>0.0</v>
      </c>
      <c r="F100" t="n" s="15">
        <v>0.0</v>
      </c>
      <c r="G100" t="n" s="15">
        <v>0.0</v>
      </c>
      <c r="H100" t="n" s="15">
        <v>0.0</v>
      </c>
      <c r="I100" t="n" s="15">
        <v>0.0</v>
      </c>
      <c r="J100" t="n" s="15">
        <v>0.0</v>
      </c>
      <c r="K100" t="n" s="15">
        <v>0.0</v>
      </c>
      <c r="L100" t="n" s="15">
        <v>0.0</v>
      </c>
      <c r="M100" t="n" s="15">
        <v>0.0</v>
      </c>
      <c r="N100" t="n" s="15">
        <v>0.0</v>
      </c>
      <c r="O100" t="n" s="15">
        <v>0.0</v>
      </c>
      <c r="P100" t="n" s="15">
        <v>440.3</v>
      </c>
      <c r="Q100" t="n" s="15">
        <v>0.0</v>
      </c>
      <c r="R100" t="n" s="15">
        <v>0.0</v>
      </c>
      <c r="S100" t="n" s="15">
        <v>0.0</v>
      </c>
      <c r="T100" t="n" s="15">
        <v>0.0</v>
      </c>
      <c r="U100" t="n" s="15">
        <v>0.0</v>
      </c>
      <c r="V100" t="n" s="15">
        <v>839.0</v>
      </c>
      <c r="W100" t="n" s="15">
        <v>6735.52</v>
      </c>
      <c r="X100" t="n" s="15">
        <v>0.0</v>
      </c>
      <c r="Y100" t="n" s="15">
        <v>0.0</v>
      </c>
    </row>
    <row r="101" spans="1:2" x14ac:dyDescent="0.25" ht="15.0" customHeight="true">
      <c r="A101" s="1"/>
      <c r="B101" s="1"/>
      <c r="C101" t="s" s="15">
        <v>1620</v>
      </c>
      <c r="D101" t="n" s="15">
        <v>3038.4</v>
      </c>
      <c r="E101" t="n" s="15">
        <v>0.0</v>
      </c>
      <c r="F101" t="n" s="15">
        <v>5105.7</v>
      </c>
      <c r="G101" t="n" s="15">
        <v>1373.6</v>
      </c>
      <c r="H101" t="n" s="15">
        <v>290.0</v>
      </c>
      <c r="I101" t="n" s="15">
        <v>1938.3</v>
      </c>
      <c r="J101" t="n" s="15">
        <v>285.8</v>
      </c>
      <c r="K101" t="n" s="15">
        <v>1735.0</v>
      </c>
      <c r="L101" t="n" s="15">
        <v>2904.1</v>
      </c>
      <c r="M101" t="n" s="15">
        <v>1290.4</v>
      </c>
      <c r="N101" t="n" s="15">
        <v>0.0</v>
      </c>
      <c r="O101" t="n" s="15">
        <v>710.4</v>
      </c>
      <c r="P101" t="n" s="15">
        <v>0.0</v>
      </c>
      <c r="Q101" t="n" s="15">
        <v>2937.6</v>
      </c>
      <c r="R101" t="n" s="15">
        <v>0.0</v>
      </c>
      <c r="S101" t="n" s="15">
        <v>3810.6</v>
      </c>
      <c r="T101" t="n" s="15">
        <v>10375.45</v>
      </c>
      <c r="U101" t="n" s="15">
        <v>2416.5</v>
      </c>
      <c r="V101" t="n" s="15">
        <v>6239.8</v>
      </c>
      <c r="W101" t="n" s="15">
        <v>3892.6</v>
      </c>
      <c r="X101" t="n" s="15">
        <v>14853.2</v>
      </c>
      <c r="Y101" t="n" s="15">
        <v>0.0</v>
      </c>
    </row>
    <row r="102" ht="15.0" customHeight="true">
      <c r="C102" t="s" s="15">
        <v>1621</v>
      </c>
      <c r="D102" t="n" s="15">
        <v>28929.25</v>
      </c>
      <c r="E102" t="n" s="15">
        <v>0.0</v>
      </c>
      <c r="F102" t="n" s="15">
        <v>4253.0</v>
      </c>
      <c r="G102" t="n" s="15">
        <v>33090.0</v>
      </c>
      <c r="H102" t="n" s="15">
        <v>0.0</v>
      </c>
      <c r="I102" t="n" s="15">
        <v>0.0</v>
      </c>
      <c r="J102" t="n" s="15">
        <v>0.0</v>
      </c>
      <c r="K102" t="n" s="15">
        <v>0.0</v>
      </c>
      <c r="L102" t="n" s="15">
        <v>0.0</v>
      </c>
      <c r="M102" t="n" s="15">
        <v>0.0</v>
      </c>
      <c r="N102" t="n" s="15">
        <v>0.0</v>
      </c>
      <c r="O102" t="n" s="15">
        <v>0.0</v>
      </c>
      <c r="P102" t="n" s="15">
        <v>0.0</v>
      </c>
      <c r="Q102" t="n" s="15">
        <v>0.0</v>
      </c>
      <c r="R102" t="n" s="15">
        <v>0.0</v>
      </c>
      <c r="S102" t="n" s="15">
        <v>488.1</v>
      </c>
      <c r="T102" t="n" s="15">
        <v>3879.96</v>
      </c>
      <c r="U102" t="n" s="15">
        <v>0.0</v>
      </c>
      <c r="V102" t="n" s="15">
        <v>0.0</v>
      </c>
      <c r="W102" t="n" s="15">
        <v>400.0</v>
      </c>
      <c r="X102" t="n" s="15">
        <v>4388.0</v>
      </c>
      <c r="Y102" t="n" s="15">
        <v>0.0</v>
      </c>
    </row>
    <row r="103" ht="15.0" customHeight="true">
      <c r="C103" t="s" s="15">
        <v>1622</v>
      </c>
      <c r="D103" t="n" s="15">
        <v>0.0</v>
      </c>
      <c r="E103" t="n" s="15">
        <v>0.0</v>
      </c>
      <c r="F103" t="n" s="15">
        <v>49.95</v>
      </c>
      <c r="G103" t="n" s="15">
        <v>0.0</v>
      </c>
      <c r="H103" t="n" s="15">
        <v>0.0</v>
      </c>
      <c r="I103" t="n" s="15">
        <v>0.0</v>
      </c>
      <c r="J103" t="n" s="15">
        <v>0.0</v>
      </c>
      <c r="K103" t="n" s="15">
        <v>0.0</v>
      </c>
      <c r="L103" t="n" s="15">
        <v>0.0</v>
      </c>
      <c r="M103" t="n" s="15">
        <v>0.0</v>
      </c>
      <c r="N103" t="n" s="15">
        <v>0.0</v>
      </c>
      <c r="O103" t="n" s="15">
        <v>0.0</v>
      </c>
      <c r="P103" t="n" s="15">
        <v>0.0</v>
      </c>
      <c r="Q103" t="n" s="15">
        <v>0.0</v>
      </c>
      <c r="R103" t="n" s="15">
        <v>0.0</v>
      </c>
      <c r="S103" t="n" s="15">
        <v>0.0</v>
      </c>
      <c r="T103" t="n" s="15">
        <v>0.0</v>
      </c>
      <c r="U103" t="n" s="15">
        <v>0.0</v>
      </c>
      <c r="V103" t="n" s="15">
        <v>0.0</v>
      </c>
      <c r="W103" t="n" s="15">
        <v>0.0</v>
      </c>
      <c r="X103" t="n" s="15">
        <v>0.0</v>
      </c>
      <c r="Y103" t="n" s="15">
        <v>0.0</v>
      </c>
    </row>
    <row r="104" ht="15.0" customHeight="true">
      <c r="C104" t="s" s="15">
        <v>1623</v>
      </c>
      <c r="D104" t="n" s="15">
        <v>0.0</v>
      </c>
      <c r="E104" t="n" s="15">
        <v>0.0</v>
      </c>
      <c r="F104" t="n" s="15">
        <v>0.0</v>
      </c>
      <c r="G104" t="n" s="15">
        <v>0.0</v>
      </c>
      <c r="H104" t="n" s="15">
        <v>0.0</v>
      </c>
      <c r="I104" t="n" s="15">
        <v>0.0</v>
      </c>
      <c r="J104" t="n" s="15">
        <v>0.0</v>
      </c>
      <c r="K104" t="n" s="15">
        <v>0.0</v>
      </c>
      <c r="L104" t="n" s="15">
        <v>0.0</v>
      </c>
      <c r="M104" t="n" s="15">
        <v>0.0</v>
      </c>
      <c r="N104" t="n" s="15">
        <v>0.0</v>
      </c>
      <c r="O104" t="n" s="15">
        <v>0.0</v>
      </c>
      <c r="P104" t="n" s="15">
        <v>3847.0</v>
      </c>
      <c r="Q104" t="n" s="15">
        <v>0.0</v>
      </c>
      <c r="R104" t="n" s="15">
        <v>200.0</v>
      </c>
      <c r="S104" t="n" s="15">
        <v>3048.0</v>
      </c>
      <c r="T104" t="n" s="15">
        <v>0.0</v>
      </c>
      <c r="U104" t="n" s="15">
        <v>0.0</v>
      </c>
      <c r="V104" t="n" s="15">
        <v>5771.0</v>
      </c>
      <c r="W104" t="n" s="15">
        <v>1741.0</v>
      </c>
      <c r="X104" t="n" s="15">
        <v>2527.0</v>
      </c>
      <c r="Y104" t="n" s="15">
        <v>0.0</v>
      </c>
    </row>
    <row r="105" ht="15.0" customHeight="true">
      <c r="C105" t="s" s="15">
        <v>1624</v>
      </c>
      <c r="D105" t="n" s="15">
        <v>0.0</v>
      </c>
      <c r="E105" t="n" s="15">
        <v>0.0</v>
      </c>
      <c r="F105" t="n" s="15">
        <v>0.0</v>
      </c>
      <c r="G105" t="n" s="15">
        <v>0.0</v>
      </c>
      <c r="H105" t="n" s="15">
        <v>300.0</v>
      </c>
      <c r="I105" t="n" s="15">
        <v>200.0</v>
      </c>
      <c r="J105" t="n" s="15">
        <v>0.0</v>
      </c>
      <c r="K105" t="n" s="15">
        <v>0.0</v>
      </c>
      <c r="L105" t="n" s="15">
        <v>0.0</v>
      </c>
      <c r="M105" t="n" s="15">
        <v>0.0</v>
      </c>
      <c r="N105" t="n" s="15">
        <v>0.0</v>
      </c>
      <c r="O105" t="n" s="15">
        <v>1000.0</v>
      </c>
      <c r="P105" t="n" s="15">
        <v>1264.0</v>
      </c>
      <c r="Q105" t="n" s="15">
        <v>1080.0</v>
      </c>
      <c r="R105" t="n" s="15">
        <v>200.0</v>
      </c>
      <c r="S105" t="n" s="15">
        <v>2290.0</v>
      </c>
      <c r="T105" t="n" s="15">
        <v>1587.0</v>
      </c>
      <c r="U105" t="n" s="15">
        <v>300.0</v>
      </c>
      <c r="V105" t="n" s="15">
        <v>645.0</v>
      </c>
      <c r="W105" t="n" s="15">
        <v>965.0</v>
      </c>
      <c r="X105" t="n" s="15">
        <v>4809.0</v>
      </c>
      <c r="Y105" t="n" s="15">
        <v>660.0</v>
      </c>
    </row>
    <row r="106" ht="15.0" customHeight="true">
      <c r="C106" t="s" s="15">
        <v>1625</v>
      </c>
      <c r="D106" t="n" s="15">
        <v>1171.5</v>
      </c>
      <c r="E106" t="n" s="15">
        <v>610.0</v>
      </c>
      <c r="F106" t="n" s="15">
        <v>1303.0</v>
      </c>
      <c r="G106" t="n" s="15">
        <v>1844.2</v>
      </c>
      <c r="H106" t="n" s="15">
        <v>2926.94</v>
      </c>
      <c r="I106" t="n" s="15">
        <v>1500.0</v>
      </c>
      <c r="J106" t="n" s="15">
        <v>1713.0</v>
      </c>
      <c r="K106" t="n" s="15">
        <v>2573.0</v>
      </c>
      <c r="L106" t="n" s="15">
        <v>1361.1</v>
      </c>
      <c r="M106" t="n" s="15">
        <v>1238.1</v>
      </c>
      <c r="N106" t="n" s="15">
        <v>2456.07</v>
      </c>
      <c r="O106" t="n" s="15">
        <v>1400.0</v>
      </c>
      <c r="P106" t="n" s="15">
        <v>2124.0</v>
      </c>
      <c r="Q106" t="n" s="15">
        <v>2351.0</v>
      </c>
      <c r="R106" t="n" s="15">
        <v>1550.0</v>
      </c>
      <c r="S106" t="n" s="15">
        <v>1400.0</v>
      </c>
      <c r="T106" t="n" s="15">
        <v>2120.0</v>
      </c>
      <c r="U106" t="n" s="15">
        <v>1820.0</v>
      </c>
      <c r="V106" t="n" s="15">
        <v>2950.0</v>
      </c>
      <c r="W106" t="n" s="15">
        <v>1000.0</v>
      </c>
      <c r="X106" t="n" s="15">
        <v>4741.0</v>
      </c>
      <c r="Y106" t="n" s="15">
        <v>2683.0</v>
      </c>
    </row>
    <row r="107" ht="15.0" customHeight="true">
      <c r="C107" t="s" s="15">
        <v>1626</v>
      </c>
      <c r="D107" t="n" s="15">
        <v>66424.027289</v>
      </c>
      <c r="E107" t="n" s="15">
        <v>57824.061974</v>
      </c>
      <c r="F107" t="n" s="15">
        <v>59172.657768</v>
      </c>
      <c r="G107" t="n" s="15">
        <v>51542.477228</v>
      </c>
      <c r="H107" t="n" s="15">
        <v>52518.08633</v>
      </c>
      <c r="I107" t="n" s="15">
        <v>23379.023831</v>
      </c>
      <c r="J107" t="n" s="15">
        <v>41551.636018</v>
      </c>
      <c r="K107" t="n" s="15">
        <v>49662.772841</v>
      </c>
      <c r="L107" t="n" s="15">
        <v>35665.817762</v>
      </c>
      <c r="M107" t="n" s="15">
        <v>40743.440042</v>
      </c>
      <c r="N107" t="n" s="15">
        <v>69944.829462</v>
      </c>
      <c r="O107" t="n" s="15">
        <v>30834.570738</v>
      </c>
      <c r="P107" t="n" s="15">
        <v>35465.74506</v>
      </c>
      <c r="Q107" t="n" s="15">
        <v>14226.294328</v>
      </c>
      <c r="R107" t="n" s="15">
        <v>24349.714026</v>
      </c>
      <c r="S107" t="n" s="15">
        <v>33905.503292</v>
      </c>
      <c r="T107" t="n" s="15">
        <v>43845.551374</v>
      </c>
      <c r="U107" t="n" s="15">
        <v>22350.731724</v>
      </c>
      <c r="V107" t="n" s="15">
        <v>19276.219555</v>
      </c>
      <c r="W107" t="n" s="15">
        <v>38442.018683</v>
      </c>
      <c r="X107" t="n" s="15">
        <v>39438.237892</v>
      </c>
      <c r="Y107" t="n" s="15">
        <v>27183.334954</v>
      </c>
    </row>
    <row r="108" spans="1:2" x14ac:dyDescent="0.25" ht="15.0" customHeight="true">
      <c r="A108" s="1"/>
      <c r="B108" s="1"/>
      <c r="C108" t="s" s="15">
        <v>1627</v>
      </c>
      <c r="D108" t="n" s="15">
        <v>240269.866055</v>
      </c>
      <c r="E108" t="n" s="15">
        <v>23025.047705</v>
      </c>
      <c r="F108" t="n" s="15">
        <v>28272.02287</v>
      </c>
      <c r="G108" t="n" s="15">
        <v>20969.050281</v>
      </c>
      <c r="H108" t="n" s="15">
        <v>24499.028475</v>
      </c>
      <c r="I108" t="n" s="15">
        <v>37069.540447</v>
      </c>
      <c r="J108" t="n" s="15">
        <v>30726.873897</v>
      </c>
      <c r="K108" t="n" s="15">
        <v>16441.921155</v>
      </c>
      <c r="L108" t="n" s="15">
        <v>34108.7335</v>
      </c>
      <c r="M108" t="n" s="15">
        <v>21675.498382</v>
      </c>
      <c r="N108" t="n" s="15">
        <v>22565.552912</v>
      </c>
      <c r="O108" t="n" s="15">
        <v>15179.605595</v>
      </c>
      <c r="P108" t="n" s="15">
        <v>18985.727708</v>
      </c>
      <c r="Q108" t="n" s="15">
        <v>148062.438981</v>
      </c>
      <c r="R108" t="n" s="15">
        <v>18744.898165</v>
      </c>
      <c r="S108" t="n" s="15">
        <v>14535.234946</v>
      </c>
      <c r="T108" t="n" s="15">
        <v>20530.403937</v>
      </c>
      <c r="U108" t="n" s="15">
        <v>27991.26336</v>
      </c>
      <c r="V108" t="n" s="15">
        <v>14199.017139</v>
      </c>
      <c r="W108" t="n" s="15">
        <v>26022.38979</v>
      </c>
      <c r="X108" t="n" s="15">
        <v>16829.431454</v>
      </c>
      <c r="Y108" t="n" s="15">
        <v>15402.933557</v>
      </c>
    </row>
    <row r="109" spans="1:2" x14ac:dyDescent="0.25" ht="15.0" customHeight="true">
      <c r="A109" s="1"/>
      <c r="B109" s="1"/>
      <c r="C109" t="s" s="15">
        <v>1628</v>
      </c>
      <c r="D109" t="n" s="15">
        <v>40141.61</v>
      </c>
      <c r="E109" t="n" s="15">
        <v>37258.9</v>
      </c>
      <c r="F109" t="n" s="15">
        <v>32051.0</v>
      </c>
      <c r="G109" t="n" s="15">
        <v>34641.78</v>
      </c>
      <c r="H109" t="n" s="15">
        <v>45305.51</v>
      </c>
      <c r="I109" t="n" s="15">
        <v>30123.18</v>
      </c>
      <c r="J109" t="n" s="15">
        <v>37723.79</v>
      </c>
      <c r="K109" t="n" s="15">
        <v>37214.97</v>
      </c>
      <c r="L109" t="n" s="15">
        <v>34937.99</v>
      </c>
      <c r="M109" t="n" s="15">
        <v>38821.31</v>
      </c>
      <c r="N109" t="n" s="15">
        <v>28289.8</v>
      </c>
      <c r="O109" t="n" s="15">
        <v>49598.7</v>
      </c>
      <c r="P109" t="n" s="15">
        <v>20349.39</v>
      </c>
      <c r="Q109" t="n" s="15">
        <v>47735.91</v>
      </c>
      <c r="R109" t="n" s="15">
        <v>49588.48</v>
      </c>
      <c r="S109" t="n" s="15">
        <v>26183.3</v>
      </c>
      <c r="T109" t="n" s="15">
        <v>37327.3</v>
      </c>
      <c r="U109" t="n" s="15">
        <v>52980.7</v>
      </c>
      <c r="V109" t="n" s="15">
        <v>15737.0</v>
      </c>
      <c r="W109" t="n" s="15">
        <v>14459.5</v>
      </c>
      <c r="X109" t="n" s="15">
        <v>21628.9</v>
      </c>
      <c r="Y109" t="n" s="15">
        <v>39489.6</v>
      </c>
    </row>
    <row r="110" ht="15.0" customHeight="true">
      <c r="C110" t="s" s="15">
        <v>1629</v>
      </c>
      <c r="D110" t="n" s="15">
        <v>2071.5</v>
      </c>
      <c r="E110" t="n" s="15">
        <v>411.8</v>
      </c>
      <c r="F110" t="n" s="15">
        <v>5593.3</v>
      </c>
      <c r="G110" t="n" s="15">
        <v>32550.69</v>
      </c>
      <c r="H110" t="n" s="15">
        <v>5437.4</v>
      </c>
      <c r="I110" t="n" s="15">
        <v>10618.5</v>
      </c>
      <c r="J110" t="n" s="15">
        <v>4815.3</v>
      </c>
      <c r="K110" t="n" s="15">
        <v>6533.7</v>
      </c>
      <c r="L110" t="n" s="15">
        <v>4418.2</v>
      </c>
      <c r="M110" t="n" s="15">
        <v>3843.4</v>
      </c>
      <c r="N110" t="n" s="15">
        <v>452.4</v>
      </c>
      <c r="O110" t="n" s="15">
        <v>1090.59</v>
      </c>
      <c r="P110" t="n" s="15">
        <v>697.46</v>
      </c>
      <c r="Q110" t="n" s="15">
        <v>1008.0</v>
      </c>
      <c r="R110" t="n" s="15">
        <v>2463.95</v>
      </c>
      <c r="S110" t="n" s="15">
        <v>5411.72</v>
      </c>
      <c r="T110" t="n" s="15">
        <v>2210.0</v>
      </c>
      <c r="U110" t="n" s="15">
        <v>4003.7</v>
      </c>
      <c r="V110" t="n" s="15">
        <v>5570.72</v>
      </c>
      <c r="W110" t="n" s="15">
        <v>6217.6</v>
      </c>
      <c r="X110" t="n" s="15">
        <v>30538.65</v>
      </c>
      <c r="Y110" t="n" s="15">
        <v>1194.4</v>
      </c>
    </row>
    <row r="111" ht="15.0" customHeight="true">
      <c r="C111" t="s" s="15">
        <v>1630</v>
      </c>
      <c r="D111" t="n" s="15">
        <v>843.5</v>
      </c>
      <c r="E111" t="n" s="15">
        <v>1044.2</v>
      </c>
      <c r="F111" t="n" s="15">
        <v>4691.7</v>
      </c>
      <c r="G111" t="n" s="15">
        <v>2634.48</v>
      </c>
      <c r="H111" t="n" s="15">
        <v>3779.27</v>
      </c>
      <c r="I111" t="n" s="15">
        <v>2891.3</v>
      </c>
      <c r="J111" t="n" s="15">
        <v>592.56</v>
      </c>
      <c r="K111" t="n" s="15">
        <v>6806.1</v>
      </c>
      <c r="L111" t="n" s="15">
        <v>3860.16</v>
      </c>
      <c r="M111" t="n" s="15">
        <v>607.0</v>
      </c>
      <c r="N111" t="n" s="15">
        <v>4378.91</v>
      </c>
      <c r="O111" t="n" s="15">
        <v>0.0</v>
      </c>
      <c r="P111" t="n" s="15">
        <v>169.0</v>
      </c>
      <c r="Q111" t="n" s="15">
        <v>0.0</v>
      </c>
      <c r="R111" t="n" s="15">
        <v>0.0</v>
      </c>
      <c r="S111" t="n" s="15">
        <v>70.0</v>
      </c>
      <c r="T111" t="n" s="15">
        <v>0.0</v>
      </c>
      <c r="U111" t="n" s="15">
        <v>0.0</v>
      </c>
      <c r="V111" t="n" s="15">
        <v>1669.5</v>
      </c>
      <c r="W111" t="n" s="15">
        <v>2532.0</v>
      </c>
      <c r="X111" t="n" s="15">
        <v>1672.5</v>
      </c>
      <c r="Y111" t="n" s="15">
        <v>1195.0</v>
      </c>
    </row>
    <row r="112" ht="15.0" customHeight="true">
      <c r="C112" t="s" s="15">
        <v>1631</v>
      </c>
      <c r="D112" t="n" s="15">
        <v>131.0</v>
      </c>
      <c r="E112" t="n" s="15">
        <v>433.0</v>
      </c>
      <c r="F112" t="n" s="15">
        <v>1612.0</v>
      </c>
      <c r="G112" t="n" s="15">
        <v>2517.8</v>
      </c>
      <c r="H112" t="n" s="15">
        <v>18906.04</v>
      </c>
      <c r="I112" t="n" s="15">
        <v>4940.08</v>
      </c>
      <c r="J112" t="n" s="15">
        <v>34297.64</v>
      </c>
      <c r="K112" t="n" s="15">
        <v>18340.9</v>
      </c>
      <c r="L112" t="n" s="15">
        <v>988.5</v>
      </c>
      <c r="M112" t="n" s="15">
        <v>4188.5</v>
      </c>
      <c r="N112" t="n" s="15">
        <v>1561.8</v>
      </c>
      <c r="O112" t="n" s="15">
        <v>0.0</v>
      </c>
      <c r="P112" t="n" s="15">
        <v>4033.5</v>
      </c>
      <c r="Q112" t="n" s="15">
        <v>35.4</v>
      </c>
      <c r="R112" t="n" s="15">
        <v>0.0</v>
      </c>
      <c r="S112" t="n" s="15">
        <v>0.0</v>
      </c>
      <c r="T112" t="n" s="15">
        <v>0.0</v>
      </c>
      <c r="U112" t="n" s="15">
        <v>341.0</v>
      </c>
      <c r="V112" t="n" s="15">
        <v>442.0</v>
      </c>
      <c r="W112" t="n" s="15">
        <v>0.0</v>
      </c>
      <c r="X112" t="n" s="15">
        <v>700.0</v>
      </c>
      <c r="Y112" t="n" s="15">
        <v>0.0</v>
      </c>
    </row>
    <row r="113" ht="15.0" customHeight="true">
      <c r="C113" t="s" s="15">
        <v>1632</v>
      </c>
      <c r="D113" t="n" s="15">
        <v>5762.7</v>
      </c>
      <c r="E113" t="n" s="15">
        <v>51294.18</v>
      </c>
      <c r="F113" t="n" s="15">
        <v>66577.2</v>
      </c>
      <c r="G113" t="n" s="15">
        <v>30791.61</v>
      </c>
      <c r="H113" t="n" s="15">
        <v>78717.86</v>
      </c>
      <c r="I113" t="n" s="15">
        <v>62840.42</v>
      </c>
      <c r="J113" t="n" s="15">
        <v>58763.3</v>
      </c>
      <c r="K113" t="n" s="15">
        <v>58451.9</v>
      </c>
      <c r="L113" t="n" s="15">
        <v>74323.94</v>
      </c>
      <c r="M113" t="n" s="15">
        <v>63703.9</v>
      </c>
      <c r="N113" t="n" s="15">
        <v>66008.76</v>
      </c>
      <c r="O113" t="n" s="15">
        <v>21532.0</v>
      </c>
      <c r="P113" t="n" s="15">
        <v>57558.51</v>
      </c>
      <c r="Q113" t="n" s="15">
        <v>18849.3</v>
      </c>
      <c r="R113" t="n" s="15">
        <v>22502.5</v>
      </c>
      <c r="S113" t="n" s="15">
        <v>60694.0</v>
      </c>
      <c r="T113" t="n" s="15">
        <v>59522.7</v>
      </c>
      <c r="U113" t="n" s="15">
        <v>31980.7</v>
      </c>
      <c r="V113" t="n" s="15">
        <v>46139.05</v>
      </c>
      <c r="W113" t="n" s="15">
        <v>59098.6</v>
      </c>
      <c r="X113" t="n" s="15">
        <v>44182.0</v>
      </c>
      <c r="Y113" t="n" s="15">
        <v>64629.6</v>
      </c>
    </row>
    <row r="114" ht="15.0" customHeight="true">
      <c r="C114" t="s" s="15">
        <v>1633</v>
      </c>
      <c r="D114" t="n" s="15">
        <v>79571.04</v>
      </c>
      <c r="E114" t="n" s="15">
        <v>1411.9</v>
      </c>
      <c r="F114" t="n" s="15">
        <v>1723.5</v>
      </c>
      <c r="G114" t="n" s="15">
        <v>76379.41</v>
      </c>
      <c r="H114" t="n" s="15">
        <v>5494.93</v>
      </c>
      <c r="I114" t="n" s="15">
        <v>2260.6</v>
      </c>
      <c r="J114" t="n" s="15">
        <v>6107.2</v>
      </c>
      <c r="K114" t="n" s="15">
        <v>1155.3</v>
      </c>
      <c r="L114" t="n" s="15">
        <v>582.4</v>
      </c>
      <c r="M114" t="n" s="15">
        <v>2213.9</v>
      </c>
      <c r="N114" t="n" s="15">
        <v>13875.6</v>
      </c>
      <c r="O114" t="n" s="15">
        <v>0.0</v>
      </c>
      <c r="P114" t="n" s="15">
        <v>0.0</v>
      </c>
      <c r="Q114" t="n" s="15">
        <v>0.0</v>
      </c>
      <c r="R114" t="n" s="15">
        <v>0.0</v>
      </c>
      <c r="S114" t="n" s="15">
        <v>0.0</v>
      </c>
      <c r="T114" t="n" s="15">
        <v>0.0</v>
      </c>
      <c r="U114" t="n" s="15">
        <v>0.0</v>
      </c>
      <c r="V114" t="n" s="15">
        <v>0.0</v>
      </c>
      <c r="W114" t="n" s="15">
        <v>0.0</v>
      </c>
      <c r="X114" t="n" s="15">
        <v>0.0</v>
      </c>
      <c r="Y114" t="n" s="15">
        <v>0.0</v>
      </c>
    </row>
    <row r="115" ht="15.0" customHeight="true">
      <c r="C115" t="s" s="15">
        <v>1634</v>
      </c>
      <c r="D115" t="n" s="15">
        <v>0.0</v>
      </c>
      <c r="E115" t="n" s="15">
        <v>0.0</v>
      </c>
      <c r="F115" t="n" s="15">
        <v>0.0</v>
      </c>
      <c r="G115" t="n" s="15">
        <v>0.0</v>
      </c>
      <c r="H115" t="n" s="15">
        <v>0.0</v>
      </c>
      <c r="I115" t="n" s="15">
        <v>69.8</v>
      </c>
      <c r="J115" t="n" s="15">
        <v>0.0</v>
      </c>
      <c r="K115" t="n" s="15">
        <v>99.4</v>
      </c>
      <c r="L115" t="n" s="15">
        <v>0.0</v>
      </c>
      <c r="M115" t="n" s="15">
        <v>25.0</v>
      </c>
      <c r="N115" t="n" s="15">
        <v>0.0</v>
      </c>
      <c r="O115" t="n" s="15">
        <v>0.0</v>
      </c>
      <c r="P115" t="n" s="15">
        <v>2962.6</v>
      </c>
      <c r="Q115" t="n" s="15">
        <v>0.0</v>
      </c>
      <c r="R115" t="n" s="15">
        <v>0.0</v>
      </c>
      <c r="S115" t="n" s="15">
        <v>1358.9</v>
      </c>
      <c r="T115" t="n" s="15">
        <v>576.0</v>
      </c>
      <c r="U115" t="n" s="15">
        <v>0.0</v>
      </c>
      <c r="V115" t="n" s="15">
        <v>936.0</v>
      </c>
      <c r="W115" t="n" s="15">
        <v>2324.07</v>
      </c>
      <c r="X115" t="n" s="15">
        <v>2269.4</v>
      </c>
      <c r="Y115" t="n" s="15">
        <v>342.5</v>
      </c>
    </row>
    <row r="116" ht="15.0" customHeight="true">
      <c r="C116" t="s" s="15">
        <v>1635</v>
      </c>
      <c r="D116" t="n" s="15">
        <v>1133.12</v>
      </c>
      <c r="E116" t="n" s="15">
        <v>776.6</v>
      </c>
      <c r="F116" t="n" s="15">
        <v>89.96</v>
      </c>
      <c r="G116" t="n" s="15">
        <v>499.38</v>
      </c>
      <c r="H116" t="n" s="15">
        <v>256.89</v>
      </c>
      <c r="I116" t="n" s="15">
        <v>463.96</v>
      </c>
      <c r="J116" t="n" s="15">
        <v>947.93</v>
      </c>
      <c r="K116" t="n" s="15">
        <v>0.0</v>
      </c>
      <c r="L116" t="n" s="15">
        <v>194.17</v>
      </c>
      <c r="M116" t="n" s="15">
        <v>217.09</v>
      </c>
      <c r="N116" t="n" s="15">
        <v>579.78</v>
      </c>
      <c r="O116" t="n" s="15">
        <v>444.95</v>
      </c>
      <c r="P116" t="n" s="15">
        <v>433.65</v>
      </c>
      <c r="Q116" t="n" s="15">
        <v>626.91</v>
      </c>
      <c r="R116" t="n" s="15">
        <v>283.05</v>
      </c>
      <c r="S116" t="n" s="15">
        <v>1153.58</v>
      </c>
      <c r="T116" t="n" s="15">
        <v>541.37</v>
      </c>
      <c r="U116" t="n" s="15">
        <v>666.77</v>
      </c>
      <c r="V116" t="n" s="15">
        <v>607.14</v>
      </c>
      <c r="W116" t="n" s="15">
        <v>145.09</v>
      </c>
      <c r="X116" t="n" s="15">
        <v>847.27</v>
      </c>
      <c r="Y116" t="n" s="15">
        <v>412.7</v>
      </c>
    </row>
    <row r="117" ht="15.0" customHeight="true">
      <c r="C117" t="s" s="15">
        <v>1636</v>
      </c>
      <c r="D117" t="n" s="15">
        <v>0.0</v>
      </c>
      <c r="E117" t="n" s="15">
        <v>0.0</v>
      </c>
      <c r="F117" t="n" s="15">
        <v>0.0</v>
      </c>
      <c r="G117" t="n" s="15">
        <v>0.0</v>
      </c>
      <c r="H117" t="n" s="15">
        <v>0.0</v>
      </c>
      <c r="I117" t="n" s="15">
        <v>69.8</v>
      </c>
      <c r="J117" t="n" s="15">
        <v>0.0</v>
      </c>
      <c r="K117" t="n" s="15">
        <v>99.4</v>
      </c>
      <c r="L117" t="n" s="15">
        <v>0.0</v>
      </c>
      <c r="M117" t="n" s="15">
        <v>25.0</v>
      </c>
      <c r="N117" t="n" s="15">
        <v>0.0</v>
      </c>
      <c r="O117" t="n" s="15">
        <v>0.0</v>
      </c>
      <c r="P117" t="n" s="15">
        <v>2962.6</v>
      </c>
      <c r="Q117" t="n" s="15">
        <v>0.0</v>
      </c>
      <c r="R117" t="n" s="15">
        <v>0.0</v>
      </c>
      <c r="S117" t="n" s="15">
        <v>1358.9</v>
      </c>
      <c r="T117" t="n" s="15">
        <v>576.0</v>
      </c>
      <c r="U117" t="n" s="15">
        <v>0.0</v>
      </c>
      <c r="V117" t="n" s="15">
        <v>936.0</v>
      </c>
      <c r="W117" t="n" s="15">
        <v>2324.07</v>
      </c>
      <c r="X117" t="n" s="15">
        <v>2269.4</v>
      </c>
      <c r="Y117" t="n" s="15">
        <v>342.5</v>
      </c>
    </row>
    <row r="118" ht="15.0" customHeight="true">
      <c r="C118" t="s" s="15">
        <v>1637</v>
      </c>
      <c r="D118" t="n" s="15">
        <v>1052.0</v>
      </c>
      <c r="E118" t="n" s="15">
        <v>530.0</v>
      </c>
      <c r="F118" t="n" s="15">
        <v>1103.0</v>
      </c>
      <c r="G118" t="n" s="15">
        <v>1844.2</v>
      </c>
      <c r="H118" t="n" s="15">
        <v>2526.94</v>
      </c>
      <c r="I118" t="n" s="15">
        <v>1301.0</v>
      </c>
      <c r="J118" t="n" s="15">
        <v>1063.0</v>
      </c>
      <c r="K118" t="n" s="15">
        <v>2613.0</v>
      </c>
      <c r="L118" t="n" s="15">
        <v>1161.1</v>
      </c>
      <c r="M118" t="n" s="15">
        <v>838.1</v>
      </c>
      <c r="N118" t="n" s="15">
        <v>2106.07</v>
      </c>
      <c r="O118" t="n" s="15">
        <v>1400.0</v>
      </c>
      <c r="P118" t="n" s="15">
        <v>1924.0</v>
      </c>
      <c r="Q118" t="n" s="15">
        <v>2051.0</v>
      </c>
      <c r="R118" t="n" s="15">
        <v>850.0</v>
      </c>
      <c r="S118" t="n" s="15">
        <v>1400.0</v>
      </c>
      <c r="T118" t="n" s="15">
        <v>1950.0</v>
      </c>
      <c r="U118" t="n" s="15">
        <v>1620.0</v>
      </c>
      <c r="V118" t="n" s="15">
        <v>1950.0</v>
      </c>
      <c r="W118" t="n" s="15">
        <v>1000.0</v>
      </c>
      <c r="X118" t="n" s="15">
        <v>3891.0</v>
      </c>
      <c r="Y118" t="n" s="15">
        <v>2083.0</v>
      </c>
    </row>
    <row r="119" ht="15.0" customHeight="true">
      <c r="C119" t="s" s="15">
        <v>1638</v>
      </c>
      <c r="D119" t="n" s="15">
        <v>11030.82</v>
      </c>
      <c r="E119" t="n" s="15">
        <v>83340.81</v>
      </c>
      <c r="F119" t="n" s="15">
        <v>78266.78</v>
      </c>
      <c r="G119" t="n" s="15">
        <v>46564.17</v>
      </c>
      <c r="H119" t="n" s="15">
        <v>120006.39</v>
      </c>
      <c r="I119" t="n" s="15">
        <v>86570.25</v>
      </c>
      <c r="J119" t="n" s="15">
        <v>61031.45</v>
      </c>
      <c r="K119" t="n" s="15">
        <v>98903.02</v>
      </c>
      <c r="L119" t="n" s="15">
        <v>65998.8</v>
      </c>
      <c r="M119" t="n" s="15">
        <v>81498.34</v>
      </c>
      <c r="N119" t="n" s="15">
        <v>65689.07</v>
      </c>
      <c r="O119" t="n" s="15">
        <v>32739.85</v>
      </c>
      <c r="P119" t="n" s="15">
        <v>107262.8</v>
      </c>
      <c r="Q119" t="n" s="15">
        <v>23082.92</v>
      </c>
      <c r="R119" t="n" s="15">
        <v>19743.7</v>
      </c>
      <c r="S119" t="n" s="15">
        <v>132889.54</v>
      </c>
      <c r="T119" t="n" s="15">
        <v>67387.24</v>
      </c>
      <c r="U119" t="n" s="15">
        <v>32957.7</v>
      </c>
      <c r="V119" t="n" s="15">
        <v>81711.65</v>
      </c>
      <c r="W119" t="n" s="15">
        <v>53913.74</v>
      </c>
      <c r="X119" t="n" s="15">
        <v>56978.15</v>
      </c>
      <c r="Y119" t="n" s="15">
        <v>84112.32</v>
      </c>
    </row>
    <row r="120" ht="15.0" customHeight="true">
      <c r="C120" t="s" s="15">
        <v>1639</v>
      </c>
      <c r="D120" t="n" s="15">
        <v>3068.1</v>
      </c>
      <c r="E120" t="n" s="15">
        <v>0.0</v>
      </c>
      <c r="F120" t="n" s="15">
        <v>1981.7</v>
      </c>
      <c r="G120" t="n" s="15">
        <v>1400.0</v>
      </c>
      <c r="H120" t="n" s="15">
        <v>290.0</v>
      </c>
      <c r="I120" t="n" s="15">
        <v>1950.0</v>
      </c>
      <c r="J120" t="n" s="15">
        <v>285.8</v>
      </c>
      <c r="K120" t="n" s="15">
        <v>1235.0</v>
      </c>
      <c r="L120" t="n" s="15">
        <v>2604.1</v>
      </c>
      <c r="M120" t="n" s="15">
        <v>1310.2</v>
      </c>
      <c r="N120" t="n" s="15">
        <v>0.0</v>
      </c>
      <c r="O120" t="n" s="15">
        <v>720.0</v>
      </c>
      <c r="P120" t="n" s="15">
        <v>0.0</v>
      </c>
      <c r="Q120" t="n" s="15">
        <v>2341.2</v>
      </c>
      <c r="R120" t="n" s="15">
        <v>0.0</v>
      </c>
      <c r="S120" t="n" s="15">
        <v>3460.6</v>
      </c>
      <c r="T120" t="n" s="15">
        <v>9372.5</v>
      </c>
      <c r="U120" t="n" s="15">
        <v>2426.5</v>
      </c>
      <c r="V120" t="n" s="15">
        <v>5467.1</v>
      </c>
      <c r="W120" t="n" s="15">
        <v>3692.6</v>
      </c>
      <c r="X120" t="n" s="15">
        <v>13986.7</v>
      </c>
      <c r="Y120" t="n" s="15">
        <v>0.0</v>
      </c>
    </row>
    <row r="121" ht="15.0" customHeight="true">
      <c r="C121" t="s" s="15">
        <v>1640</v>
      </c>
      <c r="D121" t="n" s="15">
        <v>0.0</v>
      </c>
      <c r="E121" t="n" s="15">
        <v>0.0</v>
      </c>
      <c r="F121" t="n" s="15">
        <v>0.0</v>
      </c>
      <c r="G121" t="n" s="15">
        <v>0.0</v>
      </c>
      <c r="H121" t="n" s="15">
        <v>0.0</v>
      </c>
      <c r="I121" t="n" s="15">
        <v>15.0</v>
      </c>
      <c r="J121" t="n" s="15">
        <v>0.0</v>
      </c>
      <c r="K121" t="n" s="15">
        <v>0.0</v>
      </c>
      <c r="L121" t="n" s="15">
        <v>0.0</v>
      </c>
      <c r="M121" t="n" s="15">
        <v>0.0</v>
      </c>
      <c r="N121" t="n" s="15">
        <v>0.0</v>
      </c>
      <c r="O121" t="n" s="15">
        <v>0.0</v>
      </c>
      <c r="P121" t="n" s="15">
        <v>0.0</v>
      </c>
      <c r="Q121" t="n" s="15">
        <v>0.0</v>
      </c>
      <c r="R121" t="n" s="15">
        <v>0.0</v>
      </c>
      <c r="S121" t="n" s="15">
        <v>0.0</v>
      </c>
      <c r="T121" t="n" s="15">
        <v>0.0</v>
      </c>
      <c r="U121" t="n" s="15">
        <v>0.0</v>
      </c>
      <c r="V121" t="n" s="15">
        <v>0.0</v>
      </c>
      <c r="W121" t="n" s="15">
        <v>0.0</v>
      </c>
      <c r="X121" t="n" s="15">
        <v>0.0</v>
      </c>
      <c r="Y121" t="n" s="15">
        <v>0.0</v>
      </c>
    </row>
    <row r="122" ht="15.0" customHeight="true">
      <c r="C122" t="s" s="15">
        <v>1641</v>
      </c>
      <c r="D122" t="n" s="15">
        <v>677036.02</v>
      </c>
      <c r="E122" t="n" s="15">
        <v>540441.45</v>
      </c>
      <c r="F122" t="n" s="15">
        <v>583523.69</v>
      </c>
      <c r="G122" t="n" s="15">
        <v>694339.25</v>
      </c>
      <c r="H122" t="n" s="15">
        <v>694111.37</v>
      </c>
      <c r="I122" t="n" s="15">
        <v>559144.18</v>
      </c>
      <c r="J122" t="n" s="15">
        <v>614528.75</v>
      </c>
      <c r="K122" t="n" s="15">
        <v>673078.86</v>
      </c>
      <c r="L122" t="n" s="15">
        <v>559352.77</v>
      </c>
      <c r="M122" t="n" s="15">
        <v>527041.78</v>
      </c>
      <c r="N122" t="n" s="15">
        <v>536244.59</v>
      </c>
      <c r="O122" t="n" s="15">
        <v>308012.52</v>
      </c>
      <c r="P122" t="n" s="15">
        <v>687671.5</v>
      </c>
      <c r="Q122" t="n" s="15">
        <v>347172.35</v>
      </c>
      <c r="R122" t="n" s="15">
        <v>332790.44</v>
      </c>
      <c r="S122" t="n" s="15">
        <v>702202.09</v>
      </c>
      <c r="T122" t="n" s="15">
        <v>457214.03</v>
      </c>
      <c r="U122" t="n" s="15">
        <v>382433.61</v>
      </c>
      <c r="V122" t="n" s="15">
        <v>519284.04</v>
      </c>
      <c r="W122" t="n" s="15">
        <v>590898.12</v>
      </c>
      <c r="X122" t="n" s="15">
        <v>582760.19</v>
      </c>
      <c r="Y122" t="n" s="15">
        <v>461699.82</v>
      </c>
    </row>
    <row r="123" ht="15.0" customHeight="true">
      <c r="C123" t="s" s="15">
        <v>1642</v>
      </c>
      <c r="D123" t="n" s="15">
        <v>100.0</v>
      </c>
      <c r="E123" t="n" s="15">
        <v>140.0</v>
      </c>
      <c r="F123" t="n" s="15">
        <v>100.0</v>
      </c>
      <c r="G123" t="n" s="15">
        <v>50.0</v>
      </c>
      <c r="H123" t="n" s="15">
        <v>0.0</v>
      </c>
      <c r="I123" t="n" s="15">
        <v>0.0</v>
      </c>
      <c r="J123" t="n" s="15">
        <v>0.0</v>
      </c>
      <c r="K123" t="n" s="15">
        <v>114.0</v>
      </c>
      <c r="L123" t="n" s="15">
        <v>429.0</v>
      </c>
      <c r="M123" t="n" s="15">
        <v>0.0</v>
      </c>
      <c r="N123" t="n" s="15">
        <v>0.0</v>
      </c>
      <c r="O123" t="n" s="15">
        <v>0.0</v>
      </c>
      <c r="P123" t="n" s="15">
        <v>0.0</v>
      </c>
      <c r="Q123" t="n" s="15">
        <v>0.0</v>
      </c>
      <c r="R123" t="n" s="15">
        <v>0.0</v>
      </c>
      <c r="S123" t="n" s="15">
        <v>0.0</v>
      </c>
      <c r="T123" t="n" s="15">
        <v>0.0</v>
      </c>
      <c r="U123" t="n" s="15">
        <v>100.0</v>
      </c>
      <c r="V123" t="n" s="15">
        <v>0.0</v>
      </c>
      <c r="W123" t="n" s="15">
        <v>0.0</v>
      </c>
      <c r="X123" t="n" s="15">
        <v>117.0</v>
      </c>
      <c r="Y123" t="n" s="15">
        <v>0.0</v>
      </c>
    </row>
    <row r="124" ht="15.0" customHeight="true">
      <c r="C124" t="s" s="15">
        <v>1643</v>
      </c>
      <c r="D124" t="n" s="15">
        <v>0.0</v>
      </c>
      <c r="E124" t="n" s="15">
        <v>0.0</v>
      </c>
      <c r="F124" t="n" s="15">
        <v>0.0</v>
      </c>
      <c r="G124" t="n" s="15">
        <v>0.0</v>
      </c>
      <c r="H124" t="n" s="15">
        <v>0.0</v>
      </c>
      <c r="I124" t="n" s="15">
        <v>0.0</v>
      </c>
      <c r="J124" t="n" s="15">
        <v>0.0</v>
      </c>
      <c r="K124" t="n" s="15">
        <v>0.0</v>
      </c>
      <c r="L124" t="n" s="15">
        <v>0.0</v>
      </c>
      <c r="M124" t="n" s="15">
        <v>0.0</v>
      </c>
      <c r="N124" t="n" s="15">
        <v>0.0</v>
      </c>
      <c r="O124" t="n" s="15">
        <v>0.0</v>
      </c>
      <c r="P124" t="n" s="15">
        <v>3847.0</v>
      </c>
      <c r="Q124" t="n" s="15">
        <v>0.0</v>
      </c>
      <c r="R124" t="n" s="15">
        <v>200.0</v>
      </c>
      <c r="S124" t="n" s="15">
        <v>3048.0</v>
      </c>
      <c r="T124" t="n" s="15">
        <v>0.0</v>
      </c>
      <c r="U124" t="n" s="15">
        <v>0.0</v>
      </c>
      <c r="V124" t="n" s="15">
        <v>5771.0</v>
      </c>
      <c r="W124" t="n" s="15">
        <v>1741.0</v>
      </c>
      <c r="X124" t="n" s="15">
        <v>2527.0</v>
      </c>
      <c r="Y124" t="n" s="15">
        <v>0.0</v>
      </c>
    </row>
    <row r="125" ht="15.0" customHeight="true">
      <c r="C125" t="s" s="15">
        <v>1644</v>
      </c>
      <c r="D125" t="n" s="15">
        <v>72388.83</v>
      </c>
      <c r="E125" t="n" s="15">
        <v>58393.75</v>
      </c>
      <c r="F125" t="n" s="15">
        <v>59546.02</v>
      </c>
      <c r="G125" t="n" s="15">
        <v>51736.53</v>
      </c>
      <c r="H125" t="n" s="15">
        <v>52711.32</v>
      </c>
      <c r="I125" t="n" s="15">
        <v>24063.6</v>
      </c>
      <c r="J125" t="n" s="15">
        <v>42371.74</v>
      </c>
      <c r="K125" t="n" s="15">
        <v>50653.16</v>
      </c>
      <c r="L125" t="n" s="15">
        <v>35903.78</v>
      </c>
      <c r="M125" t="n" s="15">
        <v>40876.46</v>
      </c>
      <c r="N125" t="n" s="15">
        <v>71768.84</v>
      </c>
      <c r="O125" t="n" s="15">
        <v>30923.95</v>
      </c>
      <c r="P125" t="n" s="15">
        <v>35912.22</v>
      </c>
      <c r="Q125" t="n" s="15">
        <v>14270.34</v>
      </c>
      <c r="R125" t="n" s="15">
        <v>24610.89</v>
      </c>
      <c r="S125" t="n" s="15">
        <v>33938.73</v>
      </c>
      <c r="T125" t="n" s="15">
        <v>44306.03</v>
      </c>
      <c r="U125" t="n" s="15">
        <v>22678.53</v>
      </c>
      <c r="V125" t="n" s="15">
        <v>19318.48</v>
      </c>
      <c r="W125" t="n" s="15">
        <v>38765.37</v>
      </c>
      <c r="X125" t="n" s="15">
        <v>39667.69</v>
      </c>
      <c r="Y125" t="n" s="15">
        <v>27247.29</v>
      </c>
    </row>
    <row r="126" ht="15.0" customHeight="true">
      <c r="C126" t="s" s="15">
        <v>1645</v>
      </c>
      <c r="D126" t="n" s="15">
        <v>946.18</v>
      </c>
      <c r="E126" t="n" s="15">
        <v>1720.81</v>
      </c>
      <c r="F126" t="n" s="15">
        <v>10558.4</v>
      </c>
      <c r="G126" t="n" s="15">
        <v>4031.26</v>
      </c>
      <c r="H126" t="n" s="15">
        <v>36290.63</v>
      </c>
      <c r="I126" t="n" s="15">
        <v>16074.48</v>
      </c>
      <c r="J126" t="n" s="15">
        <v>42491.13</v>
      </c>
      <c r="K126" t="n" s="15">
        <v>74160.65</v>
      </c>
      <c r="L126" t="n" s="15">
        <v>10896.29</v>
      </c>
      <c r="M126" t="n" s="15">
        <v>21292.87</v>
      </c>
      <c r="N126" t="n" s="15">
        <v>5856.0</v>
      </c>
      <c r="O126" t="n" s="15">
        <v>4696.0</v>
      </c>
      <c r="P126" t="n" s="15">
        <v>53333.12</v>
      </c>
      <c r="Q126" t="n" s="15">
        <v>650.6</v>
      </c>
      <c r="R126" t="n" s="15">
        <v>7201.0</v>
      </c>
      <c r="S126" t="n" s="15">
        <v>35300.0</v>
      </c>
      <c r="T126" t="n" s="15">
        <v>64052.92</v>
      </c>
      <c r="U126" t="n" s="15">
        <v>606.0</v>
      </c>
      <c r="V126" t="n" s="15">
        <v>24968.15</v>
      </c>
      <c r="W126" t="n" s="15">
        <v>111603.09</v>
      </c>
      <c r="X126" t="n" s="15">
        <v>52031.83</v>
      </c>
      <c r="Y126" t="n" s="15">
        <v>11395.0</v>
      </c>
    </row>
    <row r="127" ht="15.0" customHeight="true">
      <c r="C127" t="s" s="15">
        <v>1646</v>
      </c>
      <c r="D127" t="n" s="15">
        <v>21764.0</v>
      </c>
      <c r="E127" t="n" s="15">
        <v>29018.0</v>
      </c>
      <c r="F127" t="n" s="15">
        <v>40338.0</v>
      </c>
      <c r="G127" t="n" s="15">
        <v>34307.0</v>
      </c>
      <c r="H127" t="n" s="15">
        <v>46743.0</v>
      </c>
      <c r="I127" t="n" s="15">
        <v>48235.0</v>
      </c>
      <c r="J127" t="n" s="15">
        <v>74013.0</v>
      </c>
      <c r="K127" t="n" s="15">
        <v>69367.0</v>
      </c>
      <c r="L127" t="n" s="15">
        <v>34142.0</v>
      </c>
      <c r="M127" t="n" s="15">
        <v>45717.0</v>
      </c>
      <c r="N127" t="n" s="15">
        <v>31910.0</v>
      </c>
      <c r="O127" t="n" s="15">
        <v>100.0</v>
      </c>
      <c r="P127" t="n" s="15">
        <v>100.0</v>
      </c>
      <c r="Q127" t="n" s="15">
        <v>100.0</v>
      </c>
      <c r="R127" t="n" s="15">
        <v>100.0</v>
      </c>
      <c r="S127" t="n" s="15">
        <v>100.0</v>
      </c>
      <c r="T127" t="n" s="15">
        <v>100.0</v>
      </c>
      <c r="U127" t="n" s="15">
        <v>100.0</v>
      </c>
      <c r="V127" t="n" s="15">
        <v>100.0</v>
      </c>
      <c r="W127" t="n" s="15">
        <v>100.0</v>
      </c>
      <c r="X127" t="n" s="15">
        <v>100.0</v>
      </c>
      <c r="Y127" t="n" s="15">
        <v>100.0</v>
      </c>
    </row>
    <row r="128" ht="15.0" customHeight="true">
      <c r="C128" t="s" s="15">
        <v>1647</v>
      </c>
      <c r="D128" t="n" s="15">
        <v>0.0</v>
      </c>
      <c r="E128" t="n" s="15">
        <v>0.0</v>
      </c>
      <c r="F128" t="n" s="15">
        <v>0.0</v>
      </c>
      <c r="G128" t="n" s="15">
        <v>0.0</v>
      </c>
      <c r="H128" t="n" s="15">
        <v>300.0</v>
      </c>
      <c r="I128" t="n" s="15">
        <v>200.0</v>
      </c>
      <c r="J128" t="n" s="15">
        <v>0.0</v>
      </c>
      <c r="K128" t="n" s="15">
        <v>0.0</v>
      </c>
      <c r="L128" t="n" s="15">
        <v>0.0</v>
      </c>
      <c r="M128" t="n" s="15">
        <v>0.0</v>
      </c>
      <c r="N128" t="n" s="15">
        <v>0.0</v>
      </c>
      <c r="O128" t="n" s="15">
        <v>1000.0</v>
      </c>
      <c r="P128" t="n" s="15">
        <v>1264.0</v>
      </c>
      <c r="Q128" t="n" s="15">
        <v>1080.0</v>
      </c>
      <c r="R128" t="n" s="15">
        <v>200.0</v>
      </c>
      <c r="S128" t="n" s="15">
        <v>2290.0</v>
      </c>
      <c r="T128" t="n" s="15">
        <v>1587.0</v>
      </c>
      <c r="U128" t="n" s="15">
        <v>300.0</v>
      </c>
      <c r="V128" t="n" s="15">
        <v>645.0</v>
      </c>
      <c r="W128" t="n" s="15">
        <v>965.0</v>
      </c>
      <c r="X128" t="n" s="15">
        <v>4729.0</v>
      </c>
      <c r="Y128" t="n" s="15">
        <v>660.0</v>
      </c>
    </row>
    <row r="129" ht="15.0" customHeight="true">
      <c r="C129" t="s" s="15">
        <v>1648</v>
      </c>
      <c r="D129" t="n" s="15">
        <v>0.0</v>
      </c>
      <c r="E129" t="n" s="15">
        <v>0.0</v>
      </c>
      <c r="F129" t="n" s="15">
        <v>0.0</v>
      </c>
      <c r="G129" t="n" s="15">
        <v>0.0</v>
      </c>
      <c r="H129" t="n" s="15">
        <v>0.0</v>
      </c>
      <c r="I129" t="n" s="15">
        <v>0.0</v>
      </c>
      <c r="J129" t="n" s="15">
        <v>0.0</v>
      </c>
      <c r="K129" t="n" s="15">
        <v>0.0</v>
      </c>
      <c r="L129" t="n" s="15">
        <v>0.0</v>
      </c>
      <c r="M129" t="n" s="15">
        <v>0.0</v>
      </c>
      <c r="N129" t="n" s="15">
        <v>0.0</v>
      </c>
      <c r="O129" t="n" s="15">
        <v>0.0</v>
      </c>
      <c r="P129" t="n" s="15">
        <v>0.0</v>
      </c>
      <c r="Q129" t="n" s="15">
        <v>0.0</v>
      </c>
      <c r="R129" t="n" s="15">
        <v>0.0</v>
      </c>
      <c r="S129" t="n" s="15">
        <v>0.0</v>
      </c>
      <c r="T129" t="n" s="15">
        <v>0.0</v>
      </c>
      <c r="U129" t="n" s="15">
        <v>0.0</v>
      </c>
      <c r="V129" t="n" s="15">
        <v>0.0</v>
      </c>
      <c r="W129" t="n" s="15">
        <v>8.0</v>
      </c>
      <c r="X129" t="n" s="15">
        <v>0.0</v>
      </c>
      <c r="Y129" t="n" s="15">
        <v>0.0</v>
      </c>
    </row>
    <row r="130" ht="15.0" customHeight="true">
      <c r="C130" t="s" s="15">
        <v>1649</v>
      </c>
      <c r="D130" t="n" s="15">
        <v>0.0</v>
      </c>
      <c r="E130" t="n" s="15">
        <v>0.0</v>
      </c>
      <c r="F130" t="n" s="15">
        <v>200.0</v>
      </c>
      <c r="G130" t="n" s="15">
        <v>1000.0</v>
      </c>
      <c r="H130" t="n" s="15">
        <v>0.0</v>
      </c>
      <c r="I130" t="n" s="15">
        <v>960.0</v>
      </c>
      <c r="J130" t="n" s="15">
        <v>1800.0</v>
      </c>
      <c r="K130" t="n" s="15">
        <v>0.0</v>
      </c>
      <c r="L130" t="n" s="15">
        <v>0.0</v>
      </c>
      <c r="M130" t="n" s="15">
        <v>1000.0</v>
      </c>
      <c r="N130" t="n" s="15">
        <v>200.0</v>
      </c>
      <c r="O130" t="n" s="15">
        <v>0.0</v>
      </c>
      <c r="P130" t="n" s="15">
        <v>0.0</v>
      </c>
      <c r="Q130" t="n" s="15">
        <v>0.0</v>
      </c>
      <c r="R130" t="n" s="15">
        <v>0.0</v>
      </c>
      <c r="S130" t="n" s="15">
        <v>0.0</v>
      </c>
      <c r="T130" t="n" s="15">
        <v>0.0</v>
      </c>
      <c r="U130" t="n" s="15">
        <v>0.0</v>
      </c>
      <c r="V130" t="n" s="15">
        <v>0.0</v>
      </c>
      <c r="W130" t="n" s="15">
        <v>0.0</v>
      </c>
      <c r="X130" t="n" s="15">
        <v>0.0</v>
      </c>
      <c r="Y130" t="n" s="15">
        <v>0.0</v>
      </c>
    </row>
    <row r="131" ht="15.0" customHeight="true">
      <c r="C131" t="s" s="15">
        <v>1650</v>
      </c>
      <c r="D131" t="n" s="15">
        <v>9292.61</v>
      </c>
      <c r="E131" t="n" s="15">
        <v>3318.66</v>
      </c>
      <c r="F131" t="n" s="15">
        <v>1540.34</v>
      </c>
      <c r="G131" t="n" s="15">
        <v>516.01</v>
      </c>
      <c r="H131" t="n" s="15">
        <v>1042.51</v>
      </c>
      <c r="I131" t="n" s="15">
        <v>2018.69</v>
      </c>
      <c r="J131" t="n" s="15">
        <v>205.31</v>
      </c>
      <c r="K131" t="n" s="15">
        <v>204.7</v>
      </c>
      <c r="L131" t="n" s="15">
        <v>200.0</v>
      </c>
      <c r="M131" t="n" s="15">
        <v>931.73</v>
      </c>
      <c r="N131" t="n" s="15">
        <v>0.0</v>
      </c>
      <c r="O131" t="n" s="15">
        <v>0.0</v>
      </c>
      <c r="P131" t="n" s="15">
        <v>1315.8</v>
      </c>
      <c r="Q131" t="n" s="15">
        <v>2709.9</v>
      </c>
      <c r="R131" t="n" s="15">
        <v>218.42</v>
      </c>
      <c r="S131" t="n" s="15">
        <v>204.7</v>
      </c>
      <c r="T131" t="n" s="15">
        <v>338.43</v>
      </c>
      <c r="U131" t="n" s="15">
        <v>305.31</v>
      </c>
      <c r="V131" t="n" s="15">
        <v>342.77</v>
      </c>
      <c r="W131" t="n" s="15">
        <v>111.31</v>
      </c>
      <c r="X131" t="n" s="15">
        <v>1161.68</v>
      </c>
      <c r="Y131" t="n" s="15">
        <v>575.76</v>
      </c>
    </row>
    <row r="132" ht="15.0" customHeight="true">
      <c r="C132" t="s" s="15">
        <v>1651</v>
      </c>
      <c r="D132" t="n" s="15">
        <v>0.0</v>
      </c>
      <c r="E132" t="n" s="15">
        <v>0.0</v>
      </c>
      <c r="F132" t="n" s="15">
        <v>71.9</v>
      </c>
      <c r="G132" t="n" s="15">
        <v>0.0</v>
      </c>
      <c r="H132" t="n" s="15">
        <v>0.0</v>
      </c>
      <c r="I132" t="n" s="15">
        <v>0.0</v>
      </c>
      <c r="J132" t="n" s="15">
        <v>0.0</v>
      </c>
      <c r="K132" t="n" s="15">
        <v>0.0</v>
      </c>
      <c r="L132" t="n" s="15">
        <v>0.0</v>
      </c>
      <c r="M132" t="n" s="15">
        <v>0.0</v>
      </c>
      <c r="N132" t="n" s="15">
        <v>0.0</v>
      </c>
      <c r="O132" t="n" s="15">
        <v>0.0</v>
      </c>
      <c r="P132" t="n" s="15">
        <v>0.0</v>
      </c>
      <c r="Q132" t="n" s="15">
        <v>0.0</v>
      </c>
      <c r="R132" t="n" s="15">
        <v>0.0</v>
      </c>
      <c r="S132" t="n" s="15">
        <v>0.0</v>
      </c>
      <c r="T132" t="n" s="15">
        <v>0.0</v>
      </c>
      <c r="U132" t="n" s="15">
        <v>13.5</v>
      </c>
      <c r="V132" t="n" s="15">
        <v>0.0</v>
      </c>
      <c r="W132" t="n" s="15">
        <v>0.0</v>
      </c>
      <c r="X132" t="n" s="15">
        <v>0.0</v>
      </c>
      <c r="Y132" t="n" s="15">
        <v>0.0</v>
      </c>
    </row>
    <row r="133" ht="15.0" customHeight="true">
      <c r="C133" t="s" s="15">
        <v>1652</v>
      </c>
      <c r="D133" t="n" s="15">
        <v>0.0</v>
      </c>
      <c r="E133" t="n" s="15">
        <v>0.0</v>
      </c>
      <c r="F133" t="n" s="15">
        <v>0.0</v>
      </c>
      <c r="G133" t="n" s="15">
        <v>0.0</v>
      </c>
      <c r="H133" t="n" s="15">
        <v>0.0</v>
      </c>
      <c r="I133" t="n" s="15">
        <v>0.0</v>
      </c>
      <c r="J133" t="n" s="15">
        <v>0.0</v>
      </c>
      <c r="K133" t="n" s="15">
        <v>0.0</v>
      </c>
      <c r="L133" t="n" s="15">
        <v>0.0</v>
      </c>
      <c r="M133" t="n" s="15">
        <v>0.0</v>
      </c>
      <c r="N133" t="n" s="15">
        <v>0.0</v>
      </c>
      <c r="O133" t="n" s="15">
        <v>0.0</v>
      </c>
      <c r="P133" t="n" s="15">
        <v>0.0</v>
      </c>
      <c r="Q133" t="n" s="15">
        <v>0.0</v>
      </c>
      <c r="R133" t="n" s="15">
        <v>0.0</v>
      </c>
      <c r="S133" t="n" s="15">
        <v>0.0</v>
      </c>
      <c r="T133" t="n" s="15">
        <v>0.0</v>
      </c>
      <c r="U133" t="n" s="15">
        <v>0.0</v>
      </c>
      <c r="V133" t="n" s="15">
        <v>0.0</v>
      </c>
      <c r="W133" t="n" s="15">
        <v>0.0</v>
      </c>
      <c r="X133" t="n" s="15">
        <v>0.0</v>
      </c>
      <c r="Y133" t="n" s="15">
        <v>0.0</v>
      </c>
    </row>
    <row r="134" ht="15.0" customHeight="true">
      <c r="C134" t="s" s="15">
        <v>1653</v>
      </c>
      <c r="D134" t="n" s="15">
        <v>0.0</v>
      </c>
      <c r="E134" t="n" s="15">
        <v>0.0</v>
      </c>
      <c r="F134" t="n" s="15">
        <v>30.0</v>
      </c>
      <c r="G134" t="n" s="15">
        <v>0.0</v>
      </c>
      <c r="H134" t="n" s="15">
        <v>10.0</v>
      </c>
      <c r="I134" t="n" s="15">
        <v>0.0</v>
      </c>
      <c r="J134" t="n" s="15">
        <v>0.0</v>
      </c>
      <c r="K134" t="n" s="15">
        <v>0.0</v>
      </c>
      <c r="L134" t="n" s="15">
        <v>0.0</v>
      </c>
      <c r="M134" t="n" s="15">
        <v>0.0</v>
      </c>
      <c r="N134" t="n" s="15">
        <v>0.0</v>
      </c>
      <c r="O134" t="n" s="15">
        <v>0.0</v>
      </c>
      <c r="P134" t="n" s="15">
        <v>183.8</v>
      </c>
      <c r="Q134" t="n" s="15">
        <v>0.0</v>
      </c>
      <c r="R134" t="n" s="15">
        <v>0.0</v>
      </c>
      <c r="S134" t="n" s="15">
        <v>108.5</v>
      </c>
      <c r="T134" t="n" s="15">
        <v>0.0</v>
      </c>
      <c r="U134" t="n" s="15">
        <v>0.0</v>
      </c>
      <c r="V134" t="n" s="15">
        <v>0.0</v>
      </c>
      <c r="W134" t="n" s="15">
        <v>0.0</v>
      </c>
      <c r="X134" t="n" s="15">
        <v>0.0</v>
      </c>
      <c r="Y134" t="n" s="15">
        <v>0.0</v>
      </c>
    </row>
    <row r="135" ht="15.0" customHeight="true">
      <c r="C135" t="s" s="15">
        <v>1654</v>
      </c>
      <c r="D135" t="n" s="15">
        <v>11030.82</v>
      </c>
      <c r="E135" t="n" s="15">
        <v>83340.81</v>
      </c>
      <c r="F135" t="n" s="15">
        <v>78266.78</v>
      </c>
      <c r="G135" t="n" s="15">
        <v>46564.17</v>
      </c>
      <c r="H135" t="n" s="15">
        <v>120081.39</v>
      </c>
      <c r="I135" t="n" s="15">
        <v>86570.25</v>
      </c>
      <c r="J135" t="n" s="15">
        <v>61031.45</v>
      </c>
      <c r="K135" t="n" s="15">
        <v>98903.02</v>
      </c>
      <c r="L135" t="n" s="15">
        <v>65998.8</v>
      </c>
      <c r="M135" t="n" s="15">
        <v>81498.34</v>
      </c>
      <c r="N135" t="n" s="15">
        <v>65689.07</v>
      </c>
      <c r="O135" t="n" s="15">
        <v>32739.85</v>
      </c>
      <c r="P135" t="n" s="15">
        <v>107293.8</v>
      </c>
      <c r="Q135" t="n" s="15">
        <v>23089.07</v>
      </c>
      <c r="R135" t="n" s="15">
        <v>19743.7</v>
      </c>
      <c r="S135" t="n" s="15">
        <v>132889.54</v>
      </c>
      <c r="T135" t="n" s="15">
        <v>67387.24</v>
      </c>
      <c r="U135" t="n" s="15">
        <v>33404.7</v>
      </c>
      <c r="V135" t="n" s="15">
        <v>81711.65</v>
      </c>
      <c r="W135" t="n" s="15">
        <v>53913.74</v>
      </c>
      <c r="X135" t="n" s="15">
        <v>56978.15</v>
      </c>
      <c r="Y135" t="n" s="15">
        <v>84132.32</v>
      </c>
    </row>
    <row r="136" spans="2:2" x14ac:dyDescent="0.25" ht="15.0" customHeight="true">
      <c r="B136" s="2"/>
      <c r="C136" t="s" s="15">
        <v>1655</v>
      </c>
      <c r="D136" t="n" s="15">
        <v>0.0</v>
      </c>
      <c r="E136" t="n" s="15">
        <v>0.0</v>
      </c>
      <c r="F136" t="n" s="15">
        <v>0.0</v>
      </c>
      <c r="G136" t="n" s="15">
        <v>0.0</v>
      </c>
      <c r="H136" t="n" s="15">
        <v>0.1</v>
      </c>
      <c r="I136" t="n" s="15">
        <v>0.0</v>
      </c>
      <c r="J136" t="n" s="15">
        <v>0.0</v>
      </c>
      <c r="K136" t="n" s="15">
        <v>15.0</v>
      </c>
      <c r="L136" t="n" s="15">
        <v>0.0</v>
      </c>
      <c r="M136" t="n" s="15">
        <v>60.5</v>
      </c>
      <c r="N136" t="n" s="15">
        <v>0.0</v>
      </c>
      <c r="O136" t="n" s="15">
        <v>5679.0</v>
      </c>
      <c r="P136" t="n" s="15">
        <v>126652.73</v>
      </c>
      <c r="Q136" t="n" s="15">
        <v>0.0</v>
      </c>
      <c r="R136" t="n" s="15">
        <v>350.0</v>
      </c>
      <c r="S136" t="n" s="15">
        <v>87805.7</v>
      </c>
      <c r="T136" t="n" s="15">
        <v>15125.76</v>
      </c>
      <c r="U136" t="n" s="15">
        <v>0.0</v>
      </c>
      <c r="V136" t="n" s="15">
        <v>68453.75</v>
      </c>
      <c r="W136" t="n" s="15">
        <v>142950.8</v>
      </c>
      <c r="X136" t="n" s="15">
        <v>33036.09</v>
      </c>
      <c r="Y136" t="n" s="15">
        <v>27190.8</v>
      </c>
    </row>
    <row r="137" spans="2:2" x14ac:dyDescent="0.25" ht="15.0" customHeight="true">
      <c r="B137" s="2"/>
      <c r="C137" t="s" s="15">
        <v>1656</v>
      </c>
      <c r="D137" t="n" s="15">
        <v>6815.41</v>
      </c>
      <c r="E137" t="n" s="15">
        <v>16.91</v>
      </c>
      <c r="F137" t="n" s="15">
        <v>255.43</v>
      </c>
      <c r="G137" t="n" s="15">
        <v>321.7</v>
      </c>
      <c r="H137" t="n" s="15">
        <v>157.47</v>
      </c>
      <c r="I137" t="n" s="15">
        <v>9.87</v>
      </c>
      <c r="J137" t="n" s="15">
        <v>629.42</v>
      </c>
      <c r="K137" t="n" s="15">
        <v>692.29</v>
      </c>
      <c r="L137" t="n" s="15">
        <v>1116.57</v>
      </c>
      <c r="M137" t="n" s="15">
        <v>512.33</v>
      </c>
      <c r="N137" t="n" s="15">
        <v>1103.4</v>
      </c>
      <c r="O137" t="n" s="15">
        <v>104.04</v>
      </c>
      <c r="P137" t="n" s="15">
        <v>26.0</v>
      </c>
      <c r="Q137" t="n" s="15">
        <v>1149.6</v>
      </c>
      <c r="R137" t="n" s="15">
        <v>59.95</v>
      </c>
      <c r="S137" t="n" s="15">
        <v>856.11</v>
      </c>
      <c r="T137" t="n" s="15">
        <v>309.6</v>
      </c>
      <c r="U137" t="n" s="15">
        <v>506.77</v>
      </c>
      <c r="V137" t="n" s="15">
        <v>318.96</v>
      </c>
      <c r="W137" t="n" s="15">
        <v>1.75</v>
      </c>
      <c r="X137" t="n" s="15">
        <v>57.01</v>
      </c>
      <c r="Y137" t="n" s="15">
        <v>83.59</v>
      </c>
    </row>
    <row r="138" spans="2:2" x14ac:dyDescent="0.25" ht="15.0" customHeight="true">
      <c r="B138" s="2"/>
      <c r="C138" t="s" s="15">
        <v>1657</v>
      </c>
      <c r="D138" t="n" s="15">
        <v>-1981009.67</v>
      </c>
      <c r="E138" t="n" s="15">
        <v>430197.19</v>
      </c>
      <c r="F138" t="n" s="15">
        <v>461223.82</v>
      </c>
      <c r="G138" t="n" s="15">
        <v>593932.9</v>
      </c>
      <c r="H138" t="n" s="15">
        <v>581575.81</v>
      </c>
      <c r="I138" t="n" s="15">
        <v>473773.39</v>
      </c>
      <c r="J138" t="n" s="15">
        <v>516459.13</v>
      </c>
      <c r="K138" t="n" s="15">
        <v>560232.68</v>
      </c>
      <c r="L138" t="n" s="15">
        <v>460453.31</v>
      </c>
      <c r="M138" t="n" s="15">
        <v>445115.55</v>
      </c>
      <c r="N138" t="n" s="15">
        <v>412171.16</v>
      </c>
      <c r="O138" t="n" s="15">
        <v>241032.93</v>
      </c>
      <c r="P138" t="n" s="15">
        <v>596920.76</v>
      </c>
      <c r="Q138" t="n" s="15">
        <v>161733.26</v>
      </c>
      <c r="R138" t="n" s="15">
        <v>277159.8</v>
      </c>
      <c r="S138" t="n" s="15">
        <v>614805.84</v>
      </c>
      <c r="T138" t="n" s="15">
        <v>369723.12</v>
      </c>
      <c r="U138" t="n" s="15">
        <v>311809.76</v>
      </c>
      <c r="V138" t="n" s="15">
        <v>461430.15</v>
      </c>
      <c r="W138" t="n" s="15">
        <v>495561.88</v>
      </c>
      <c r="X138" t="n" s="15">
        <v>503527.77</v>
      </c>
      <c r="Y138" t="n" s="15">
        <v>396179.66</v>
      </c>
    </row>
    <row r="139" ht="15.0" customHeight="true">
      <c r="C139" t="s" s="15">
        <v>1658</v>
      </c>
      <c r="D139" t="n" s="15">
        <v>10739.59</v>
      </c>
      <c r="E139" t="n" s="15">
        <v>17907.26</v>
      </c>
      <c r="F139" t="n" s="15">
        <v>12283.91</v>
      </c>
      <c r="G139" t="n" s="15">
        <v>13457.56</v>
      </c>
      <c r="H139" t="n" s="15">
        <v>13802.96</v>
      </c>
      <c r="I139" t="n" s="15">
        <v>22440.21</v>
      </c>
      <c r="J139" t="n" s="15">
        <v>10753.76</v>
      </c>
      <c r="K139" t="n" s="15">
        <v>12297.1</v>
      </c>
      <c r="L139" t="n" s="15">
        <v>24094.97</v>
      </c>
      <c r="M139" t="n" s="15">
        <v>10939.2</v>
      </c>
      <c r="N139" t="n" s="15">
        <v>15926.87</v>
      </c>
      <c r="O139" t="n" s="15">
        <v>14441.64</v>
      </c>
      <c r="P139" t="n" s="15">
        <v>15385.26</v>
      </c>
      <c r="Q139" t="n" s="15">
        <v>13345.03</v>
      </c>
      <c r="R139" t="n" s="15">
        <v>11327.23</v>
      </c>
      <c r="S139" t="n" s="15">
        <v>3506.87</v>
      </c>
      <c r="T139" t="n" s="15">
        <v>16148.12</v>
      </c>
      <c r="U139" t="n" s="15">
        <v>23551.2</v>
      </c>
      <c r="V139" t="n" s="15">
        <v>8344.48</v>
      </c>
      <c r="W139" t="n" s="15">
        <v>16903.29</v>
      </c>
      <c r="X139" t="n" s="15">
        <v>6003.08</v>
      </c>
      <c r="Y139" t="n" s="15">
        <v>9733.6</v>
      </c>
    </row>
    <row r="140" ht="15.0" customHeight="true">
      <c r="C140" t="s" s="15">
        <v>1659</v>
      </c>
      <c r="D140" t="n" s="15">
        <v>82016.45</v>
      </c>
      <c r="E140" t="n" s="15">
        <v>73994.18</v>
      </c>
      <c r="F140" t="n" s="15">
        <v>54305.83</v>
      </c>
      <c r="G140" t="n" s="15">
        <v>102816.54</v>
      </c>
      <c r="H140" t="n" s="15">
        <v>88880.14</v>
      </c>
      <c r="I140" t="n" s="15">
        <v>100792.92</v>
      </c>
      <c r="J140" t="n" s="15">
        <v>72765.18</v>
      </c>
      <c r="K140" t="n" s="15">
        <v>113620.87</v>
      </c>
      <c r="L140" t="n" s="15">
        <v>58466.01</v>
      </c>
      <c r="M140" t="n" s="15">
        <v>59959.14</v>
      </c>
      <c r="N140" t="n" s="15">
        <v>53111.42</v>
      </c>
      <c r="O140" t="n" s="15">
        <v>52727.8</v>
      </c>
      <c r="P140" t="n" s="15">
        <v>108920.81</v>
      </c>
      <c r="Q140" t="n" s="15">
        <v>68341.62</v>
      </c>
      <c r="R140" t="n" s="15">
        <v>77600.01</v>
      </c>
      <c r="S140" t="n" s="15">
        <v>153733.15</v>
      </c>
      <c r="T140" t="n" s="15">
        <v>59037.64</v>
      </c>
      <c r="U140" t="n" s="15">
        <v>59188.5</v>
      </c>
      <c r="V140" t="n" s="15">
        <v>52084.5</v>
      </c>
      <c r="W140" t="n" s="15">
        <v>77920.19</v>
      </c>
      <c r="X140" t="n" s="15">
        <v>95306.21</v>
      </c>
      <c r="Y140" t="n" s="15">
        <v>86761.34</v>
      </c>
    </row>
    <row r="141" ht="15.0" customHeight="true">
      <c r="C141" t="s" s="15">
        <v>1660</v>
      </c>
      <c r="D141" t="n" s="15">
        <v>32086.32</v>
      </c>
      <c r="E141" t="n" s="15">
        <v>0.0</v>
      </c>
      <c r="F141" t="n" s="15">
        <v>3656.7</v>
      </c>
      <c r="G141" t="n" s="15">
        <v>1400.0</v>
      </c>
      <c r="H141" t="n" s="15">
        <v>290.0</v>
      </c>
      <c r="I141" t="n" s="15">
        <v>1950.0</v>
      </c>
      <c r="J141" t="n" s="15">
        <v>285.8</v>
      </c>
      <c r="K141" t="n" s="15">
        <v>1235.0</v>
      </c>
      <c r="L141" t="n" s="15">
        <v>2604.1</v>
      </c>
      <c r="M141" t="n" s="15">
        <v>1310.2</v>
      </c>
      <c r="N141" t="n" s="15">
        <v>0.0</v>
      </c>
      <c r="O141" t="n" s="15">
        <v>720.0</v>
      </c>
      <c r="P141" t="n" s="15">
        <v>0.0</v>
      </c>
      <c r="Q141" t="n" s="15">
        <v>2341.2</v>
      </c>
      <c r="R141" t="n" s="15">
        <v>0.0</v>
      </c>
      <c r="S141" t="n" s="15">
        <v>3948.7</v>
      </c>
      <c r="T141" t="n" s="15">
        <v>10933.55</v>
      </c>
      <c r="U141" t="n" s="15">
        <v>2426.5</v>
      </c>
      <c r="V141" t="n" s="15">
        <v>5467.1</v>
      </c>
      <c r="W141" t="n" s="15">
        <v>4092.6</v>
      </c>
      <c r="X141" t="n" s="15">
        <v>17574.7</v>
      </c>
      <c r="Y141" t="n" s="15">
        <v>0.0</v>
      </c>
    </row>
    <row r="142" ht="15.0" customHeight="true">
      <c r="C142" t="s" s="15">
        <v>1661</v>
      </c>
      <c r="D142" t="n" s="15">
        <v>0.0</v>
      </c>
      <c r="E142" t="n" s="15">
        <v>0.0</v>
      </c>
      <c r="F142" t="n" s="15">
        <v>0.0</v>
      </c>
      <c r="G142" t="n" s="15">
        <v>0.0</v>
      </c>
      <c r="H142" t="n" s="15">
        <v>0.0</v>
      </c>
      <c r="I142" t="n" s="15">
        <v>0.0</v>
      </c>
      <c r="J142" t="n" s="15">
        <v>0.0</v>
      </c>
      <c r="K142" t="n" s="15">
        <v>0.0</v>
      </c>
      <c r="L142" t="n" s="15">
        <v>0.0</v>
      </c>
      <c r="M142" t="n" s="15">
        <v>0.0</v>
      </c>
      <c r="N142" t="n" s="15">
        <v>0.0</v>
      </c>
      <c r="O142" t="n" s="15">
        <v>0.0</v>
      </c>
      <c r="P142" t="n" s="15">
        <v>1471.0</v>
      </c>
      <c r="Q142" t="n" s="15">
        <v>0.0</v>
      </c>
      <c r="R142" t="n" s="15">
        <v>0.0</v>
      </c>
      <c r="S142" t="n" s="15">
        <v>0.0</v>
      </c>
      <c r="T142" t="n" s="15">
        <v>0.0</v>
      </c>
      <c r="U142" t="n" s="15">
        <v>0.0</v>
      </c>
      <c r="V142" t="n" s="15">
        <v>140.0</v>
      </c>
      <c r="W142" t="n" s="15">
        <v>40.5</v>
      </c>
      <c r="X142" t="n" s="15">
        <v>296.0</v>
      </c>
      <c r="Y142" t="n" s="15">
        <v>0.0</v>
      </c>
    </row>
    <row r="143" ht="15.0" customHeight="true">
      <c r="C143" t="s" s="15">
        <v>1662</v>
      </c>
      <c r="D143" t="n" s="15">
        <v>0.0</v>
      </c>
      <c r="E143" t="n" s="15">
        <v>0.0</v>
      </c>
      <c r="F143" t="n" s="15">
        <v>0.0</v>
      </c>
      <c r="G143" t="n" s="15">
        <v>0.0</v>
      </c>
      <c r="H143" t="n" s="15">
        <v>0.0</v>
      </c>
      <c r="I143" t="n" s="15">
        <v>0.0</v>
      </c>
      <c r="J143" t="n" s="15">
        <v>0.0</v>
      </c>
      <c r="K143" t="n" s="15">
        <v>21.0</v>
      </c>
      <c r="L143" t="n" s="15">
        <v>0.0</v>
      </c>
      <c r="M143" t="n" s="15">
        <v>0.0</v>
      </c>
      <c r="N143" t="n" s="15">
        <v>0.0</v>
      </c>
      <c r="O143" t="n" s="15">
        <v>0.0</v>
      </c>
      <c r="P143" t="n" s="15">
        <v>0.0</v>
      </c>
      <c r="Q143" t="n" s="15">
        <v>0.0</v>
      </c>
      <c r="R143" t="n" s="15">
        <v>0.0</v>
      </c>
      <c r="S143" t="n" s="15">
        <v>0.0</v>
      </c>
      <c r="T143" t="n" s="15">
        <v>0.0</v>
      </c>
      <c r="U143" t="n" s="15">
        <v>0.0</v>
      </c>
      <c r="V143" t="n" s="15">
        <v>0.0</v>
      </c>
      <c r="W143" t="n" s="15">
        <v>0.0</v>
      </c>
      <c r="X143" t="n" s="15">
        <v>0.0</v>
      </c>
      <c r="Y143" t="n" s="15">
        <v>0.0</v>
      </c>
    </row>
    <row r="144" ht="15.0" customHeight="true">
      <c r="C144" t="s" s="15">
        <v>1663</v>
      </c>
      <c r="D144" t="n" s="15">
        <v>453721.1</v>
      </c>
      <c r="E144" t="n" s="15">
        <v>321264.92</v>
      </c>
      <c r="F144" t="n" s="15">
        <v>341116.15</v>
      </c>
      <c r="G144" t="n" s="15">
        <v>380386.94</v>
      </c>
      <c r="H144" t="n" s="15">
        <v>298965.5</v>
      </c>
      <c r="I144" t="n" s="15">
        <v>236900.92</v>
      </c>
      <c r="J144" t="n" s="15">
        <v>299085.86</v>
      </c>
      <c r="K144" t="n" s="15">
        <v>265471.29</v>
      </c>
      <c r="L144" t="n" s="15">
        <v>322543.04</v>
      </c>
      <c r="M144" t="n" s="15">
        <v>269711.32</v>
      </c>
      <c r="N144" t="n" s="15">
        <v>299842.93</v>
      </c>
      <c r="O144" t="n" s="15">
        <v>173246.0</v>
      </c>
      <c r="P144" t="n" s="15">
        <v>55417.51</v>
      </c>
      <c r="Q144" t="n" s="15">
        <v>208039.75</v>
      </c>
      <c r="R144" t="n" s="15">
        <v>175863.97</v>
      </c>
      <c r="S144" t="n" s="15">
        <v>65180.77</v>
      </c>
      <c r="T144" t="n" s="15">
        <v>114765.5</v>
      </c>
      <c r="U144" t="n" s="15">
        <v>163273.0</v>
      </c>
      <c r="V144" t="n" s="15">
        <v>48235.13</v>
      </c>
      <c r="W144" t="n" s="15">
        <v>40811.7</v>
      </c>
      <c r="X144" t="n" s="15">
        <v>51828.9</v>
      </c>
      <c r="Y144" t="n" s="15">
        <v>92491.32</v>
      </c>
    </row>
    <row r="145" ht="15.0" customHeight="true">
      <c r="C145" t="s" s="15">
        <v>1664</v>
      </c>
      <c r="D145" t="n" s="15">
        <v>1052.0</v>
      </c>
      <c r="E145" t="n" s="15">
        <v>530.0</v>
      </c>
      <c r="F145" t="n" s="15">
        <v>1103.0</v>
      </c>
      <c r="G145" t="n" s="15">
        <v>1844.2</v>
      </c>
      <c r="H145" t="n" s="15">
        <v>2826.94</v>
      </c>
      <c r="I145" t="n" s="15">
        <v>1501.0</v>
      </c>
      <c r="J145" t="n" s="15">
        <v>1063.0</v>
      </c>
      <c r="K145" t="n" s="15">
        <v>2613.0</v>
      </c>
      <c r="L145" t="n" s="15">
        <v>1161.1</v>
      </c>
      <c r="M145" t="n" s="15">
        <v>838.1</v>
      </c>
      <c r="N145" t="n" s="15">
        <v>2106.07</v>
      </c>
      <c r="O145" t="n" s="15">
        <v>2400.0</v>
      </c>
      <c r="P145" t="n" s="15">
        <v>3188.0</v>
      </c>
      <c r="Q145" t="n" s="15">
        <v>3131.0</v>
      </c>
      <c r="R145" t="n" s="15">
        <v>1050.0</v>
      </c>
      <c r="S145" t="n" s="15">
        <v>3690.0</v>
      </c>
      <c r="T145" t="n" s="15">
        <v>3537.0</v>
      </c>
      <c r="U145" t="n" s="15">
        <v>1920.0</v>
      </c>
      <c r="V145" t="n" s="15">
        <v>2595.0</v>
      </c>
      <c r="W145" t="n" s="15">
        <v>1965.0</v>
      </c>
      <c r="X145" t="n" s="15">
        <v>8620.0</v>
      </c>
      <c r="Y145" t="n" s="15">
        <v>2743.0</v>
      </c>
    </row>
    <row r="146" ht="15.0" customHeight="true">
      <c r="C146" t="s" s="15">
        <v>1665</v>
      </c>
      <c r="D146" t="n" s="15">
        <v>231.0</v>
      </c>
      <c r="E146" t="n" s="15">
        <v>735.1</v>
      </c>
      <c r="F146" t="n" s="15">
        <v>5806.15</v>
      </c>
      <c r="G146" t="n" s="15">
        <v>3676.5</v>
      </c>
      <c r="H146" t="n" s="15">
        <v>42191.48</v>
      </c>
      <c r="I146" t="n" s="15">
        <v>16008.99</v>
      </c>
      <c r="J146" t="n" s="15">
        <v>52472.34</v>
      </c>
      <c r="K146" t="n" s="15">
        <v>33311.8</v>
      </c>
      <c r="L146" t="n" s="15">
        <v>3207.3</v>
      </c>
      <c r="M146" t="n" s="15">
        <v>14212.29</v>
      </c>
      <c r="N146" t="n" s="15">
        <v>10757.04</v>
      </c>
      <c r="O146" t="n" s="15">
        <v>7615.6</v>
      </c>
      <c r="P146" t="n" s="15">
        <v>144703.34</v>
      </c>
      <c r="Q146" t="n" s="15">
        <v>287.5</v>
      </c>
      <c r="R146" t="n" s="15">
        <v>16510.1</v>
      </c>
      <c r="S146" t="n" s="15">
        <v>96811.5</v>
      </c>
      <c r="T146" t="n" s="15">
        <v>55473.46</v>
      </c>
      <c r="U146" t="n" s="15">
        <v>80600.55</v>
      </c>
      <c r="V146" t="n" s="15">
        <v>149725.02</v>
      </c>
      <c r="W146" t="n" s="15">
        <v>45521.38</v>
      </c>
      <c r="X146" t="n" s="15">
        <v>156077.29</v>
      </c>
      <c r="Y146" t="n" s="15">
        <v>64113.12</v>
      </c>
    </row>
    <row r="147" ht="15.0" customHeight="true">
      <c r="C147" t="s" s="15">
        <v>1666</v>
      </c>
      <c r="D147" t="n" s="15">
        <v>3902.89</v>
      </c>
      <c r="E147" t="n" s="15">
        <v>1168.01</v>
      </c>
      <c r="F147" t="n" s="15">
        <v>5509.92</v>
      </c>
      <c r="G147" t="n" s="15">
        <v>3383.84</v>
      </c>
      <c r="H147" t="n" s="15">
        <v>6954.37</v>
      </c>
      <c r="I147" t="n" s="15">
        <v>11161.86</v>
      </c>
      <c r="J147" t="n" s="15">
        <v>8131.13</v>
      </c>
      <c r="K147" t="n" s="15">
        <v>2709.37</v>
      </c>
      <c r="L147" t="n" s="15">
        <v>5099.39</v>
      </c>
      <c r="M147" t="n" s="15">
        <v>4941.36</v>
      </c>
      <c r="N147" t="n" s="15">
        <v>3290.99</v>
      </c>
      <c r="O147" t="n" s="15">
        <v>623.27</v>
      </c>
      <c r="P147" t="n" s="15">
        <v>1235.06</v>
      </c>
      <c r="Q147" t="n" s="15">
        <v>0.0</v>
      </c>
      <c r="R147" t="n" s="15">
        <v>1700.75</v>
      </c>
      <c r="S147" t="n" s="15">
        <v>4710.89</v>
      </c>
      <c r="T147" t="n" s="15">
        <v>1715.25</v>
      </c>
      <c r="U147" t="n" s="15">
        <v>496.29</v>
      </c>
      <c r="V147" t="n" s="15">
        <v>1305.71</v>
      </c>
      <c r="W147" t="n" s="15">
        <v>3265.82</v>
      </c>
      <c r="X147" t="n" s="15">
        <v>1132.7</v>
      </c>
      <c r="Y147" t="n" s="15">
        <v>3552.9</v>
      </c>
    </row>
    <row r="148" ht="15.0" customHeight="true">
      <c r="C148" t="s" s="15">
        <v>1667</v>
      </c>
      <c r="D148" t="n" s="15">
        <v>0.0</v>
      </c>
      <c r="E148" t="n" s="15">
        <v>0.0</v>
      </c>
      <c r="F148" t="n" s="15">
        <v>0.0</v>
      </c>
      <c r="G148" t="n" s="15">
        <v>0.0</v>
      </c>
      <c r="H148" t="n" s="15">
        <v>0.0</v>
      </c>
      <c r="I148" t="n" s="15">
        <v>0.0</v>
      </c>
      <c r="J148" t="n" s="15">
        <v>0.0</v>
      </c>
      <c r="K148" t="n" s="15">
        <v>0.0</v>
      </c>
      <c r="L148" t="n" s="15">
        <v>6.97</v>
      </c>
      <c r="M148" t="n" s="15">
        <v>0.0</v>
      </c>
      <c r="N148" t="n" s="15">
        <v>0.0</v>
      </c>
      <c r="O148" t="n" s="15">
        <v>0.0</v>
      </c>
      <c r="P148" t="n" s="15">
        <v>278.0</v>
      </c>
      <c r="Q148" t="n" s="15">
        <v>0.0</v>
      </c>
      <c r="R148" t="n" s="15">
        <v>0.0</v>
      </c>
      <c r="S148" t="n" s="15">
        <v>0.0</v>
      </c>
      <c r="T148" t="n" s="15">
        <v>0.0</v>
      </c>
      <c r="U148" t="n" s="15">
        <v>0.0</v>
      </c>
      <c r="V148" t="n" s="15">
        <v>80.0</v>
      </c>
      <c r="W148" t="n" s="15">
        <v>4093.0</v>
      </c>
      <c r="X148" t="n" s="15">
        <v>0.0</v>
      </c>
      <c r="Y148" t="n" s="15">
        <v>0.0</v>
      </c>
    </row>
    <row r="149" ht="15.0" customHeight="true">
      <c r="C149" t="s" s="15">
        <v>1668</v>
      </c>
      <c r="D149" t="n" s="15">
        <v>1506.0</v>
      </c>
      <c r="E149" t="n" s="15">
        <v>624.45</v>
      </c>
      <c r="F149" t="n" s="15">
        <v>747.44</v>
      </c>
      <c r="G149" t="n" s="15">
        <v>76.0</v>
      </c>
      <c r="H149" t="n" s="15">
        <v>666.0</v>
      </c>
      <c r="I149" t="n" s="15">
        <v>1062.93</v>
      </c>
      <c r="J149" t="n" s="15">
        <v>1553.95</v>
      </c>
      <c r="K149" t="n" s="15">
        <v>857.0</v>
      </c>
      <c r="L149" t="n" s="15">
        <v>407.0</v>
      </c>
      <c r="M149" t="n" s="15">
        <v>190.0</v>
      </c>
      <c r="N149" t="n" s="15">
        <v>60.8</v>
      </c>
      <c r="O149" t="n" s="15">
        <v>487.22</v>
      </c>
      <c r="P149" t="n" s="15">
        <v>258.0</v>
      </c>
      <c r="Q149" t="n" s="15">
        <v>59.4</v>
      </c>
      <c r="R149" t="n" s="15">
        <v>636.89</v>
      </c>
      <c r="S149" t="n" s="15">
        <v>159.05</v>
      </c>
      <c r="T149" t="n" s="15">
        <v>0.0</v>
      </c>
      <c r="U149" t="n" s="15">
        <v>371.1</v>
      </c>
      <c r="V149" t="n" s="15">
        <v>87.4</v>
      </c>
      <c r="W149" t="n" s="15">
        <v>257.5</v>
      </c>
      <c r="X149" t="n" s="15">
        <v>347.5</v>
      </c>
      <c r="Y149" t="n" s="15">
        <v>324.0</v>
      </c>
    </row>
    <row r="150" ht="15.0" customHeight="true">
      <c r="C150" t="s" s="15">
        <v>1669</v>
      </c>
      <c r="D150" t="n" s="15">
        <v>202204.58</v>
      </c>
      <c r="E150" t="n" s="15">
        <v>4177.26</v>
      </c>
      <c r="F150" t="n" s="15">
        <v>11573.52</v>
      </c>
      <c r="G150" t="n" s="15">
        <v>2919.98</v>
      </c>
      <c r="H150" t="n" s="15">
        <v>2575.6</v>
      </c>
      <c r="I150" t="n" s="15">
        <v>3686.72</v>
      </c>
      <c r="J150" t="n" s="15">
        <v>5327.64</v>
      </c>
      <c r="K150" t="n" s="15">
        <v>1649.93</v>
      </c>
      <c r="L150" t="n" s="15">
        <v>3558.79</v>
      </c>
      <c r="M150" t="n" s="15">
        <v>1912.2</v>
      </c>
      <c r="N150" t="n" s="15">
        <v>1919.31</v>
      </c>
      <c r="O150" t="n" s="15">
        <v>990.71</v>
      </c>
      <c r="P150" t="n" s="15">
        <v>2688.57</v>
      </c>
      <c r="Q150" t="n" s="15">
        <v>136948.98</v>
      </c>
      <c r="R150" t="n" s="15">
        <v>5716.39</v>
      </c>
      <c r="S150" t="n" s="15">
        <v>8197.23</v>
      </c>
      <c r="T150" t="n" s="15">
        <v>4150.04</v>
      </c>
      <c r="U150" t="n" s="15">
        <v>5037.01</v>
      </c>
      <c r="V150" t="n" s="15">
        <v>5838.86</v>
      </c>
      <c r="W150" t="n" s="15">
        <v>8256.39</v>
      </c>
      <c r="X150" t="n" s="15">
        <v>8117.02</v>
      </c>
      <c r="Y150" t="n" s="15">
        <v>2698.44</v>
      </c>
    </row>
    <row r="151" ht="15.0" customHeight="true">
      <c r="C151" t="s" s="15">
        <v>1670</v>
      </c>
      <c r="D151" t="n" s="15">
        <v>0.0</v>
      </c>
      <c r="E151" t="n" s="15">
        <v>0.0</v>
      </c>
      <c r="F151" t="n" s="15">
        <v>0.0</v>
      </c>
      <c r="G151" t="n" s="15">
        <v>0.0</v>
      </c>
      <c r="H151" t="n" s="15">
        <v>8.0</v>
      </c>
      <c r="I151" t="n" s="15">
        <v>16.0</v>
      </c>
      <c r="J151" t="n" s="15">
        <v>0.0</v>
      </c>
      <c r="K151" t="n" s="15">
        <v>0.0</v>
      </c>
      <c r="L151" t="n" s="15">
        <v>0.0</v>
      </c>
      <c r="M151" t="n" s="15">
        <v>0.0</v>
      </c>
      <c r="N151" t="n" s="15">
        <v>0.0</v>
      </c>
      <c r="O151" t="n" s="15">
        <v>0.0</v>
      </c>
      <c r="P151" t="n" s="15">
        <v>18.7</v>
      </c>
      <c r="Q151" t="n" s="15">
        <v>0.0</v>
      </c>
      <c r="R151" t="n" s="15">
        <v>0.0</v>
      </c>
      <c r="S151" t="n" s="15">
        <v>8.0</v>
      </c>
      <c r="T151" t="n" s="15">
        <v>0.0</v>
      </c>
      <c r="U151" t="n" s="15">
        <v>0.0</v>
      </c>
      <c r="V151" t="n" s="15">
        <v>8.0</v>
      </c>
      <c r="W151" t="n" s="15">
        <v>16.0</v>
      </c>
      <c r="X151" t="n" s="15">
        <v>0.0</v>
      </c>
      <c r="Y151" t="n" s="15">
        <v>32.0</v>
      </c>
    </row>
    <row r="152" ht="15.0" customHeight="true">
      <c r="C152" t="s" s="15">
        <v>1671</v>
      </c>
      <c r="D152" t="n" s="15">
        <v>0.0</v>
      </c>
      <c r="E152" t="n" s="15">
        <v>0.0</v>
      </c>
      <c r="F152" t="n" s="15">
        <v>0.0</v>
      </c>
      <c r="G152" t="n" s="15">
        <v>0.0</v>
      </c>
      <c r="H152" t="n" s="15">
        <v>0.0</v>
      </c>
      <c r="I152" t="n" s="15">
        <v>15.0</v>
      </c>
      <c r="J152" t="n" s="15">
        <v>0.0</v>
      </c>
      <c r="K152" t="n" s="15">
        <v>0.0</v>
      </c>
      <c r="L152" t="n" s="15">
        <v>0.0</v>
      </c>
      <c r="M152" t="n" s="15">
        <v>0.0</v>
      </c>
      <c r="N152" t="n" s="15">
        <v>0.0</v>
      </c>
      <c r="O152" t="n" s="15">
        <v>0.0</v>
      </c>
      <c r="P152" t="n" s="15">
        <v>0.0</v>
      </c>
      <c r="Q152" t="n" s="15">
        <v>0.0</v>
      </c>
      <c r="R152" t="n" s="15">
        <v>0.0</v>
      </c>
      <c r="S152" t="n" s="15">
        <v>0.0</v>
      </c>
      <c r="T152" t="n" s="15">
        <v>0.0</v>
      </c>
      <c r="U152" t="n" s="15">
        <v>0.0</v>
      </c>
      <c r="V152" t="n" s="15">
        <v>30.0</v>
      </c>
      <c r="W152" t="n" s="15">
        <v>0.0</v>
      </c>
      <c r="X152" t="n" s="15">
        <v>0.0</v>
      </c>
      <c r="Y152" t="n" s="15">
        <v>0.0</v>
      </c>
    </row>
    <row r="153" ht="15.0" customHeight="true">
      <c r="C153" t="s" s="15">
        <v>1672</v>
      </c>
      <c r="D153" t="n" s="15">
        <v>7895.9</v>
      </c>
      <c r="E153" t="n" s="15">
        <v>1348.8</v>
      </c>
      <c r="F153" t="n" s="15">
        <v>12250.94</v>
      </c>
      <c r="G153" t="n" s="15">
        <v>41003.65</v>
      </c>
      <c r="H153" t="n" s="15">
        <v>11012.96</v>
      </c>
      <c r="I153" t="n" s="15">
        <v>16984.28</v>
      </c>
      <c r="J153" t="n" s="15">
        <v>12800.0</v>
      </c>
      <c r="K153" t="n" s="15">
        <v>8926.25</v>
      </c>
      <c r="L153" t="n" s="15">
        <v>9684.6</v>
      </c>
      <c r="M153" t="n" s="15">
        <v>8764.0</v>
      </c>
      <c r="N153" t="n" s="15">
        <v>10437.6</v>
      </c>
      <c r="O153" t="n" s="15">
        <v>2207.05</v>
      </c>
      <c r="P153" t="n" s="15">
        <v>1569.38</v>
      </c>
      <c r="Q153" t="n" s="15">
        <v>22111.6</v>
      </c>
      <c r="R153" t="n" s="15">
        <v>8644.27</v>
      </c>
      <c r="S153" t="n" s="15">
        <v>8611.75</v>
      </c>
      <c r="T153" t="n" s="15">
        <v>4604.26</v>
      </c>
      <c r="U153" t="n" s="15">
        <v>7919.06</v>
      </c>
      <c r="V153" t="n" s="15">
        <v>6145.93</v>
      </c>
      <c r="W153" t="n" s="15">
        <v>8123.2</v>
      </c>
      <c r="X153" t="n" s="15">
        <v>39075.25</v>
      </c>
      <c r="Y153" t="n" s="15">
        <v>1374.4</v>
      </c>
    </row>
    <row r="154" ht="15.0" customHeight="true">
      <c r="C154" t="s" s="15">
        <v>1673</v>
      </c>
      <c r="D154" t="n" s="15">
        <v>-1691773.78</v>
      </c>
      <c r="E154" t="n" s="15">
        <v>511843.47</v>
      </c>
      <c r="F154" t="n" s="15">
        <v>550137.19</v>
      </c>
      <c r="G154" t="n" s="15">
        <v>665430.81</v>
      </c>
      <c r="H154" t="n" s="15">
        <v>657620.06</v>
      </c>
      <c r="I154" t="n" s="15">
        <v>535125.78</v>
      </c>
      <c r="J154" t="n" s="15">
        <v>583043.4</v>
      </c>
      <c r="K154" t="n" s="15">
        <v>627542.24</v>
      </c>
      <c r="L154" t="n" s="15">
        <v>529110.24</v>
      </c>
      <c r="M154" t="n" s="15">
        <v>503784.77</v>
      </c>
      <c r="N154" t="n" s="15">
        <v>505077.17</v>
      </c>
      <c r="O154" t="n" s="15">
        <v>288012.5</v>
      </c>
      <c r="P154" t="n" s="15">
        <v>652141.87</v>
      </c>
      <c r="Q154" t="n" s="15">
        <v>326297.61</v>
      </c>
      <c r="R154" t="n" s="15">
        <v>320515.06</v>
      </c>
      <c r="S154" t="n" s="15">
        <v>665159.56</v>
      </c>
      <c r="T154" t="n" s="15">
        <v>436042.56</v>
      </c>
      <c r="U154" t="n" s="15">
        <v>363572.79</v>
      </c>
      <c r="V154" t="n" s="15">
        <v>496237.68</v>
      </c>
      <c r="W154" t="n" s="15">
        <v>562752.75</v>
      </c>
      <c r="X154" t="n" s="15">
        <v>558448.26</v>
      </c>
      <c r="Y154" t="n" s="15">
        <v>439411.89</v>
      </c>
    </row>
    <row r="155" ht="15.0" customHeight="true">
      <c r="C155" t="s" s="15">
        <v>1674</v>
      </c>
      <c r="D155" t="n" s="15">
        <v>631475.03</v>
      </c>
      <c r="E155" t="n" s="15">
        <v>511843.47</v>
      </c>
      <c r="F155" t="n" s="15">
        <v>550137.19</v>
      </c>
      <c r="G155" t="n" s="15">
        <v>665430.81</v>
      </c>
      <c r="H155" t="n" s="15">
        <v>657620.06</v>
      </c>
      <c r="I155" t="n" s="15">
        <v>535125.78</v>
      </c>
      <c r="J155" t="n" s="15">
        <v>583043.4</v>
      </c>
      <c r="K155" t="n" s="15">
        <v>635579.41</v>
      </c>
      <c r="L155" t="n" s="15">
        <v>529110.24</v>
      </c>
      <c r="M155" t="n" s="15">
        <v>503784.77</v>
      </c>
      <c r="N155" t="n" s="15">
        <v>505077.17</v>
      </c>
      <c r="O155" t="n" s="15">
        <v>288012.5</v>
      </c>
      <c r="P155" t="n" s="15">
        <v>652141.87</v>
      </c>
      <c r="Q155" t="n" s="15">
        <v>326297.61</v>
      </c>
      <c r="R155" t="n" s="15">
        <v>320515.06</v>
      </c>
      <c r="S155" t="n" s="15">
        <v>665159.56</v>
      </c>
      <c r="T155" t="n" s="15">
        <v>436042.56</v>
      </c>
      <c r="U155" t="n" s="15">
        <v>363572.79</v>
      </c>
      <c r="V155" t="n" s="15">
        <v>496237.68</v>
      </c>
      <c r="W155" t="n" s="15">
        <v>562752.75</v>
      </c>
      <c r="X155" t="n" s="15">
        <v>558448.26</v>
      </c>
      <c r="Y155" t="n" s="15">
        <v>439411.89</v>
      </c>
    </row>
    <row r="156" ht="15.0" customHeight="true">
      <c r="C156" t="s" s="15">
        <v>1675</v>
      </c>
      <c r="D156" t="n" s="15">
        <v>5762.7</v>
      </c>
      <c r="E156" t="n" s="15">
        <v>51294.18</v>
      </c>
      <c r="F156" t="n" s="15">
        <v>66577.2</v>
      </c>
      <c r="G156" t="n" s="15">
        <v>30791.61</v>
      </c>
      <c r="H156" t="n" s="15">
        <v>78717.86</v>
      </c>
      <c r="I156" t="n" s="15">
        <v>62840.42</v>
      </c>
      <c r="J156" t="n" s="15">
        <v>60238.3</v>
      </c>
      <c r="K156" t="n" s="15">
        <v>58451.9</v>
      </c>
      <c r="L156" t="n" s="15">
        <v>74323.94</v>
      </c>
      <c r="M156" t="n" s="15">
        <v>63703.9</v>
      </c>
      <c r="N156" t="n" s="15">
        <v>67008.76</v>
      </c>
      <c r="O156" t="n" s="15">
        <v>21532.0</v>
      </c>
      <c r="P156" t="n" s="15">
        <v>57608.51</v>
      </c>
      <c r="Q156" t="n" s="15">
        <v>18849.3</v>
      </c>
      <c r="R156" t="n" s="15">
        <v>22502.5</v>
      </c>
      <c r="S156" t="n" s="15">
        <v>60694.0</v>
      </c>
      <c r="T156" t="n" s="15">
        <v>59522.7</v>
      </c>
      <c r="U156" t="n" s="15">
        <v>32513.7</v>
      </c>
      <c r="V156" t="n" s="15">
        <v>48139.05</v>
      </c>
      <c r="W156" t="n" s="15">
        <v>59098.6</v>
      </c>
      <c r="X156" t="n" s="15">
        <v>46172.0</v>
      </c>
      <c r="Y156" t="n" s="15">
        <v>64629.6</v>
      </c>
    </row>
    <row r="157" ht="15.0" customHeight="true">
      <c r="C157" t="s" s="15">
        <v>1676</v>
      </c>
      <c r="D157" t="n" s="15">
        <v>0.0</v>
      </c>
      <c r="E157" t="n" s="15">
        <v>0.0</v>
      </c>
      <c r="F157" t="n" s="15">
        <v>0.0</v>
      </c>
      <c r="G157" t="n" s="15">
        <v>0.0</v>
      </c>
      <c r="H157" t="n" s="15">
        <v>0.0</v>
      </c>
      <c r="I157" t="n" s="15">
        <v>0.0</v>
      </c>
      <c r="J157" t="n" s="15">
        <v>0.0</v>
      </c>
      <c r="K157" t="n" s="15">
        <v>0.0</v>
      </c>
      <c r="L157" t="n" s="15">
        <v>0.0</v>
      </c>
      <c r="M157" t="n" s="15">
        <v>0.0</v>
      </c>
      <c r="N157" t="n" s="15">
        <v>0.0</v>
      </c>
      <c r="O157" t="n" s="15">
        <v>0.0</v>
      </c>
      <c r="P157" t="n" s="15">
        <v>0.0</v>
      </c>
      <c r="Q157" t="n" s="15">
        <v>0.0</v>
      </c>
      <c r="R157" t="n" s="15">
        <v>0.0</v>
      </c>
      <c r="S157" t="n" s="15">
        <v>0.0</v>
      </c>
      <c r="T157" t="n" s="15">
        <v>0.0</v>
      </c>
      <c r="U157" t="n" s="15">
        <v>0.0</v>
      </c>
      <c r="V157" t="n" s="15">
        <v>0.0</v>
      </c>
      <c r="W157" t="n" s="15">
        <v>0.0</v>
      </c>
      <c r="X157" t="n" s="15">
        <v>0.0</v>
      </c>
      <c r="Y157" t="n" s="15">
        <v>0.0</v>
      </c>
    </row>
    <row r="158" ht="15.0" customHeight="true">
      <c r="C158" t="s" s="15">
        <v>1677</v>
      </c>
      <c r="D158" t="n" s="15">
        <v>14.0</v>
      </c>
      <c r="E158" t="n" s="15">
        <v>0.0</v>
      </c>
      <c r="F158" t="n" s="15">
        <v>0.0</v>
      </c>
      <c r="G158" t="n" s="15">
        <v>0.0</v>
      </c>
      <c r="H158" t="n" s="15">
        <v>0.0</v>
      </c>
      <c r="I158" t="n" s="15">
        <v>100.0</v>
      </c>
      <c r="J158" t="n" s="15">
        <v>0.0</v>
      </c>
      <c r="K158" t="n" s="15">
        <v>0.0</v>
      </c>
      <c r="L158" t="n" s="15">
        <v>0.0</v>
      </c>
      <c r="M158" t="n" s="15">
        <v>0.0</v>
      </c>
      <c r="N158" t="n" s="15">
        <v>0.0</v>
      </c>
      <c r="O158" t="n" s="15">
        <v>0.0</v>
      </c>
      <c r="P158" t="n" s="15">
        <v>0.0</v>
      </c>
      <c r="Q158" t="n" s="15">
        <v>0.0</v>
      </c>
      <c r="R158" t="n" s="15">
        <v>0.0</v>
      </c>
      <c r="S158" t="n" s="15">
        <v>86.9</v>
      </c>
      <c r="T158" t="n" s="15">
        <v>0.0</v>
      </c>
      <c r="U158" t="n" s="15">
        <v>0.0</v>
      </c>
      <c r="V158" t="n" s="15">
        <v>0.0</v>
      </c>
      <c r="W158" t="n" s="15">
        <v>0.0</v>
      </c>
      <c r="X158" t="n" s="15">
        <v>83.6</v>
      </c>
      <c r="Y158" t="n" s="15">
        <v>42.89</v>
      </c>
    </row>
    <row r="159" ht="15.0" customHeight="true">
      <c r="C159" t="s" s="15">
        <v>1678</v>
      </c>
      <c r="D159" t="n" s="15">
        <v>0.0</v>
      </c>
      <c r="E159" t="n" s="15">
        <v>0.0</v>
      </c>
      <c r="F159" t="n" s="15">
        <v>0.0</v>
      </c>
      <c r="G159" t="n" s="15">
        <v>0.0</v>
      </c>
      <c r="H159" t="n" s="15">
        <v>0.0</v>
      </c>
      <c r="I159" t="n" s="15">
        <v>100.0</v>
      </c>
      <c r="J159" t="n" s="15">
        <v>0.0</v>
      </c>
      <c r="K159" t="n" s="15">
        <v>0.0</v>
      </c>
      <c r="L159" t="n" s="15">
        <v>0.0</v>
      </c>
      <c r="M159" t="n" s="15">
        <v>0.0</v>
      </c>
      <c r="N159" t="n" s="15">
        <v>0.0</v>
      </c>
      <c r="O159" t="n" s="15">
        <v>0.0</v>
      </c>
      <c r="P159" t="n" s="15">
        <v>0.0</v>
      </c>
      <c r="Q159" t="n" s="15">
        <v>0.0</v>
      </c>
      <c r="R159" t="n" s="15">
        <v>0.0</v>
      </c>
      <c r="S159" t="n" s="15">
        <v>86.9</v>
      </c>
      <c r="T159" t="n" s="15">
        <v>0.0</v>
      </c>
      <c r="U159" t="n" s="15">
        <v>0.0</v>
      </c>
      <c r="V159" t="n" s="15">
        <v>0.0</v>
      </c>
      <c r="W159" t="n" s="15">
        <v>0.0</v>
      </c>
      <c r="X159" t="n" s="15">
        <v>83.6</v>
      </c>
      <c r="Y159" t="n" s="15">
        <v>42.89</v>
      </c>
    </row>
    <row r="160" ht="15.0" customHeight="true">
      <c r="C160" t="s" s="15">
        <v>1679</v>
      </c>
      <c r="D160" t="n" s="15">
        <v>0.0</v>
      </c>
      <c r="E160" t="n" s="15">
        <v>0.0</v>
      </c>
      <c r="F160" t="n" s="15">
        <v>0.0</v>
      </c>
      <c r="G160" t="n" s="15">
        <v>0.0</v>
      </c>
      <c r="H160" t="n" s="15">
        <v>0.0</v>
      </c>
      <c r="I160" t="n" s="15">
        <v>0.0</v>
      </c>
      <c r="J160" t="n" s="15">
        <v>0.0</v>
      </c>
      <c r="K160" t="n" s="15">
        <v>0.0</v>
      </c>
      <c r="L160" t="n" s="15">
        <v>0.0</v>
      </c>
      <c r="M160" t="n" s="15">
        <v>0.0</v>
      </c>
      <c r="N160" t="n" s="15">
        <v>0.0</v>
      </c>
      <c r="O160" t="n" s="15">
        <v>0.0</v>
      </c>
      <c r="P160" t="n" s="15">
        <v>1471.0</v>
      </c>
      <c r="Q160" t="n" s="15">
        <v>0.0</v>
      </c>
      <c r="R160" t="n" s="15">
        <v>0.0</v>
      </c>
      <c r="S160" t="n" s="15">
        <v>0.0</v>
      </c>
      <c r="T160" t="n" s="15">
        <v>0.0</v>
      </c>
      <c r="U160" t="n" s="15">
        <v>0.0</v>
      </c>
      <c r="V160" t="n" s="15">
        <v>140.0</v>
      </c>
      <c r="W160" t="n" s="15">
        <v>40.5</v>
      </c>
      <c r="X160" t="n" s="15">
        <v>296.0</v>
      </c>
      <c r="Y160" t="n" s="15">
        <v>0.0</v>
      </c>
    </row>
    <row r="161" ht="15.0" customHeight="true">
      <c r="C161" t="s" s="15">
        <v>1680</v>
      </c>
      <c r="D161" t="n" s="15">
        <v>0.0</v>
      </c>
      <c r="E161" t="n" s="15">
        <v>0.0</v>
      </c>
      <c r="F161" t="n" s="15">
        <v>0.0</v>
      </c>
      <c r="G161" t="n" s="15">
        <v>0.0</v>
      </c>
      <c r="H161" t="n" s="15">
        <v>8.0</v>
      </c>
      <c r="I161" t="n" s="15">
        <v>16.0</v>
      </c>
      <c r="J161" t="n" s="15">
        <v>0.0</v>
      </c>
      <c r="K161" t="n" s="15">
        <v>0.0</v>
      </c>
      <c r="L161" t="n" s="15">
        <v>0.0</v>
      </c>
      <c r="M161" t="n" s="15">
        <v>0.0</v>
      </c>
      <c r="N161" t="n" s="15">
        <v>0.0</v>
      </c>
      <c r="O161" t="n" s="15">
        <v>0.0</v>
      </c>
      <c r="P161" t="n" s="15">
        <v>18.7</v>
      </c>
      <c r="Q161" t="n" s="15">
        <v>0.0</v>
      </c>
      <c r="R161" t="n" s="15">
        <v>0.0</v>
      </c>
      <c r="S161" t="n" s="15">
        <v>8.0</v>
      </c>
      <c r="T161" t="n" s="15">
        <v>0.0</v>
      </c>
      <c r="U161" t="n" s="15">
        <v>0.0</v>
      </c>
      <c r="V161" t="n" s="15">
        <v>8.0</v>
      </c>
      <c r="W161" t="n" s="15">
        <v>8.0</v>
      </c>
      <c r="X161" t="n" s="15">
        <v>0.0</v>
      </c>
      <c r="Y161" t="n" s="15">
        <v>32.0</v>
      </c>
    </row>
    <row r="162" ht="15.0" customHeight="true">
      <c r="C162" t="s" s="15">
        <v>1681</v>
      </c>
      <c r="D162" t="n" s="15">
        <v>0.0</v>
      </c>
      <c r="E162" t="n" s="15">
        <v>0.0</v>
      </c>
      <c r="F162" t="n" s="15">
        <v>0.0</v>
      </c>
      <c r="G162" t="n" s="15">
        <v>0.0</v>
      </c>
      <c r="H162" t="n" s="15">
        <v>75.0</v>
      </c>
      <c r="I162" t="n" s="15">
        <v>0.0</v>
      </c>
      <c r="J162" t="n" s="15">
        <v>0.0</v>
      </c>
      <c r="K162" t="n" s="15">
        <v>0.0</v>
      </c>
      <c r="L162" t="n" s="15">
        <v>0.0</v>
      </c>
      <c r="M162" t="n" s="15">
        <v>0.0</v>
      </c>
      <c r="N162" t="n" s="15">
        <v>0.0</v>
      </c>
      <c r="O162" t="n" s="15">
        <v>0.0</v>
      </c>
      <c r="P162" t="n" s="15">
        <v>31.0</v>
      </c>
      <c r="Q162" t="n" s="15">
        <v>6.15</v>
      </c>
      <c r="R162" t="n" s="15">
        <v>0.0</v>
      </c>
      <c r="S162" t="n" s="15">
        <v>0.0</v>
      </c>
      <c r="T162" t="n" s="15">
        <v>0.0</v>
      </c>
      <c r="U162" t="n" s="15">
        <v>447.0</v>
      </c>
      <c r="V162" t="n" s="15">
        <v>0.0</v>
      </c>
      <c r="W162" t="n" s="15">
        <v>0.0</v>
      </c>
      <c r="X162" t="n" s="15">
        <v>0.0</v>
      </c>
      <c r="Y162" t="n" s="15">
        <v>20.0</v>
      </c>
    </row>
    <row r="163" spans="1:2" x14ac:dyDescent="0.25" ht="15.0" customHeight="true">
      <c r="A163" s="1"/>
      <c r="B163" s="1"/>
      <c r="C163" t="s" s="15">
        <v>1682</v>
      </c>
      <c r="D163" t="n" s="15">
        <v>684984.55</v>
      </c>
      <c r="E163" t="n" s="15">
        <v>541234.96</v>
      </c>
      <c r="F163" t="n" s="15">
        <v>583869.08</v>
      </c>
      <c r="G163" t="n" s="15">
        <v>695160.33</v>
      </c>
      <c r="H163" t="n" s="15">
        <v>694525.73</v>
      </c>
      <c r="I163" t="n" s="15">
        <v>559618.01</v>
      </c>
      <c r="J163" t="n" s="15">
        <v>616106.1</v>
      </c>
      <c r="K163" t="n" s="15">
        <v>673771.15</v>
      </c>
      <c r="L163" t="n" s="15">
        <v>560663.51</v>
      </c>
      <c r="M163" t="n" s="15">
        <v>527771.2</v>
      </c>
      <c r="N163" t="n" s="15">
        <v>537927.77</v>
      </c>
      <c r="O163" t="n" s="15">
        <v>308561.51</v>
      </c>
      <c r="P163" t="n" s="15">
        <v>688131.15</v>
      </c>
      <c r="Q163" t="n" s="15">
        <v>348948.86</v>
      </c>
      <c r="R163" t="n" s="15">
        <v>333133.44</v>
      </c>
      <c r="S163" t="n" s="15">
        <v>704211.78</v>
      </c>
      <c r="T163" t="n" s="15">
        <v>458065.0</v>
      </c>
      <c r="U163" t="n" s="15">
        <v>383607.15</v>
      </c>
      <c r="V163" t="n" s="15">
        <v>520210.14</v>
      </c>
      <c r="W163" t="n" s="15">
        <v>591044.96</v>
      </c>
      <c r="X163" t="n" s="15">
        <v>583664.47</v>
      </c>
      <c r="Y163" t="n" s="15">
        <v>462196.11</v>
      </c>
    </row>
    <row r="164" ht="15.0" customHeight="true">
      <c r="C164" t="s" s="15">
        <v>1683</v>
      </c>
      <c r="D164" t="n" s="15">
        <v>289235.89</v>
      </c>
      <c r="E164" t="n" s="15">
        <v>81646.28</v>
      </c>
      <c r="F164" t="n" s="15">
        <v>88913.37</v>
      </c>
      <c r="G164" t="n" s="15">
        <v>71497.91</v>
      </c>
      <c r="H164" t="n" s="15">
        <v>76044.25</v>
      </c>
      <c r="I164" t="n" s="15">
        <v>61352.39</v>
      </c>
      <c r="J164" t="n" s="15">
        <v>66584.27</v>
      </c>
      <c r="K164" t="n" s="15">
        <v>67309.56</v>
      </c>
      <c r="L164" t="n" s="15">
        <v>68656.93</v>
      </c>
      <c r="M164" t="n" s="15">
        <v>58669.22</v>
      </c>
      <c r="N164" t="n" s="15">
        <v>92906.01</v>
      </c>
      <c r="O164" t="n" s="15">
        <v>46979.57</v>
      </c>
      <c r="P164" t="n" s="15">
        <v>55221.11</v>
      </c>
      <c r="Q164" t="n" s="15">
        <v>164564.35</v>
      </c>
      <c r="R164" t="n" s="15">
        <v>43355.26</v>
      </c>
      <c r="S164" t="n" s="15">
        <v>50353.72</v>
      </c>
      <c r="T164" t="n" s="15">
        <v>66319.44</v>
      </c>
      <c r="U164" t="n" s="15">
        <v>51763.03</v>
      </c>
      <c r="V164" t="n" s="15">
        <v>34807.53</v>
      </c>
      <c r="W164" t="n" s="15">
        <v>67190.87</v>
      </c>
      <c r="X164" t="n" s="15">
        <v>54920.49</v>
      </c>
      <c r="Y164" t="n" s="15">
        <v>43232.23</v>
      </c>
    </row>
    <row r="165" ht="15.0" customHeight="true">
      <c r="C165" t="s" s="15">
        <v>1684</v>
      </c>
      <c r="D165" t="n" s="15">
        <v>0.0</v>
      </c>
      <c r="E165" t="n" s="15">
        <v>0.0</v>
      </c>
      <c r="F165" t="n" s="15">
        <v>0.0</v>
      </c>
      <c r="G165" t="n" s="15">
        <v>0.0</v>
      </c>
      <c r="H165" t="n" s="15">
        <v>0.0</v>
      </c>
      <c r="I165" t="n" s="15">
        <v>0.0</v>
      </c>
      <c r="J165" t="n" s="15">
        <v>1475.0</v>
      </c>
      <c r="K165" t="n" s="15">
        <v>0.0</v>
      </c>
      <c r="L165" t="n" s="15">
        <v>0.0</v>
      </c>
      <c r="M165" t="n" s="15">
        <v>0.0</v>
      </c>
      <c r="N165" t="n" s="15">
        <v>1000.0</v>
      </c>
      <c r="O165" t="n" s="15">
        <v>0.0</v>
      </c>
      <c r="P165" t="n" s="15">
        <v>50.0</v>
      </c>
      <c r="Q165" t="n" s="15">
        <v>0.0</v>
      </c>
      <c r="R165" t="n" s="15">
        <v>0.0</v>
      </c>
      <c r="S165" t="n" s="15">
        <v>0.0</v>
      </c>
      <c r="T165" t="n" s="15">
        <v>0.0</v>
      </c>
      <c r="U165" t="n" s="15">
        <v>533.0</v>
      </c>
      <c r="V165" t="n" s="15">
        <v>2000.0</v>
      </c>
      <c r="W165" t="n" s="15">
        <v>0.0</v>
      </c>
      <c r="X165" t="n" s="15">
        <v>1990.0</v>
      </c>
      <c r="Y165" t="n" s="15">
        <v>0.0</v>
      </c>
    </row>
    <row r="166" ht="15.0" customHeight="true">
      <c r="C166" t="s" s="15">
        <v>1685</v>
      </c>
      <c r="D166" t="n" s="15">
        <v>100.0</v>
      </c>
      <c r="E166" t="n" s="15">
        <v>302.1</v>
      </c>
      <c r="F166" t="n" s="15">
        <v>4194.15</v>
      </c>
      <c r="G166" t="n" s="15">
        <v>1158.7</v>
      </c>
      <c r="H166" t="n" s="15">
        <v>23285.44</v>
      </c>
      <c r="I166" t="n" s="15">
        <v>11068.91</v>
      </c>
      <c r="J166" t="n" s="15">
        <v>18174.7</v>
      </c>
      <c r="K166" t="n" s="15">
        <v>14970.9</v>
      </c>
      <c r="L166" t="n" s="15">
        <v>2218.8</v>
      </c>
      <c r="M166" t="n" s="15">
        <v>10023.79</v>
      </c>
      <c r="N166" t="n" s="15">
        <v>9195.24</v>
      </c>
      <c r="O166" t="n" s="15">
        <v>7615.6</v>
      </c>
      <c r="P166" t="n" s="15">
        <v>140669.84</v>
      </c>
      <c r="Q166" t="n" s="15">
        <v>252.1</v>
      </c>
      <c r="R166" t="n" s="15">
        <v>16510.1</v>
      </c>
      <c r="S166" t="n" s="15">
        <v>96811.5</v>
      </c>
      <c r="T166" t="n" s="15">
        <v>55473.46</v>
      </c>
      <c r="U166" t="n" s="15">
        <v>80259.55</v>
      </c>
      <c r="V166" t="n" s="15">
        <v>149283.02</v>
      </c>
      <c r="W166" t="n" s="15">
        <v>45521.38</v>
      </c>
      <c r="X166" t="n" s="15">
        <v>155377.29</v>
      </c>
      <c r="Y166" t="n" s="15">
        <v>64113.12</v>
      </c>
    </row>
    <row r="167" ht="15.0" customHeight="true">
      <c r="C167" t="s" s="15">
        <v>1686</v>
      </c>
      <c r="D167" t="n" s="15">
        <v>0.0</v>
      </c>
      <c r="E167" t="n" s="15">
        <v>0.0</v>
      </c>
      <c r="F167" t="n" s="15">
        <v>0.0</v>
      </c>
      <c r="G167" t="n" s="15">
        <v>0.0</v>
      </c>
      <c r="H167" t="n" s="15">
        <v>0.0</v>
      </c>
      <c r="I167" t="n" s="15">
        <v>0.0</v>
      </c>
      <c r="J167" t="n" s="15">
        <v>0.0</v>
      </c>
      <c r="K167" t="n" s="15">
        <v>0.0</v>
      </c>
      <c r="L167" t="n" s="15">
        <v>0.0</v>
      </c>
      <c r="M167" t="n" s="15">
        <v>0.0</v>
      </c>
      <c r="N167" t="n" s="15">
        <v>0.0</v>
      </c>
      <c r="O167" t="n" s="15">
        <v>0.0</v>
      </c>
      <c r="P167" t="n" s="15">
        <v>3847.0</v>
      </c>
      <c r="Q167" t="n" s="15">
        <v>0.0</v>
      </c>
      <c r="R167" t="n" s="15">
        <v>200.0</v>
      </c>
      <c r="S167" t="n" s="15">
        <v>3048.0</v>
      </c>
      <c r="T167" t="n" s="15">
        <v>0.0</v>
      </c>
      <c r="U167" t="n" s="15">
        <v>0.0</v>
      </c>
      <c r="V167" t="n" s="15">
        <v>5771.0</v>
      </c>
      <c r="W167" t="n" s="15">
        <v>1741.0</v>
      </c>
      <c r="X167" t="n" s="15">
        <v>2527.0</v>
      </c>
      <c r="Y167" t="n" s="15">
        <v>0.0</v>
      </c>
    </row>
    <row r="168" ht="15.0" customHeight="true">
      <c r="C168" t="s" s="15">
        <v>1687</v>
      </c>
      <c r="D168" t="n" s="15">
        <v>0.0</v>
      </c>
      <c r="E168" t="n" s="15">
        <v>0.0</v>
      </c>
      <c r="F168" t="n" s="15">
        <v>71.9</v>
      </c>
      <c r="G168" t="n" s="15">
        <v>0.0</v>
      </c>
      <c r="H168" t="n" s="15">
        <v>0.0</v>
      </c>
      <c r="I168" t="n" s="15">
        <v>0.0</v>
      </c>
      <c r="J168" t="n" s="15">
        <v>0.0</v>
      </c>
      <c r="K168" t="n" s="15">
        <v>0.0</v>
      </c>
      <c r="L168" t="n" s="15">
        <v>0.0</v>
      </c>
      <c r="M168" t="n" s="15">
        <v>0.0</v>
      </c>
      <c r="N168" t="n" s="15">
        <v>0.0</v>
      </c>
      <c r="O168" t="n" s="15">
        <v>0.0</v>
      </c>
      <c r="P168" t="n" s="15">
        <v>0.0</v>
      </c>
      <c r="Q168" t="n" s="15">
        <v>0.0</v>
      </c>
      <c r="R168" t="n" s="15">
        <v>0.0</v>
      </c>
      <c r="S168" t="n" s="15">
        <v>0.0</v>
      </c>
      <c r="T168" t="n" s="15">
        <v>0.0</v>
      </c>
      <c r="U168" t="n" s="15">
        <v>13.5</v>
      </c>
      <c r="V168" t="n" s="15">
        <v>0.0</v>
      </c>
      <c r="W168" t="n" s="15">
        <v>0.0</v>
      </c>
      <c r="X168" t="n" s="15">
        <v>0.0</v>
      </c>
      <c r="Y168" t="n" s="15">
        <v>0.0</v>
      </c>
    </row>
    <row r="169" ht="15.0" customHeight="true">
      <c r="C169" t="s" s="15">
        <v>1688</v>
      </c>
      <c r="D169" t="n" s="15">
        <v>2323248.81</v>
      </c>
      <c r="E169" t="n" s="15">
        <v>0.0</v>
      </c>
      <c r="F169" t="n" s="15">
        <v>0.0</v>
      </c>
      <c r="G169" t="n" s="15">
        <v>0.0</v>
      </c>
      <c r="H169" t="n" s="15">
        <v>0.0</v>
      </c>
      <c r="I169" t="n" s="15">
        <v>0.0</v>
      </c>
      <c r="J169" t="n" s="15">
        <v>0.0</v>
      </c>
      <c r="K169" t="n" s="15">
        <v>8037.17</v>
      </c>
      <c r="L169" t="n" s="15">
        <v>0.0</v>
      </c>
      <c r="M169" t="n" s="15">
        <v>0.0</v>
      </c>
      <c r="N169" t="n" s="15">
        <v>0.0</v>
      </c>
      <c r="O169" t="n" s="15">
        <v>0.0</v>
      </c>
      <c r="P169" t="n" s="15">
        <v>0.0</v>
      </c>
      <c r="Q169" t="n" s="15">
        <v>0.0</v>
      </c>
      <c r="R169" t="n" s="15">
        <v>0.0</v>
      </c>
      <c r="S169" t="n" s="15">
        <v>0.0</v>
      </c>
      <c r="T169" t="n" s="15">
        <v>0.0</v>
      </c>
      <c r="U169" t="n" s="15">
        <v>0.0</v>
      </c>
      <c r="V169" t="n" s="15">
        <v>0.0</v>
      </c>
      <c r="W169" t="n" s="15">
        <v>0.0</v>
      </c>
      <c r="X169" t="n" s="15">
        <v>0.0</v>
      </c>
      <c r="Y169" t="n" s="15">
        <v>0.0</v>
      </c>
    </row>
    <row r="170" ht="15.0" customHeight="true">
      <c r="C170" t="s" s="15">
        <v>1689</v>
      </c>
      <c r="D170" t="n" s="15">
        <v>1102.52</v>
      </c>
      <c r="E170" t="n" s="15">
        <v>4036.3</v>
      </c>
      <c r="F170" t="n" s="15">
        <v>7009.7</v>
      </c>
      <c r="G170" t="n" s="15">
        <v>4318.97</v>
      </c>
      <c r="H170" t="n" s="15">
        <v>8675.42</v>
      </c>
      <c r="I170" t="n" s="15">
        <v>15036.58</v>
      </c>
      <c r="J170" t="n" s="15">
        <v>2834.54</v>
      </c>
      <c r="K170" t="n" s="15">
        <v>14123.39</v>
      </c>
      <c r="L170" t="n" s="15">
        <v>9042.21</v>
      </c>
      <c r="M170" t="n" s="15">
        <v>2262.22</v>
      </c>
      <c r="N170" t="n" s="15">
        <v>7299.29</v>
      </c>
      <c r="O170" t="n" s="15">
        <v>3962.0</v>
      </c>
      <c r="P170" t="n" s="15">
        <v>19965.2</v>
      </c>
      <c r="Q170" t="n" s="15">
        <v>271.31</v>
      </c>
      <c r="R170" t="n" s="15">
        <v>2488.0</v>
      </c>
      <c r="S170" t="n" s="15">
        <v>48767.63</v>
      </c>
      <c r="T170" t="n" s="15">
        <v>2198.0</v>
      </c>
      <c r="U170" t="n" s="15">
        <v>97.0</v>
      </c>
      <c r="V170" t="n" s="15">
        <v>24706.36</v>
      </c>
      <c r="W170" t="n" s="15">
        <v>36425.75</v>
      </c>
      <c r="X170" t="n" s="15">
        <v>20419.28</v>
      </c>
      <c r="Y170" t="n" s="15">
        <v>26127.53</v>
      </c>
    </row>
    <row r="171" ht="15.0" customHeight="true">
      <c r="C171" t="s" s="15">
        <v>1690</v>
      </c>
      <c r="D171" t="n" s="15">
        <v>87466.94</v>
      </c>
      <c r="E171" t="n" s="15">
        <v>2760.7</v>
      </c>
      <c r="F171" t="n" s="15">
        <v>13974.44</v>
      </c>
      <c r="G171" t="n" s="15">
        <v>117383.06</v>
      </c>
      <c r="H171" t="n" s="15">
        <v>16507.89</v>
      </c>
      <c r="I171" t="n" s="15">
        <v>19244.88</v>
      </c>
      <c r="J171" t="n" s="15">
        <v>18907.2</v>
      </c>
      <c r="K171" t="n" s="15">
        <v>10081.55</v>
      </c>
      <c r="L171" t="n" s="15">
        <v>10267.0</v>
      </c>
      <c r="M171" t="n" s="15">
        <v>10977.9</v>
      </c>
      <c r="N171" t="n" s="15">
        <v>24313.2</v>
      </c>
      <c r="O171" t="n" s="15">
        <v>2207.05</v>
      </c>
      <c r="P171" t="n" s="15">
        <v>1569.38</v>
      </c>
      <c r="Q171" t="n" s="15">
        <v>22111.6</v>
      </c>
      <c r="R171" t="n" s="15">
        <v>8644.26</v>
      </c>
      <c r="S171" t="n" s="15">
        <v>8611.75</v>
      </c>
      <c r="T171" t="n" s="15">
        <v>4604.26</v>
      </c>
      <c r="U171" t="n" s="15">
        <v>7919.06</v>
      </c>
      <c r="V171" t="n" s="15">
        <v>6145.93</v>
      </c>
      <c r="W171" t="n" s="15">
        <v>8123.2</v>
      </c>
      <c r="X171" t="n" s="15">
        <v>39075.26</v>
      </c>
      <c r="Y171" t="n" s="15">
        <v>1374.4</v>
      </c>
    </row>
    <row r="172" ht="15.0" customHeight="true">
      <c r="C172" t="s" s="15">
        <v>1691</v>
      </c>
      <c r="D172" t="n" s="15">
        <v>597.18</v>
      </c>
      <c r="E172" t="n" s="15">
        <v>360.0</v>
      </c>
      <c r="F172" t="n" s="15">
        <v>8415.2</v>
      </c>
      <c r="G172" t="n" s="15">
        <v>2684.96</v>
      </c>
      <c r="H172" t="n" s="15">
        <v>14414.06</v>
      </c>
      <c r="I172" t="n" s="15">
        <v>5426.55</v>
      </c>
      <c r="J172" t="n" s="15">
        <v>17998.99</v>
      </c>
      <c r="K172" t="n" s="15">
        <v>37208.6</v>
      </c>
      <c r="L172" t="n" s="15">
        <v>5351.67</v>
      </c>
      <c r="M172" t="n" s="15">
        <v>11035.92</v>
      </c>
      <c r="N172" t="n" s="15">
        <v>3337.9</v>
      </c>
      <c r="O172" t="n" s="15">
        <v>0.0</v>
      </c>
      <c r="P172" t="n" s="15">
        <v>489.5</v>
      </c>
      <c r="Q172" t="n" s="15">
        <v>14.6</v>
      </c>
      <c r="R172" t="n" s="15">
        <v>0.0</v>
      </c>
      <c r="S172" t="n" s="15">
        <v>0.0</v>
      </c>
      <c r="T172" t="n" s="15">
        <v>0.0</v>
      </c>
      <c r="U172" t="n" s="15">
        <v>0.0</v>
      </c>
      <c r="V172" t="n" s="15">
        <v>60.0</v>
      </c>
      <c r="W172" t="n" s="15">
        <v>0.0</v>
      </c>
      <c r="X172" t="n" s="15">
        <v>0.0</v>
      </c>
      <c r="Y172" t="n" s="15">
        <v>0.0</v>
      </c>
    </row>
    <row r="173" spans="1:2" x14ac:dyDescent="0.25" ht="15.0" customHeight="true">
      <c r="A173" s="1"/>
      <c r="B173" s="1"/>
      <c r="C173" t="s" s="15">
        <v>1692</v>
      </c>
      <c r="D173" t="n" s="15">
        <v>259.02</v>
      </c>
      <c r="E173" t="n" s="15">
        <v>2992.1</v>
      </c>
      <c r="F173" t="n" s="15">
        <v>2318.0</v>
      </c>
      <c r="G173" t="n" s="15">
        <v>1684.49</v>
      </c>
      <c r="H173" t="n" s="15">
        <v>4896.15</v>
      </c>
      <c r="I173" t="n" s="15">
        <v>12145.28</v>
      </c>
      <c r="J173" t="n" s="15">
        <v>2241.98</v>
      </c>
      <c r="K173" t="n" s="15">
        <v>7317.29</v>
      </c>
      <c r="L173" t="n" s="15">
        <v>5182.05</v>
      </c>
      <c r="M173" t="n" s="15">
        <v>1655.22</v>
      </c>
      <c r="N173" t="n" s="15">
        <v>2920.38</v>
      </c>
      <c r="O173" t="n" s="15">
        <v>3962.0</v>
      </c>
      <c r="P173" t="n" s="15">
        <v>19796.2</v>
      </c>
      <c r="Q173" t="n" s="15">
        <v>271.31</v>
      </c>
      <c r="R173" t="n" s="15">
        <v>2488.0</v>
      </c>
      <c r="S173" t="n" s="15">
        <v>48697.63</v>
      </c>
      <c r="T173" t="n" s="15">
        <v>2198.0</v>
      </c>
      <c r="U173" t="n" s="15">
        <v>97.0</v>
      </c>
      <c r="V173" t="n" s="15">
        <v>23036.86</v>
      </c>
      <c r="W173" t="n" s="15">
        <v>33893.75</v>
      </c>
      <c r="X173" t="n" s="15">
        <v>18746.78</v>
      </c>
      <c r="Y173" t="n" s="15">
        <v>24932.53</v>
      </c>
    </row>
    <row r="174" ht="15.0" customHeight="true">
      <c r="C174" t="s" s="15">
        <v>1693</v>
      </c>
      <c r="D174" t="n" s="15">
        <v>29018.21</v>
      </c>
      <c r="E174" t="n" s="15">
        <v>0.0</v>
      </c>
      <c r="F174" t="n" s="15">
        <v>1675.0</v>
      </c>
      <c r="G174" t="n" s="15">
        <v>0.0</v>
      </c>
      <c r="H174" t="n" s="15">
        <v>0.0</v>
      </c>
      <c r="I174" t="n" s="15">
        <v>0.0</v>
      </c>
      <c r="J174" t="n" s="15">
        <v>0.0</v>
      </c>
      <c r="K174" t="n" s="15">
        <v>0.0</v>
      </c>
      <c r="L174" t="n" s="15">
        <v>0.0</v>
      </c>
      <c r="M174" t="n" s="15">
        <v>0.0</v>
      </c>
      <c r="N174" t="n" s="15">
        <v>0.0</v>
      </c>
      <c r="O174" t="n" s="15">
        <v>0.0</v>
      </c>
      <c r="P174" t="n" s="15">
        <v>0.0</v>
      </c>
      <c r="Q174" t="n" s="15">
        <v>0.0</v>
      </c>
      <c r="R174" t="n" s="15">
        <v>0.0</v>
      </c>
      <c r="S174" t="n" s="15">
        <v>488.1</v>
      </c>
      <c r="T174" t="n" s="15">
        <v>1561.05</v>
      </c>
      <c r="U174" t="n" s="15">
        <v>0.0</v>
      </c>
      <c r="V174" t="n" s="15">
        <v>0.0</v>
      </c>
      <c r="W174" t="n" s="15">
        <v>400.0</v>
      </c>
      <c r="X174" t="n" s="15">
        <v>3588.0</v>
      </c>
      <c r="Y174" t="n" s="15">
        <v>0.0</v>
      </c>
    </row>
    <row r="175" ht="15.0" customHeight="true">
      <c r="C175" t="s" s="15">
        <v>1694</v>
      </c>
      <c r="D175" t="n" s="15">
        <v>349.0</v>
      </c>
      <c r="E175" t="n" s="15">
        <v>1360.81</v>
      </c>
      <c r="F175" t="n" s="15">
        <v>2143.2</v>
      </c>
      <c r="G175" t="n" s="15">
        <v>1346.3</v>
      </c>
      <c r="H175" t="n" s="15">
        <v>21876.58</v>
      </c>
      <c r="I175" t="n" s="15">
        <v>10647.93</v>
      </c>
      <c r="J175" t="n" s="15">
        <v>24492.14</v>
      </c>
      <c r="K175" t="n" s="15">
        <v>36952.05</v>
      </c>
      <c r="L175" t="n" s="15">
        <v>5544.62</v>
      </c>
      <c r="M175" t="n" s="15">
        <v>10256.95</v>
      </c>
      <c r="N175" t="n" s="15">
        <v>2518.1</v>
      </c>
      <c r="O175" t="n" s="15">
        <v>4696.0</v>
      </c>
      <c r="P175" t="n" s="15">
        <v>52843.62</v>
      </c>
      <c r="Q175" t="n" s="15">
        <v>636.0</v>
      </c>
      <c r="R175" t="n" s="15">
        <v>7201.0</v>
      </c>
      <c r="S175" t="n" s="15">
        <v>35300.0</v>
      </c>
      <c r="T175" t="n" s="15">
        <v>64052.92</v>
      </c>
      <c r="U175" t="n" s="15">
        <v>606.0</v>
      </c>
      <c r="V175" t="n" s="15">
        <v>24908.15</v>
      </c>
      <c r="W175" t="n" s="15">
        <v>111603.09</v>
      </c>
      <c r="X175" t="n" s="15">
        <v>52031.83</v>
      </c>
      <c r="Y175" t="n" s="15">
        <v>11395.0</v>
      </c>
    </row>
    <row r="176" ht="15.0" customHeight="true">
      <c r="C176" t="s" s="15">
        <v>1695</v>
      </c>
      <c r="D176" t="n" s="15">
        <v>7948.53</v>
      </c>
      <c r="E176" t="n" s="15">
        <v>793.51</v>
      </c>
      <c r="F176" t="n" s="15">
        <v>345.39</v>
      </c>
      <c r="G176" t="n" s="15">
        <v>821.08</v>
      </c>
      <c r="H176" t="n" s="15">
        <v>414.36</v>
      </c>
      <c r="I176" t="n" s="15">
        <v>473.83</v>
      </c>
      <c r="J176" t="n" s="15">
        <v>1577.35</v>
      </c>
      <c r="K176" t="n" s="15">
        <v>692.29</v>
      </c>
      <c r="L176" t="n" s="15">
        <v>1310.74</v>
      </c>
      <c r="M176" t="n" s="15">
        <v>729.42</v>
      </c>
      <c r="N176" t="n" s="15">
        <v>1683.18</v>
      </c>
      <c r="O176" t="n" s="15">
        <v>548.99</v>
      </c>
      <c r="P176" t="n" s="15">
        <v>459.65</v>
      </c>
      <c r="Q176" t="n" s="15">
        <v>1776.51</v>
      </c>
      <c r="R176" t="n" s="15">
        <v>343.0</v>
      </c>
      <c r="S176" t="n" s="15">
        <v>2009.69</v>
      </c>
      <c r="T176" t="n" s="15">
        <v>850.97</v>
      </c>
      <c r="U176" t="n" s="15">
        <v>1173.54</v>
      </c>
      <c r="V176" t="n" s="15">
        <v>926.1</v>
      </c>
      <c r="W176" t="n" s="15">
        <v>146.84</v>
      </c>
      <c r="X176" t="n" s="15">
        <v>904.28</v>
      </c>
      <c r="Y176" t="n" s="15">
        <v>496.29</v>
      </c>
    </row>
    <row r="177" ht="15.0" customHeight="true">
      <c r="C177" t="s" s="15">
        <v>1696</v>
      </c>
      <c r="D177" t="n" s="15">
        <v>0.0</v>
      </c>
      <c r="E177" t="n" s="15">
        <v>0.0</v>
      </c>
      <c r="F177" t="n" s="15">
        <v>0.0</v>
      </c>
      <c r="G177" t="n" s="15">
        <v>0.0</v>
      </c>
      <c r="H177" t="n" s="15">
        <v>0.0</v>
      </c>
      <c r="I177" t="n" s="15">
        <v>0.0</v>
      </c>
      <c r="J177" t="n" s="15">
        <v>0.0</v>
      </c>
      <c r="K177" t="n" s="15">
        <v>0.0</v>
      </c>
      <c r="L177" t="n" s="15">
        <v>0.0</v>
      </c>
      <c r="M177" t="n" s="15">
        <v>0.0</v>
      </c>
      <c r="N177" t="n" s="15">
        <v>0.0</v>
      </c>
      <c r="O177" t="n" s="15">
        <v>0.0</v>
      </c>
      <c r="P177" t="n" s="15">
        <v>0.0</v>
      </c>
      <c r="Q177" t="n" s="15">
        <v>0.0</v>
      </c>
      <c r="R177" t="n" s="15">
        <v>0.0</v>
      </c>
      <c r="S177" t="n" s="15">
        <v>0.0</v>
      </c>
      <c r="T177" t="n" s="15">
        <v>0.0</v>
      </c>
      <c r="U177" t="n" s="15">
        <v>0.0</v>
      </c>
      <c r="V177" t="n" s="15">
        <v>30.0</v>
      </c>
      <c r="W177" t="n" s="15">
        <v>0.0</v>
      </c>
      <c r="X177" t="n" s="15">
        <v>0.0</v>
      </c>
      <c r="Y177" t="n" s="15">
        <v>0.0</v>
      </c>
    </row>
    <row r="178" ht="15.0" customHeight="true">
      <c r="C178" t="s" s="15">
        <v>1697</v>
      </c>
      <c r="D178" t="n" s="15">
        <v>0.0</v>
      </c>
      <c r="E178" t="n" s="15">
        <v>0.0</v>
      </c>
      <c r="F178" t="n" s="15">
        <v>0.0</v>
      </c>
      <c r="G178" t="n" s="15">
        <v>0.0</v>
      </c>
      <c r="H178" t="n" s="15">
        <v>0.0</v>
      </c>
      <c r="I178" t="n" s="15">
        <v>0.0</v>
      </c>
      <c r="J178" t="n" s="15">
        <v>0.0</v>
      </c>
      <c r="K178" t="n" s="15">
        <v>0.0</v>
      </c>
      <c r="L178" t="n" s="15">
        <v>0.0</v>
      </c>
      <c r="M178" t="n" s="15">
        <v>0.0</v>
      </c>
      <c r="N178" t="n" s="15">
        <v>0.0</v>
      </c>
      <c r="O178" t="n" s="15">
        <v>0.0</v>
      </c>
      <c r="P178" t="n" s="15">
        <v>0.0</v>
      </c>
      <c r="Q178" t="n" s="15">
        <v>0.0</v>
      </c>
      <c r="R178" t="n" s="15">
        <v>0.0</v>
      </c>
      <c r="S178" t="n" s="15">
        <v>0.0</v>
      </c>
      <c r="T178" t="n" s="15">
        <v>0.0</v>
      </c>
      <c r="U178" t="n" s="15">
        <v>0.0</v>
      </c>
      <c r="V178" t="n" s="15">
        <v>0.0</v>
      </c>
      <c r="W178" t="n" s="15">
        <v>20.0</v>
      </c>
      <c r="X178" t="n" s="15">
        <v>0.0</v>
      </c>
      <c r="Y178" t="n" s="15">
        <v>0.0</v>
      </c>
    </row>
    <row r="179" ht="15.0" customHeight="true">
      <c r="C179" t="s" s="15">
        <v>1698</v>
      </c>
      <c r="D179" t="n" s="15">
        <v>71223.328117</v>
      </c>
      <c r="E179" t="n" s="15">
        <v>35094.332113</v>
      </c>
      <c r="F179" t="n" s="15">
        <v>65762.368046</v>
      </c>
      <c r="G179" t="n" s="15">
        <v>46407.703043</v>
      </c>
      <c r="H179" t="n" s="15">
        <v>25351.836134</v>
      </c>
      <c r="I179" t="n" s="15">
        <v>23703.279741</v>
      </c>
      <c r="J179" t="n" s="15">
        <v>35970.847311</v>
      </c>
      <c r="K179" t="n" s="15">
        <v>22833.659978</v>
      </c>
      <c r="L179" t="n" s="15">
        <v>28485.497322</v>
      </c>
      <c r="M179" t="n" s="15">
        <v>21639.394354</v>
      </c>
      <c r="N179" t="n" s="15">
        <v>27956.208135</v>
      </c>
      <c r="O179" t="n" s="15">
        <v>14146.551158</v>
      </c>
      <c r="P179" t="n" s="15">
        <v>11597.541392</v>
      </c>
      <c r="Q179" t="n" s="15">
        <v>15177.762158</v>
      </c>
      <c r="R179" t="n" s="15">
        <v>12642.146629</v>
      </c>
      <c r="S179" t="n" s="15">
        <v>11068.499827</v>
      </c>
      <c r="T179" t="n" s="15">
        <v>11179.414553</v>
      </c>
      <c r="U179" t="n" s="15">
        <v>15274.999445</v>
      </c>
      <c r="V179" t="n" s="15">
        <v>9852.759867</v>
      </c>
      <c r="W179" t="n" s="15">
        <v>14722.371037</v>
      </c>
      <c r="X179" t="n" s="15">
        <v>10154.255718</v>
      </c>
      <c r="Y179" t="n" s="15">
        <v>11853.957141</v>
      </c>
    </row>
    <row r="180" ht="15.0" customHeight="true">
      <c r="C180" t="s" s="15">
        <v>1699</v>
      </c>
      <c r="D180" t="n" s="15">
        <v>0.0</v>
      </c>
      <c r="E180" t="n" s="15">
        <v>51.1</v>
      </c>
      <c r="F180" t="n" s="15">
        <v>4788.81</v>
      </c>
      <c r="G180" t="n" s="15">
        <v>1007.0</v>
      </c>
      <c r="H180" t="n" s="15">
        <v>21233.51</v>
      </c>
      <c r="I180" t="n" s="15">
        <v>12702.16</v>
      </c>
      <c r="J180" t="n" s="15">
        <v>19681.5</v>
      </c>
      <c r="K180" t="n" s="15">
        <v>16371.2</v>
      </c>
      <c r="L180" t="n" s="15">
        <v>1531.5</v>
      </c>
      <c r="M180" t="n" s="15">
        <v>11200.7</v>
      </c>
      <c r="N180" t="n" s="15">
        <v>5340.0</v>
      </c>
      <c r="O180" t="n" s="15">
        <v>4835.5</v>
      </c>
      <c r="P180" t="n" s="15">
        <v>137288.58</v>
      </c>
      <c r="Q180" t="n" s="15">
        <v>368.19</v>
      </c>
      <c r="R180" t="n" s="15">
        <v>11084.0</v>
      </c>
      <c r="S180" t="n" s="15">
        <v>91307.75</v>
      </c>
      <c r="T180" t="n" s="15">
        <v>54113.97</v>
      </c>
      <c r="U180" t="n" s="15">
        <v>80575.85</v>
      </c>
      <c r="V180" t="n" s="15">
        <v>126801.53</v>
      </c>
      <c r="W180" t="n" s="15">
        <v>46950.03</v>
      </c>
      <c r="X180" t="n" s="15">
        <v>146119.5</v>
      </c>
      <c r="Y180" t="n" s="15">
        <v>64202.21</v>
      </c>
    </row>
    <row r="181" ht="15.0" customHeight="true">
      <c r="C181" t="s" s="15">
        <v>1700</v>
      </c>
      <c r="D181" t="n" s="15">
        <v>287.02</v>
      </c>
      <c r="E181" t="n" s="15">
        <v>4099.1</v>
      </c>
      <c r="F181" t="n" s="15">
        <v>3412.2</v>
      </c>
      <c r="G181" t="n" s="15">
        <v>651.56</v>
      </c>
      <c r="H181" t="n" s="15">
        <v>5588.47</v>
      </c>
      <c r="I181" t="n" s="15">
        <v>14638.8</v>
      </c>
      <c r="J181" t="n" s="15">
        <v>2707.62</v>
      </c>
      <c r="K181" t="n" s="15">
        <v>8724.78</v>
      </c>
      <c r="L181" t="n" s="15">
        <v>7283.29</v>
      </c>
      <c r="M181" t="n" s="15">
        <v>1450.32</v>
      </c>
      <c r="N181" t="n" s="15">
        <v>4978.6</v>
      </c>
      <c r="O181" t="n" s="15">
        <v>4751.0</v>
      </c>
      <c r="P181" t="n" s="15">
        <v>26657.5</v>
      </c>
      <c r="Q181" t="n" s="15">
        <v>287.81</v>
      </c>
      <c r="R181" t="n" s="15">
        <v>1967.0</v>
      </c>
      <c r="S181" t="n" s="15">
        <v>56098.73</v>
      </c>
      <c r="T181" t="n" s="15">
        <v>2696.0</v>
      </c>
      <c r="U181" t="n" s="15">
        <v>476.0</v>
      </c>
      <c r="V181" t="n" s="15">
        <v>20854.11</v>
      </c>
      <c r="W181" t="n" s="15">
        <v>38443.05</v>
      </c>
      <c r="X181" t="n" s="15">
        <v>19650.78</v>
      </c>
      <c r="Y181" t="n" s="15">
        <v>26957.42</v>
      </c>
    </row>
    <row r="182" ht="15.0" customHeight="true">
      <c r="C182" t="s" s="15">
        <v>1701</v>
      </c>
      <c r="D182" t="n" s="15">
        <v>524940.34</v>
      </c>
      <c r="E182" t="n" s="15">
        <v>485117.02</v>
      </c>
      <c r="F182" t="n" s="15">
        <v>542390.99</v>
      </c>
      <c r="G182" t="n" s="15">
        <v>539660.75</v>
      </c>
      <c r="H182" t="n" s="15">
        <v>548408.27</v>
      </c>
      <c r="I182" t="n" s="15">
        <v>555565.05</v>
      </c>
      <c r="J182" t="n" s="15">
        <v>546387.43</v>
      </c>
      <c r="K182" t="n" s="15">
        <v>614891.31</v>
      </c>
      <c r="L182" t="n" s="15">
        <v>475661.14</v>
      </c>
      <c r="M182" t="n" s="15">
        <v>489343.62</v>
      </c>
      <c r="N182" t="n" s="15">
        <v>469829.37</v>
      </c>
      <c r="O182" t="n" s="15">
        <v>243247.56</v>
      </c>
      <c r="P182" t="n" s="15">
        <v>644537.99</v>
      </c>
      <c r="Q182" t="n" s="15">
        <v>295696.21</v>
      </c>
      <c r="R182" t="n" s="15">
        <v>257236.0</v>
      </c>
      <c r="S182" t="n" s="15">
        <v>637542.59</v>
      </c>
      <c r="T182" t="n" s="15">
        <v>407041.44</v>
      </c>
      <c r="U182" t="n" s="15">
        <v>360430.38</v>
      </c>
      <c r="V182" t="n" s="15">
        <v>437331.65</v>
      </c>
      <c r="W182" t="n" s="15">
        <v>527630.86</v>
      </c>
      <c r="X182" t="n" s="15">
        <v>528784.01</v>
      </c>
      <c r="Y182" t="n" s="15">
        <v>419238.35</v>
      </c>
    </row>
    <row r="183" ht="15.0" customHeight="true">
      <c r="C183" t="s" s="15">
        <v>1702</v>
      </c>
      <c r="D183" t="n" s="15">
        <v>-959862.18</v>
      </c>
      <c r="E183" t="n" s="15">
        <v>358738.98</v>
      </c>
      <c r="F183" t="n" s="15">
        <v>371484.13</v>
      </c>
      <c r="G183" t="n" s="15">
        <v>411261.09</v>
      </c>
      <c r="H183" t="n" s="15">
        <v>428424.64</v>
      </c>
      <c r="I183" t="n" s="15">
        <v>432560.77</v>
      </c>
      <c r="J183" t="n" s="15">
        <v>414351.47</v>
      </c>
      <c r="K183" t="n" s="15">
        <v>496291.22</v>
      </c>
      <c r="L183" t="n" s="15">
        <v>360710.38</v>
      </c>
      <c r="M183" t="n" s="15">
        <v>390540.08</v>
      </c>
      <c r="N183" t="n" s="15">
        <v>342677.49</v>
      </c>
      <c r="O183" t="n" s="15">
        <v>174352.7</v>
      </c>
      <c r="P183" t="n" s="15">
        <v>553740.34</v>
      </c>
      <c r="Q183" t="n" s="15">
        <v>-38376.07</v>
      </c>
      <c r="R183" t="n" s="15">
        <v>200254.77</v>
      </c>
      <c r="S183" t="n" s="15">
        <v>548855.56</v>
      </c>
      <c r="T183" t="n" s="15">
        <v>324515.79</v>
      </c>
      <c r="U183" t="n" s="15">
        <v>271027.2</v>
      </c>
      <c r="V183" t="n" s="15">
        <v>377482.03</v>
      </c>
      <c r="W183" t="n" s="15">
        <v>430860.82</v>
      </c>
      <c r="X183" t="n" s="15">
        <v>440450.79</v>
      </c>
      <c r="Y183" t="n" s="15">
        <v>348563.66</v>
      </c>
    </row>
    <row r="184" ht="15.0" customHeight="true">
      <c r="C184" t="s" s="15">
        <v>1703</v>
      </c>
      <c r="D184" t="n" s="15">
        <v>768.0</v>
      </c>
      <c r="E184" t="n" s="15">
        <v>445.0</v>
      </c>
      <c r="F184" t="n" s="15">
        <v>1023.0</v>
      </c>
      <c r="G184" t="n" s="15">
        <v>960.0</v>
      </c>
      <c r="H184" t="n" s="15">
        <v>1853.0</v>
      </c>
      <c r="I184" t="n" s="15">
        <v>850.0</v>
      </c>
      <c r="J184" t="n" s="15">
        <v>493.0</v>
      </c>
      <c r="K184" t="n" s="15">
        <v>1825.0</v>
      </c>
      <c r="L184" t="n" s="15">
        <v>600.0</v>
      </c>
      <c r="M184" t="n" s="15">
        <v>716.0</v>
      </c>
      <c r="N184" t="n" s="15">
        <v>1605.77</v>
      </c>
      <c r="O184" t="n" s="15">
        <v>700.0</v>
      </c>
      <c r="P184" t="n" s="15">
        <v>1792.0</v>
      </c>
      <c r="Q184" t="n" s="15">
        <v>1390.0</v>
      </c>
      <c r="R184" t="n" s="15">
        <v>450.0</v>
      </c>
      <c r="S184" t="n" s="15">
        <v>1690.0</v>
      </c>
      <c r="T184" t="n" s="15">
        <v>1387.0</v>
      </c>
      <c r="U184" t="n" s="15">
        <v>1350.0</v>
      </c>
      <c r="V184" t="n" s="15">
        <v>1600.0</v>
      </c>
      <c r="W184" t="n" s="15">
        <v>670.0</v>
      </c>
      <c r="X184" t="n" s="15">
        <v>4000.0</v>
      </c>
      <c r="Y184" t="n" s="15">
        <v>970.0</v>
      </c>
    </row>
    <row r="185" ht="15.0" customHeight="true">
      <c r="C185" t="s" s="15">
        <v>1704</v>
      </c>
      <c r="D185" t="n" s="15">
        <v>21764.0</v>
      </c>
      <c r="E185" t="n" s="15">
        <v>29018.0</v>
      </c>
      <c r="F185" t="n" s="15">
        <v>40338.0</v>
      </c>
      <c r="G185" t="n" s="15">
        <v>34307.0</v>
      </c>
      <c r="H185" t="n" s="15">
        <v>46743.0</v>
      </c>
      <c r="I185" t="n" s="15">
        <v>48235.0</v>
      </c>
      <c r="J185" t="n" s="15">
        <v>74013.0</v>
      </c>
      <c r="K185" t="n" s="15">
        <v>69367.0</v>
      </c>
      <c r="L185" t="n" s="15">
        <v>34142.0</v>
      </c>
      <c r="M185" t="n" s="15">
        <v>45717.0</v>
      </c>
      <c r="N185" t="n" s="15">
        <v>31910.0</v>
      </c>
      <c r="O185" t="n" s="15">
        <v>100.0</v>
      </c>
      <c r="P185" t="n" s="15">
        <v>100.0</v>
      </c>
      <c r="Q185" t="n" s="15">
        <v>100.0</v>
      </c>
      <c r="R185" t="n" s="15">
        <v>100.0</v>
      </c>
      <c r="S185" t="n" s="15">
        <v>100.0</v>
      </c>
      <c r="T185" t="n" s="15">
        <v>100.0</v>
      </c>
      <c r="U185" t="n" s="15">
        <v>100.0</v>
      </c>
      <c r="V185" t="n" s="15">
        <v>100.0</v>
      </c>
      <c r="W185" t="n" s="15">
        <v>100.0</v>
      </c>
      <c r="X185" t="n" s="15">
        <v>100.0</v>
      </c>
      <c r="Y185" t="n" s="15">
        <v>100.0</v>
      </c>
    </row>
    <row r="186" spans="1:2" x14ac:dyDescent="0.25" ht="15.0" customHeight="true">
      <c r="A186" s="1"/>
      <c r="B186" s="1"/>
      <c r="C186" t="s" s="15">
        <v>1705</v>
      </c>
      <c r="D186" t="n" s="15">
        <v>323.5</v>
      </c>
      <c r="E186" t="n" s="15">
        <v>1100.2</v>
      </c>
      <c r="F186" t="n" s="15">
        <v>5673.8</v>
      </c>
      <c r="G186" t="n" s="15">
        <v>1835.98</v>
      </c>
      <c r="H186" t="n" s="15">
        <v>4349.67</v>
      </c>
      <c r="I186" t="n" s="15">
        <v>3891.85</v>
      </c>
      <c r="J186" t="n" s="15">
        <v>684.91</v>
      </c>
      <c r="K186" t="n" s="15">
        <v>7030.6</v>
      </c>
      <c r="L186" t="n" s="15">
        <v>4961.38</v>
      </c>
      <c r="M186" t="n" s="15">
        <v>805.5</v>
      </c>
      <c r="N186" t="n" s="15">
        <v>4692.81</v>
      </c>
      <c r="O186" t="n" s="15">
        <v>0.0</v>
      </c>
      <c r="P186" t="n" s="15">
        <v>258.0</v>
      </c>
      <c r="Q186" t="n" s="15">
        <v>0.0</v>
      </c>
      <c r="R186" t="n" s="15">
        <v>0.0</v>
      </c>
      <c r="S186" t="n" s="15">
        <v>140.0</v>
      </c>
      <c r="T186" t="n" s="15">
        <v>40.0</v>
      </c>
      <c r="U186" t="n" s="15">
        <v>0.0</v>
      </c>
      <c r="V186" t="n" s="15">
        <v>2084.5</v>
      </c>
      <c r="W186" t="n" s="15">
        <v>2545.0</v>
      </c>
      <c r="X186" t="n" s="15">
        <v>1833.5</v>
      </c>
      <c r="Y186" t="n" s="15">
        <v>1567.0</v>
      </c>
    </row>
    <row r="187" ht="15.0" customHeight="true">
      <c r="C187" t="s" s="15">
        <v>1706</v>
      </c>
      <c r="D187" t="n" s="15">
        <v>-718211.21</v>
      </c>
      <c r="E187" t="n" s="15">
        <v>422926.59</v>
      </c>
      <c r="F187" t="n" s="15">
        <v>448050.26</v>
      </c>
      <c r="G187" t="n" s="15">
        <v>472999.53</v>
      </c>
      <c r="H187" t="n" s="15">
        <v>492849.29</v>
      </c>
      <c r="I187" t="n" s="15">
        <v>511052.25</v>
      </c>
      <c r="J187" t="n" s="15">
        <v>482163.5</v>
      </c>
      <c r="K187" t="n" s="15">
        <v>558848.92</v>
      </c>
      <c r="L187" t="n" s="15">
        <v>420940.34</v>
      </c>
      <c r="M187" t="n" s="15">
        <v>446110.94</v>
      </c>
      <c r="N187" t="n" s="15">
        <v>413084.12</v>
      </c>
      <c r="O187" t="n" s="15">
        <v>209826.46</v>
      </c>
      <c r="P187" t="n" s="15">
        <v>597991.71</v>
      </c>
      <c r="Q187" t="n" s="15">
        <v>118914.44</v>
      </c>
      <c r="R187" t="n" s="15">
        <v>234086.23</v>
      </c>
      <c r="S187" t="n" s="15">
        <v>589570.16</v>
      </c>
      <c r="T187" t="n" s="15">
        <v>375118.45</v>
      </c>
      <c r="U187" t="n" s="15">
        <v>325694.95</v>
      </c>
      <c r="V187" t="n" s="15">
        <v>406511.96</v>
      </c>
      <c r="W187" t="n" s="15">
        <v>485930.36</v>
      </c>
      <c r="X187" t="n" s="15">
        <v>495570.28</v>
      </c>
      <c r="Y187" t="n" s="15">
        <v>384635.37</v>
      </c>
    </row>
    <row r="188" ht="15.0" customHeight="true">
      <c r="C188" t="s" s="15">
        <v>1707</v>
      </c>
      <c r="D188" t="n" s="15">
        <v>8559.5</v>
      </c>
      <c r="E188" t="n" s="15">
        <v>1784.4</v>
      </c>
      <c r="F188" t="n" s="15">
        <v>14312.34</v>
      </c>
      <c r="G188" t="n" s="15">
        <v>42038.45</v>
      </c>
      <c r="H188" t="n" s="15">
        <v>13198.47</v>
      </c>
      <c r="I188" t="n" s="15">
        <v>20070.44</v>
      </c>
      <c r="J188" t="n" s="15">
        <v>15225.1</v>
      </c>
      <c r="K188" t="n" s="15">
        <v>9959.3</v>
      </c>
      <c r="L188" t="n" s="15">
        <v>11793.0</v>
      </c>
      <c r="M188" t="n" s="15">
        <v>12132.2</v>
      </c>
      <c r="N188" t="n" s="15">
        <v>12354.6</v>
      </c>
      <c r="O188" t="n" s="15">
        <v>2445.23</v>
      </c>
      <c r="P188" t="n" s="15">
        <v>1988.65</v>
      </c>
      <c r="Q188" t="n" s="15">
        <v>25242.87</v>
      </c>
      <c r="R188" t="n" s="15">
        <v>9580.0</v>
      </c>
      <c r="S188" t="n" s="15">
        <v>9459.77</v>
      </c>
      <c r="T188" t="n" s="15">
        <v>5640.77</v>
      </c>
      <c r="U188" t="n" s="15">
        <v>9884.08</v>
      </c>
      <c r="V188" t="n" s="15">
        <v>6762.86</v>
      </c>
      <c r="W188" t="n" s="15">
        <v>8600.0</v>
      </c>
      <c r="X188" t="n" s="15">
        <v>42727.43</v>
      </c>
      <c r="Y188" t="n" s="15">
        <v>1457.2</v>
      </c>
    </row>
    <row r="189" ht="15.0" customHeight="true">
      <c r="C189" t="s" s="15">
        <v>1708</v>
      </c>
      <c r="D189" t="n" s="15">
        <v>0.0</v>
      </c>
      <c r="E189" t="n" s="15">
        <v>0.0</v>
      </c>
      <c r="F189" t="n" s="15">
        <v>0.0</v>
      </c>
      <c r="G189" t="n" s="15">
        <v>0.0</v>
      </c>
      <c r="H189" t="n" s="15">
        <v>0.0</v>
      </c>
      <c r="I189" t="n" s="15">
        <v>0.0</v>
      </c>
      <c r="J189" t="n" s="15">
        <v>0.0</v>
      </c>
      <c r="K189" t="n" s="15">
        <v>0.0</v>
      </c>
      <c r="L189" t="n" s="15">
        <v>0.0</v>
      </c>
      <c r="M189" t="n" s="15">
        <v>0.0</v>
      </c>
      <c r="N189" t="n" s="15">
        <v>0.0</v>
      </c>
      <c r="O189" t="n" s="15">
        <v>0.0</v>
      </c>
      <c r="P189" t="n" s="15">
        <v>1542.0</v>
      </c>
      <c r="Q189" t="n" s="15">
        <v>0.0</v>
      </c>
      <c r="R189" t="n" s="15">
        <v>0.0</v>
      </c>
      <c r="S189" t="n" s="15">
        <v>0.0</v>
      </c>
      <c r="T189" t="n" s="15">
        <v>0.0</v>
      </c>
      <c r="U189" t="n" s="15">
        <v>0.0</v>
      </c>
      <c r="V189" t="n" s="15">
        <v>808.0</v>
      </c>
      <c r="W189" t="n" s="15">
        <v>409.5</v>
      </c>
      <c r="X189" t="n" s="15">
        <v>754.86</v>
      </c>
      <c r="Y189" t="n" s="15">
        <v>0.0</v>
      </c>
    </row>
    <row r="190" ht="15.0" customHeight="true">
      <c r="C190" t="s" s="15">
        <v>1709</v>
      </c>
      <c r="D190" t="n" s="15">
        <v>0.0</v>
      </c>
      <c r="E190" t="n" s="15">
        <v>0.0</v>
      </c>
      <c r="F190" t="n" s="15">
        <v>0.0</v>
      </c>
      <c r="G190" t="n" s="15">
        <v>0.0</v>
      </c>
      <c r="H190" t="n" s="15">
        <v>0.0</v>
      </c>
      <c r="I190" t="n" s="15">
        <v>15.0</v>
      </c>
      <c r="J190" t="n" s="15">
        <v>0.0</v>
      </c>
      <c r="K190" t="n" s="15">
        <v>0.0</v>
      </c>
      <c r="L190" t="n" s="15">
        <v>0.0</v>
      </c>
      <c r="M190" t="n" s="15">
        <v>0.0</v>
      </c>
      <c r="N190" t="n" s="15">
        <v>0.0</v>
      </c>
      <c r="O190" t="n" s="15">
        <v>0.0</v>
      </c>
      <c r="P190" t="n" s="15">
        <v>0.0</v>
      </c>
      <c r="Q190" t="n" s="15">
        <v>0.0</v>
      </c>
      <c r="R190" t="n" s="15">
        <v>0.0</v>
      </c>
      <c r="S190" t="n" s="15">
        <v>0.0</v>
      </c>
      <c r="T190" t="n" s="15">
        <v>0.0</v>
      </c>
      <c r="U190" t="n" s="15">
        <v>0.0</v>
      </c>
      <c r="V190" t="n" s="15">
        <v>0.0</v>
      </c>
      <c r="W190" t="n" s="15">
        <v>0.0</v>
      </c>
      <c r="X190" t="n" s="15">
        <v>0.0</v>
      </c>
      <c r="Y190" t="n" s="15">
        <v>0.0</v>
      </c>
    </row>
    <row r="191" ht="15.0" customHeight="true">
      <c r="C191" t="s" s="15">
        <v>1710</v>
      </c>
      <c r="D191" t="n" s="15">
        <v>0.0</v>
      </c>
      <c r="E191" t="n" s="15">
        <v>10946.0</v>
      </c>
      <c r="F191" t="n" s="15">
        <v>19795.0</v>
      </c>
      <c r="G191" t="n" s="15">
        <v>8107.0</v>
      </c>
      <c r="H191" t="n" s="15">
        <v>12499.7</v>
      </c>
      <c r="I191" t="n" s="15">
        <v>19720.5</v>
      </c>
      <c r="J191" t="n" s="15">
        <v>12405.5</v>
      </c>
      <c r="K191" t="n" s="15">
        <v>12744.0</v>
      </c>
      <c r="L191" t="n" s="15">
        <v>17622.9</v>
      </c>
      <c r="M191" t="n" s="15">
        <v>16300.0</v>
      </c>
      <c r="N191" t="n" s="15">
        <v>19617.0</v>
      </c>
      <c r="O191" t="n" s="15">
        <v>8577.0</v>
      </c>
      <c r="P191" t="n" s="15">
        <v>7453.0</v>
      </c>
      <c r="Q191" t="n" s="15">
        <v>6294.0</v>
      </c>
      <c r="R191" t="n" s="15">
        <v>6176.0</v>
      </c>
      <c r="S191" t="n" s="15">
        <v>10618.5</v>
      </c>
      <c r="T191" t="n" s="15">
        <v>14340.0</v>
      </c>
      <c r="U191" t="n" s="15">
        <v>12660.0</v>
      </c>
      <c r="V191" t="n" s="15">
        <v>10004.0</v>
      </c>
      <c r="W191" t="n" s="15">
        <v>13254.0</v>
      </c>
      <c r="X191" t="n" s="15">
        <v>7862.0</v>
      </c>
      <c r="Y191" t="n" s="15">
        <v>13719.6</v>
      </c>
    </row>
    <row r="192" ht="15.0" customHeight="true">
      <c r="C192" t="s" s="15">
        <v>1711</v>
      </c>
      <c r="D192" t="n" s="15">
        <v>46740.8</v>
      </c>
      <c r="E192" t="n" s="15">
        <v>50013.02</v>
      </c>
      <c r="F192" t="n" s="15">
        <v>48743.47</v>
      </c>
      <c r="G192" t="n" s="15">
        <v>41589.46</v>
      </c>
      <c r="H192" t="n" s="15">
        <v>41898.58</v>
      </c>
      <c r="I192" t="n" s="15">
        <v>44626.26</v>
      </c>
      <c r="J192" t="n" s="15">
        <v>30611.21</v>
      </c>
      <c r="K192" t="n" s="15">
        <v>43617.3</v>
      </c>
      <c r="L192" t="n" s="15">
        <v>27760.27</v>
      </c>
      <c r="M192" t="n" s="15">
        <v>34200.35</v>
      </c>
      <c r="N192" t="n" s="15">
        <v>50390.13</v>
      </c>
      <c r="O192" t="n" s="15">
        <v>26340.96</v>
      </c>
      <c r="P192" t="n" s="15">
        <v>29333.25</v>
      </c>
      <c r="Q192" t="n" s="15">
        <v>11736.87</v>
      </c>
      <c r="R192" t="n" s="15">
        <v>15314.62</v>
      </c>
      <c r="S192" t="n" s="15">
        <v>27706.75</v>
      </c>
      <c r="T192" t="n" s="15">
        <v>33722.44</v>
      </c>
      <c r="U192" t="n" s="15">
        <v>19838.26</v>
      </c>
      <c r="V192" t="n" s="15">
        <v>14123.93</v>
      </c>
      <c r="W192" t="n" s="15">
        <v>32524.43</v>
      </c>
      <c r="X192" t="n" s="15">
        <v>37706.94</v>
      </c>
      <c r="Y192" t="n" s="15">
        <v>24775.13</v>
      </c>
    </row>
    <row r="193" ht="15.0" customHeight="true">
      <c r="C193" t="s" s="15">
        <v>1712</v>
      </c>
      <c r="D193" t="n" s="15">
        <v>0.0</v>
      </c>
      <c r="E193" t="n" s="15">
        <v>0.0</v>
      </c>
      <c r="F193" t="n" s="15">
        <v>0.0</v>
      </c>
      <c r="G193" t="n" s="15">
        <v>0.0</v>
      </c>
      <c r="H193" t="n" s="15">
        <v>0.0</v>
      </c>
      <c r="I193" t="n" s="15">
        <v>0.0</v>
      </c>
      <c r="J193" t="n" s="15">
        <v>0.0</v>
      </c>
      <c r="K193" t="n" s="15">
        <v>0.0</v>
      </c>
      <c r="L193" t="n" s="15">
        <v>0.0</v>
      </c>
      <c r="M193" t="n" s="15">
        <v>0.0</v>
      </c>
      <c r="N193" t="n" s="15">
        <v>0.0</v>
      </c>
      <c r="O193" t="n" s="15">
        <v>0.0</v>
      </c>
      <c r="P193" t="n" s="15">
        <v>1542.0</v>
      </c>
      <c r="Q193" t="n" s="15">
        <v>0.0</v>
      </c>
      <c r="R193" t="n" s="15">
        <v>0.0</v>
      </c>
      <c r="S193" t="n" s="15">
        <v>0.0</v>
      </c>
      <c r="T193" t="n" s="15">
        <v>0.0</v>
      </c>
      <c r="U193" t="n" s="15">
        <v>0.0</v>
      </c>
      <c r="V193" t="n" s="15">
        <v>808.0</v>
      </c>
      <c r="W193" t="n" s="15">
        <v>409.5</v>
      </c>
      <c r="X193" t="n" s="15">
        <v>754.86</v>
      </c>
      <c r="Y193" t="n" s="15">
        <v>0.0</v>
      </c>
    </row>
    <row r="194" ht="15.0" customHeight="true">
      <c r="C194" t="s" s="15">
        <v>1713</v>
      </c>
      <c r="D194" t="n" s="15">
        <v>44.0</v>
      </c>
      <c r="E194" t="n" s="15">
        <v>161.8</v>
      </c>
      <c r="F194" t="n" s="15">
        <v>135.48</v>
      </c>
      <c r="G194" t="n" s="15">
        <v>53.6</v>
      </c>
      <c r="H194" t="n" s="15">
        <v>200.1</v>
      </c>
      <c r="I194" t="n" s="15">
        <v>13.5</v>
      </c>
      <c r="J194" t="n" s="15">
        <v>71.38</v>
      </c>
      <c r="K194" t="n" s="15">
        <v>0.0</v>
      </c>
      <c r="L194" t="n" s="15">
        <v>0.0</v>
      </c>
      <c r="M194" t="n" s="15">
        <v>0.0</v>
      </c>
      <c r="N194" t="n" s="15">
        <v>87.2</v>
      </c>
      <c r="O194" t="n" s="15">
        <v>0.0</v>
      </c>
      <c r="P194" t="n" s="15">
        <v>26.8</v>
      </c>
      <c r="Q194" t="n" s="15">
        <v>51.13</v>
      </c>
      <c r="R194" t="n" s="15">
        <v>0.0</v>
      </c>
      <c r="S194" t="n" s="15">
        <v>13.5</v>
      </c>
      <c r="T194" t="n" s="15">
        <v>43.8</v>
      </c>
      <c r="U194" t="n" s="15">
        <v>921.26</v>
      </c>
      <c r="V194" t="n" s="15">
        <v>0.0</v>
      </c>
      <c r="W194" t="n" s="15">
        <v>0.0</v>
      </c>
      <c r="X194" t="n" s="15">
        <v>84.28</v>
      </c>
      <c r="Y194" t="n" s="15">
        <v>0.0</v>
      </c>
    </row>
    <row r="195" ht="15.0" customHeight="true">
      <c r="C195" t="s" s="15">
        <v>1714</v>
      </c>
      <c r="D195" t="n" s="15">
        <v>768.0</v>
      </c>
      <c r="E195" t="n" s="15">
        <v>445.0</v>
      </c>
      <c r="F195" t="n" s="15">
        <v>1023.0</v>
      </c>
      <c r="G195" t="n" s="15">
        <v>960.0</v>
      </c>
      <c r="H195" t="n" s="15">
        <v>1853.0</v>
      </c>
      <c r="I195" t="n" s="15">
        <v>850.0</v>
      </c>
      <c r="J195" t="n" s="15">
        <v>493.0</v>
      </c>
      <c r="K195" t="n" s="15">
        <v>1825.0</v>
      </c>
      <c r="L195" t="n" s="15">
        <v>600.0</v>
      </c>
      <c r="M195" t="n" s="15">
        <v>716.0</v>
      </c>
      <c r="N195" t="n" s="15">
        <v>1605.77</v>
      </c>
      <c r="O195" t="n" s="15">
        <v>500.0</v>
      </c>
      <c r="P195" t="n" s="15">
        <v>829.0</v>
      </c>
      <c r="Q195" t="n" s="15">
        <v>1110.0</v>
      </c>
      <c r="R195" t="n" s="15">
        <v>450.0</v>
      </c>
      <c r="S195" t="n" s="15">
        <v>400.0</v>
      </c>
      <c r="T195" t="n" s="15">
        <v>450.0</v>
      </c>
      <c r="U195" t="n" s="15">
        <v>900.0</v>
      </c>
      <c r="V195" t="n" s="15">
        <v>1450.0</v>
      </c>
      <c r="W195" t="n" s="15">
        <v>500.0</v>
      </c>
      <c r="X195" t="n" s="15">
        <v>2500.0</v>
      </c>
      <c r="Y195" t="n" s="15">
        <v>910.0</v>
      </c>
    </row>
    <row r="196" ht="15.0" customHeight="true">
      <c r="C196" t="s" s="15">
        <v>1715</v>
      </c>
      <c r="D196" t="n" s="15">
        <v>0.0</v>
      </c>
      <c r="E196" t="n" s="15">
        <v>0.0</v>
      </c>
      <c r="F196" t="n" s="15">
        <v>0.0</v>
      </c>
      <c r="G196" t="n" s="15">
        <v>0.0</v>
      </c>
      <c r="H196" t="n" s="15">
        <v>0.0</v>
      </c>
      <c r="I196" t="n" s="15">
        <v>0.0</v>
      </c>
      <c r="J196" t="n" s="15">
        <v>0.0</v>
      </c>
      <c r="K196" t="n" s="15">
        <v>0.0</v>
      </c>
      <c r="L196" t="n" s="15">
        <v>6.97</v>
      </c>
      <c r="M196" t="n" s="15">
        <v>0.0</v>
      </c>
      <c r="N196" t="n" s="15">
        <v>0.0</v>
      </c>
      <c r="O196" t="n" s="15">
        <v>0.0</v>
      </c>
      <c r="P196" t="n" s="15">
        <v>319.0</v>
      </c>
      <c r="Q196" t="n" s="15">
        <v>0.0</v>
      </c>
      <c r="R196" t="n" s="15">
        <v>0.0</v>
      </c>
      <c r="S196" t="n" s="15">
        <v>0.0</v>
      </c>
      <c r="T196" t="n" s="15">
        <v>0.0</v>
      </c>
      <c r="U196" t="n" s="15">
        <v>0.0</v>
      </c>
      <c r="V196" t="n" s="15">
        <v>90.0</v>
      </c>
      <c r="W196" t="n" s="15">
        <v>4193.0</v>
      </c>
      <c r="X196" t="n" s="15">
        <v>0.0</v>
      </c>
      <c r="Y196" t="n" s="15">
        <v>0.0</v>
      </c>
    </row>
    <row r="197" ht="15.0" customHeight="true">
      <c r="C197" t="s" s="15">
        <v>1716</v>
      </c>
      <c r="D197" t="n" s="15">
        <v>2349.99</v>
      </c>
      <c r="E197" t="n" s="15">
        <v>119171.69</v>
      </c>
      <c r="F197" t="n" s="15">
        <v>124833.5</v>
      </c>
      <c r="G197" t="n" s="15">
        <v>57919.03</v>
      </c>
      <c r="H197" t="n" s="15">
        <v>152304.1</v>
      </c>
      <c r="I197" t="n" s="15">
        <v>149095.4</v>
      </c>
      <c r="J197" t="n" s="15">
        <v>102032.96</v>
      </c>
      <c r="K197" t="n" s="15">
        <v>144938.15</v>
      </c>
      <c r="L197" t="n" s="15">
        <v>105783.26</v>
      </c>
      <c r="M197" t="n" s="15">
        <v>128474.89</v>
      </c>
      <c r="N197" t="n" s="15">
        <v>99612.95</v>
      </c>
      <c r="O197" t="n" s="15">
        <v>35125.6</v>
      </c>
      <c r="P197" t="n" s="15">
        <v>146295.9</v>
      </c>
      <c r="Q197" t="n" s="15">
        <v>34406.86</v>
      </c>
      <c r="R197" t="n" s="15">
        <v>24217.0</v>
      </c>
      <c r="S197" t="n" s="15">
        <v>163470.34</v>
      </c>
      <c r="T197" t="n" s="15">
        <v>96289.95</v>
      </c>
      <c r="U197" t="n" s="15">
        <v>57545.0</v>
      </c>
      <c r="V197" t="n" s="15">
        <v>99137.75</v>
      </c>
      <c r="W197" t="n" s="15">
        <v>82486.95</v>
      </c>
      <c r="X197" t="n" s="15">
        <v>86586.31</v>
      </c>
      <c r="Y197" t="n" s="15">
        <v>116126.37</v>
      </c>
    </row>
    <row r="198" ht="15.0" customHeight="true">
      <c r="C198" t="s" s="15">
        <v>1717</v>
      </c>
      <c r="D198" t="n" s="15">
        <v>2122.44</v>
      </c>
      <c r="E198" t="n" s="15">
        <v>0.0</v>
      </c>
      <c r="F198" t="n" s="15">
        <v>0.0</v>
      </c>
      <c r="G198" t="n" s="15">
        <v>0.0</v>
      </c>
      <c r="H198" t="n" s="15">
        <v>0.0</v>
      </c>
      <c r="I198" t="n" s="15">
        <v>0.0</v>
      </c>
      <c r="J198" t="n" s="15">
        <v>0.0</v>
      </c>
      <c r="K198" t="n" s="15">
        <v>0.0</v>
      </c>
      <c r="L198" t="n" s="15">
        <v>500.0</v>
      </c>
      <c r="M198" t="n" s="15">
        <v>1250.0</v>
      </c>
      <c r="N198" t="n" s="15">
        <v>0.0</v>
      </c>
      <c r="O198" t="n" s="15">
        <v>0.0</v>
      </c>
      <c r="P198" t="n" s="15">
        <v>0.0</v>
      </c>
      <c r="Q198" t="n" s="15">
        <v>800.0</v>
      </c>
      <c r="R198" t="n" s="15">
        <v>0.0</v>
      </c>
      <c r="S198" t="n" s="15">
        <v>450.0</v>
      </c>
      <c r="T198" t="n" s="15">
        <v>0.0</v>
      </c>
      <c r="U198" t="n" s="15">
        <v>1050.0</v>
      </c>
      <c r="V198" t="n" s="15">
        <v>1750.0</v>
      </c>
      <c r="W198" t="n" s="15">
        <v>1290.0</v>
      </c>
      <c r="X198" t="n" s="15">
        <v>2050.0</v>
      </c>
      <c r="Y198" t="n" s="15">
        <v>0.0</v>
      </c>
    </row>
    <row r="199" ht="15.0" customHeight="true">
      <c r="C199" t="s" s="15">
        <v>1718</v>
      </c>
      <c r="D199" t="n" s="15">
        <v>0.0</v>
      </c>
      <c r="E199" t="n" s="15">
        <v>0.0</v>
      </c>
      <c r="F199" t="n" s="15">
        <v>0.0</v>
      </c>
      <c r="G199" t="n" s="15">
        <v>0.0</v>
      </c>
      <c r="H199" t="n" s="15">
        <v>0.0</v>
      </c>
      <c r="I199" t="n" s="15">
        <v>69.8</v>
      </c>
      <c r="J199" t="n" s="15">
        <v>0.0</v>
      </c>
      <c r="K199" t="n" s="15">
        <v>107.4</v>
      </c>
      <c r="L199" t="n" s="15">
        <v>0.0</v>
      </c>
      <c r="M199" t="n" s="15">
        <v>25.0</v>
      </c>
      <c r="N199" t="n" s="15">
        <v>0.0</v>
      </c>
      <c r="O199" t="n" s="15">
        <v>0.0</v>
      </c>
      <c r="P199" t="n" s="15">
        <v>3101.5</v>
      </c>
      <c r="Q199" t="n" s="15">
        <v>0.0</v>
      </c>
      <c r="R199" t="n" s="15">
        <v>0.0</v>
      </c>
      <c r="S199" t="n" s="15">
        <v>1416.0</v>
      </c>
      <c r="T199" t="n" s="15">
        <v>633.0</v>
      </c>
      <c r="U199" t="n" s="15">
        <v>0.0</v>
      </c>
      <c r="V199" t="n" s="15">
        <v>951.0</v>
      </c>
      <c r="W199" t="n" s="15">
        <v>2455.37</v>
      </c>
      <c r="X199" t="n" s="15">
        <v>2453.4</v>
      </c>
      <c r="Y199" t="n" s="15">
        <v>360.5</v>
      </c>
    </row>
    <row r="200" ht="15.0" customHeight="true">
      <c r="C200" t="s" s="15">
        <v>1719</v>
      </c>
      <c r="D200" t="n" s="15">
        <v>0.0</v>
      </c>
      <c r="E200" t="n" s="15">
        <v>0.0</v>
      </c>
      <c r="F200" t="n" s="15">
        <v>0.0</v>
      </c>
      <c r="G200" t="n" s="15">
        <v>0.0</v>
      </c>
      <c r="H200" t="n" s="15">
        <v>0.0</v>
      </c>
      <c r="I200" t="n" s="15">
        <v>0.0</v>
      </c>
      <c r="J200" t="n" s="15">
        <v>0.0</v>
      </c>
      <c r="K200" t="n" s="15">
        <v>0.0</v>
      </c>
      <c r="L200" t="n" s="15">
        <v>0.0</v>
      </c>
      <c r="M200" t="n" s="15">
        <v>0.0</v>
      </c>
      <c r="N200" t="n" s="15">
        <v>0.0</v>
      </c>
      <c r="O200" t="n" s="15">
        <v>8.0</v>
      </c>
      <c r="P200" t="n" s="15">
        <v>0.0</v>
      </c>
      <c r="Q200" t="n" s="15">
        <v>0.0</v>
      </c>
      <c r="R200" t="n" s="15">
        <v>0.0</v>
      </c>
      <c r="S200" t="n" s="15">
        <v>0.0</v>
      </c>
      <c r="T200" t="n" s="15">
        <v>0.0</v>
      </c>
      <c r="U200" t="n" s="15">
        <v>0.0</v>
      </c>
      <c r="V200" t="n" s="15">
        <v>0.0</v>
      </c>
      <c r="W200" t="n" s="15">
        <v>16.0</v>
      </c>
      <c r="X200" t="n" s="15">
        <v>0.0</v>
      </c>
      <c r="Y200" t="n" s="15">
        <v>0.0</v>
      </c>
    </row>
    <row r="201" ht="15.0" customHeight="true">
      <c r="C201" t="s" s="15">
        <v>1720</v>
      </c>
      <c r="D201" t="n" s="15">
        <v>0.0</v>
      </c>
      <c r="E201" t="n" s="15">
        <v>0.0</v>
      </c>
      <c r="F201" t="n" s="15">
        <v>0.0</v>
      </c>
      <c r="G201" t="n" s="15">
        <v>0.0</v>
      </c>
      <c r="H201" t="n" s="15">
        <v>0.0</v>
      </c>
      <c r="I201" t="n" s="15">
        <v>0.0</v>
      </c>
      <c r="J201" t="n" s="15">
        <v>0.0</v>
      </c>
      <c r="K201" t="n" s="15">
        <v>0.0</v>
      </c>
      <c r="L201" t="n" s="15">
        <v>0.0</v>
      </c>
      <c r="M201" t="n" s="15">
        <v>0.0</v>
      </c>
      <c r="N201" t="n" s="15">
        <v>0.0</v>
      </c>
      <c r="O201" t="n" s="15">
        <v>0.0</v>
      </c>
      <c r="P201" t="n" s="15">
        <v>0.0</v>
      </c>
      <c r="Q201" t="n" s="15">
        <v>0.0</v>
      </c>
      <c r="R201" t="n" s="15">
        <v>0.0</v>
      </c>
      <c r="S201" t="n" s="15">
        <v>0.0</v>
      </c>
      <c r="T201" t="n" s="15">
        <v>0.0</v>
      </c>
      <c r="U201" t="n" s="15">
        <v>300.0</v>
      </c>
      <c r="V201" t="n" s="15">
        <v>0.0</v>
      </c>
      <c r="W201" t="n" s="15">
        <v>0.0</v>
      </c>
      <c r="X201" t="n" s="15">
        <v>0.0</v>
      </c>
      <c r="Y201" t="n" s="15">
        <v>0.0</v>
      </c>
    </row>
    <row r="202" ht="15.0" customHeight="true">
      <c r="C202" t="s" s="15">
        <v>1721</v>
      </c>
      <c r="D202" t="n" s="15">
        <v>497813.56</v>
      </c>
      <c r="E202" t="n" s="15">
        <v>458020.92</v>
      </c>
      <c r="F202" t="n" s="15">
        <v>513812.63</v>
      </c>
      <c r="G202" t="n" s="15">
        <v>519407.23</v>
      </c>
      <c r="H202" t="n" s="15">
        <v>518201.13</v>
      </c>
      <c r="I202" t="n" s="15">
        <v>534755.53</v>
      </c>
      <c r="J202" t="n" s="15">
        <v>518134.35</v>
      </c>
      <c r="K202" t="n" s="15">
        <v>581682.58</v>
      </c>
      <c r="L202" t="n" s="15">
        <v>449425.84</v>
      </c>
      <c r="M202" t="n" s="15">
        <v>467750.33</v>
      </c>
      <c r="N202" t="n" s="15">
        <v>441040.33</v>
      </c>
      <c r="O202" t="n" s="15">
        <v>223973.01</v>
      </c>
      <c r="P202" t="n" s="15">
        <v>609589.25</v>
      </c>
      <c r="Q202" t="n" s="15">
        <v>276424.01</v>
      </c>
      <c r="R202" t="n" s="15">
        <v>246728.38</v>
      </c>
      <c r="S202" t="n" s="15">
        <v>600638.66</v>
      </c>
      <c r="T202" t="n" s="15">
        <v>386297.86</v>
      </c>
      <c r="U202" t="n" s="15">
        <v>340969.95</v>
      </c>
      <c r="V202" t="n" s="15">
        <v>416364.72</v>
      </c>
      <c r="W202" t="n" s="15">
        <v>500652.73</v>
      </c>
      <c r="X202" t="n" s="15">
        <v>505724.54</v>
      </c>
      <c r="Y202" t="n" s="15">
        <v>396489.33</v>
      </c>
    </row>
    <row r="203" ht="15.0" customHeight="true">
      <c r="C203" t="s" s="15">
        <v>1722</v>
      </c>
      <c r="D203" t="n" s="15">
        <v>0.0</v>
      </c>
      <c r="E203" t="n" s="15">
        <v>0.0</v>
      </c>
      <c r="F203" t="n" s="15">
        <v>0.0</v>
      </c>
      <c r="G203" t="n" s="15">
        <v>0.0</v>
      </c>
      <c r="H203" t="n" s="15">
        <v>0.0</v>
      </c>
      <c r="I203" t="n" s="15">
        <v>69.8</v>
      </c>
      <c r="J203" t="n" s="15">
        <v>0.0</v>
      </c>
      <c r="K203" t="n" s="15">
        <v>107.4</v>
      </c>
      <c r="L203" t="n" s="15">
        <v>0.0</v>
      </c>
      <c r="M203" t="n" s="15">
        <v>25.0</v>
      </c>
      <c r="N203" t="n" s="15">
        <v>0.0</v>
      </c>
      <c r="O203" t="n" s="15">
        <v>0.0</v>
      </c>
      <c r="P203" t="n" s="15">
        <v>3101.5</v>
      </c>
      <c r="Q203" t="n" s="15">
        <v>0.0</v>
      </c>
      <c r="R203" t="n" s="15">
        <v>0.0</v>
      </c>
      <c r="S203" t="n" s="15">
        <v>1416.0</v>
      </c>
      <c r="T203" t="n" s="15">
        <v>633.0</v>
      </c>
      <c r="U203" t="n" s="15">
        <v>0.0</v>
      </c>
      <c r="V203" t="n" s="15">
        <v>951.0</v>
      </c>
      <c r="W203" t="n" s="15">
        <v>2455.37</v>
      </c>
      <c r="X203" t="n" s="15">
        <v>2453.4</v>
      </c>
      <c r="Y203" t="n" s="15">
        <v>360.5</v>
      </c>
    </row>
    <row r="204" ht="15.0" customHeight="true">
      <c r="C204" t="s" s="15">
        <v>1723</v>
      </c>
      <c r="D204" t="n" s="15">
        <v>105.37</v>
      </c>
      <c r="E204" t="n" s="15">
        <v>220.82</v>
      </c>
      <c r="F204" t="n" s="15">
        <v>15.0</v>
      </c>
      <c r="G204" t="n" s="15">
        <v>148.77</v>
      </c>
      <c r="H204" t="n" s="15">
        <v>7.99</v>
      </c>
      <c r="I204" t="n" s="15">
        <v>0.0</v>
      </c>
      <c r="J204" t="n" s="15">
        <v>184.98</v>
      </c>
      <c r="K204" t="n" s="15">
        <v>129.43</v>
      </c>
      <c r="L204" t="n" s="15">
        <v>0.0</v>
      </c>
      <c r="M204" t="n" s="15">
        <v>69.44</v>
      </c>
      <c r="N204" t="n" s="15">
        <v>66.24</v>
      </c>
      <c r="O204" t="n" s="15">
        <v>11.98</v>
      </c>
      <c r="P204" t="n" s="15">
        <v>205.6</v>
      </c>
      <c r="Q204" t="n" s="15">
        <v>471.16</v>
      </c>
      <c r="R204" t="n" s="15">
        <v>39.43</v>
      </c>
      <c r="S204" t="n" s="15">
        <v>78.43</v>
      </c>
      <c r="T204" t="n" s="15">
        <v>28.09</v>
      </c>
      <c r="U204" t="n" s="15">
        <v>359.31</v>
      </c>
      <c r="V204" t="n" s="15">
        <v>396.65</v>
      </c>
      <c r="W204" t="n" s="15">
        <v>23.36</v>
      </c>
      <c r="X204" t="n" s="15">
        <v>13.62</v>
      </c>
      <c r="Y204" t="n" s="15">
        <v>236.3</v>
      </c>
    </row>
    <row r="205" ht="15.0" customHeight="true">
      <c r="C205" t="s" s="15">
        <v>1724</v>
      </c>
      <c r="D205" t="n" s="15">
        <v>349.49</v>
      </c>
      <c r="E205" t="n" s="15">
        <v>127.93</v>
      </c>
      <c r="F205" t="n" s="15">
        <v>3.73</v>
      </c>
      <c r="G205" t="n" s="15">
        <v>89.91</v>
      </c>
      <c r="H205" t="n" s="15">
        <v>154.87</v>
      </c>
      <c r="I205" t="n" s="15">
        <v>517.55</v>
      </c>
      <c r="J205" t="n" s="15">
        <v>46.97</v>
      </c>
      <c r="K205" t="n" s="15">
        <v>479.34</v>
      </c>
      <c r="L205" t="n" s="15">
        <v>411.59</v>
      </c>
      <c r="M205" t="n" s="15">
        <v>340.01</v>
      </c>
      <c r="N205" t="n" s="15">
        <v>158.07</v>
      </c>
      <c r="O205" t="n" s="15">
        <v>56.67</v>
      </c>
      <c r="P205" t="n" s="15">
        <v>144.52</v>
      </c>
      <c r="Q205" t="n" s="15">
        <v>2138.81</v>
      </c>
      <c r="R205" t="n" s="15">
        <v>22.94</v>
      </c>
      <c r="S205" t="n" s="15">
        <v>85.03</v>
      </c>
      <c r="T205" t="n" s="15">
        <v>192.38</v>
      </c>
      <c r="U205" t="n" s="15">
        <v>11.62</v>
      </c>
      <c r="V205" t="n" s="15">
        <v>320.14</v>
      </c>
      <c r="W205" t="n" s="15">
        <v>431.05</v>
      </c>
      <c r="X205" t="n" s="15">
        <v>7.55</v>
      </c>
      <c r="Y205" t="n" s="15">
        <v>154.53</v>
      </c>
    </row>
    <row r="206" ht="15.0" customHeight="true">
      <c r="C206" t="s" s="15">
        <v>1725</v>
      </c>
      <c r="D206" t="n" s="15">
        <v>44.0</v>
      </c>
      <c r="E206" t="n" s="15">
        <v>161.8</v>
      </c>
      <c r="F206" t="n" s="15">
        <v>135.48</v>
      </c>
      <c r="G206" t="n" s="15">
        <v>53.6</v>
      </c>
      <c r="H206" t="n" s="15">
        <v>200.1</v>
      </c>
      <c r="I206" t="n" s="15">
        <v>13.5</v>
      </c>
      <c r="J206" t="n" s="15">
        <v>71.38</v>
      </c>
      <c r="K206" t="n" s="15">
        <v>0.0</v>
      </c>
      <c r="L206" t="n" s="15">
        <v>0.0</v>
      </c>
      <c r="M206" t="n" s="15">
        <v>0.0</v>
      </c>
      <c r="N206" t="n" s="15">
        <v>87.2</v>
      </c>
      <c r="O206" t="n" s="15">
        <v>0.0</v>
      </c>
      <c r="P206" t="n" s="15">
        <v>26.8</v>
      </c>
      <c r="Q206" t="n" s="15">
        <v>51.13</v>
      </c>
      <c r="R206" t="n" s="15">
        <v>0.0</v>
      </c>
      <c r="S206" t="n" s="15">
        <v>13.5</v>
      </c>
      <c r="T206" t="n" s="15">
        <v>43.8</v>
      </c>
      <c r="U206" t="n" s="15">
        <v>921.26</v>
      </c>
      <c r="V206" t="n" s="15">
        <v>0.0</v>
      </c>
      <c r="W206" t="n" s="15">
        <v>0.0</v>
      </c>
      <c r="X206" t="n" s="15">
        <v>84.28</v>
      </c>
      <c r="Y206" t="n" s="15">
        <v>0.0</v>
      </c>
    </row>
    <row r="207" ht="15.0" customHeight="true">
      <c r="C207" t="s" s="15">
        <v>1726</v>
      </c>
      <c r="D207" t="n" s="15">
        <v>2580.78</v>
      </c>
      <c r="E207" t="n" s="15">
        <v>1046.41</v>
      </c>
      <c r="F207" t="n" s="15">
        <v>6173.84</v>
      </c>
      <c r="G207" t="n" s="15">
        <v>3221.52</v>
      </c>
      <c r="H207" t="n" s="15">
        <v>7048.26</v>
      </c>
      <c r="I207" t="n" s="15">
        <v>8003.73</v>
      </c>
      <c r="J207" t="n" s="15">
        <v>11087.3</v>
      </c>
      <c r="K207" t="n" s="15">
        <v>1489.11</v>
      </c>
      <c r="L207" t="n" s="15">
        <v>6301.03</v>
      </c>
      <c r="M207" t="n" s="15">
        <v>6625.2</v>
      </c>
      <c r="N207" t="n" s="15">
        <v>2620.1</v>
      </c>
      <c r="O207" t="n" s="15">
        <v>593.27</v>
      </c>
      <c r="P207" t="n" s="15">
        <v>292.54</v>
      </c>
      <c r="Q207" t="n" s="15">
        <v>0.0</v>
      </c>
      <c r="R207" t="n" s="15">
        <v>2052.69</v>
      </c>
      <c r="S207" t="n" s="15">
        <v>1211.79</v>
      </c>
      <c r="T207" t="n" s="15">
        <v>1053.72</v>
      </c>
      <c r="U207" t="n" s="15">
        <v>1209.0</v>
      </c>
      <c r="V207" t="n" s="15">
        <v>1349.09</v>
      </c>
      <c r="W207" t="n" s="15">
        <v>1628.02</v>
      </c>
      <c r="X207" t="n" s="15">
        <v>1764.26</v>
      </c>
      <c r="Y207" t="n" s="15">
        <v>2985.66</v>
      </c>
    </row>
    <row r="208" ht="15.0" customHeight="true">
      <c r="C208" t="s" s="15">
        <v>1727</v>
      </c>
      <c r="D208" t="n" s="15">
        <v>548.48</v>
      </c>
      <c r="E208" t="n" s="15">
        <v>1985.5</v>
      </c>
      <c r="F208" t="n" s="15">
        <v>11059.8</v>
      </c>
      <c r="G208" t="n" s="15">
        <v>3765.96</v>
      </c>
      <c r="H208" t="n" s="15">
        <v>36557.68</v>
      </c>
      <c r="I208" t="n" s="15">
        <v>15721.2</v>
      </c>
      <c r="J208" t="n" s="15">
        <v>44395.66</v>
      </c>
      <c r="K208" t="n" s="15">
        <v>72289.2</v>
      </c>
      <c r="L208" t="n" s="15">
        <v>12024.21</v>
      </c>
      <c r="M208" t="n" s="15">
        <v>24400.16</v>
      </c>
      <c r="N208" t="n" s="15">
        <v>8713.0</v>
      </c>
      <c r="O208" t="n" s="15">
        <v>5038.0</v>
      </c>
      <c r="P208" t="n" s="15">
        <v>63586.64</v>
      </c>
      <c r="Q208" t="n" s="15">
        <v>692.6</v>
      </c>
      <c r="R208" t="n" s="15">
        <v>2777.0</v>
      </c>
      <c r="S208" t="n" s="15">
        <v>34833.0</v>
      </c>
      <c r="T208" t="n" s="15">
        <v>69287.96</v>
      </c>
      <c r="U208" t="n" s="15">
        <v>805.0</v>
      </c>
      <c r="V208" t="n" s="15">
        <v>20714.3</v>
      </c>
      <c r="W208" t="n" s="15">
        <v>108662.99</v>
      </c>
      <c r="X208" t="n" s="15">
        <v>54681.38</v>
      </c>
      <c r="Y208" t="n" s="15">
        <v>12514.5</v>
      </c>
    </row>
    <row r="209" ht="15.0" customHeight="true">
      <c r="C209" t="s" s="15">
        <v>1728</v>
      </c>
      <c r="D209" t="n" s="15">
        <v>59373.93</v>
      </c>
      <c r="E209" t="n" s="15">
        <v>57105.23</v>
      </c>
      <c r="F209" t="n" s="15">
        <v>46194.04</v>
      </c>
      <c r="G209" t="n" s="15">
        <v>79433.66</v>
      </c>
      <c r="H209" t="n" s="15">
        <v>56286.17</v>
      </c>
      <c r="I209" t="n" s="15">
        <v>85536.85</v>
      </c>
      <c r="J209" t="n" s="15">
        <v>59239.53</v>
      </c>
      <c r="K209" t="n" s="15">
        <v>99397.53</v>
      </c>
      <c r="L209" t="n" s="15">
        <v>35011.3</v>
      </c>
      <c r="M209" t="n" s="15">
        <v>48675.14</v>
      </c>
      <c r="N209" t="n" s="15">
        <v>36565.15</v>
      </c>
      <c r="O209" t="n" s="15">
        <v>40992.0</v>
      </c>
      <c r="P209" t="n" s="15">
        <v>91313.16</v>
      </c>
      <c r="Q209" t="n" s="15">
        <v>52786.06</v>
      </c>
      <c r="R209" t="n" s="15">
        <v>63328.0</v>
      </c>
      <c r="S209" t="n" s="15">
        <v>131057.9</v>
      </c>
      <c r="T209" t="n" s="15">
        <v>46572.99</v>
      </c>
      <c r="U209" t="n" s="15">
        <v>49173.75</v>
      </c>
      <c r="V209" t="n" s="15">
        <v>39862.55</v>
      </c>
      <c r="W209" t="n" s="15">
        <v>63692.04</v>
      </c>
      <c r="X209" t="n" s="15">
        <v>78974.0</v>
      </c>
      <c r="Y209" t="n" s="15">
        <v>72879.4</v>
      </c>
    </row>
    <row r="210" ht="15.0" customHeight="true">
      <c r="C210" t="s" s="15">
        <v>1729</v>
      </c>
      <c r="D210" t="n" s="15">
        <v>0.0</v>
      </c>
      <c r="E210" t="n" s="15">
        <v>0.0</v>
      </c>
      <c r="F210" t="n" s="15">
        <v>55.0</v>
      </c>
      <c r="G210" t="n" s="15">
        <v>0.0</v>
      </c>
      <c r="H210" t="n" s="15">
        <v>114.1</v>
      </c>
      <c r="I210" t="n" s="15">
        <v>45.2</v>
      </c>
      <c r="J210" t="n" s="15">
        <v>20.0</v>
      </c>
      <c r="K210" t="n" s="15">
        <v>0.0</v>
      </c>
      <c r="L210" t="n" s="15">
        <v>90.2</v>
      </c>
      <c r="M210" t="n" s="15">
        <v>65.0</v>
      </c>
      <c r="N210" t="n" s="15">
        <v>0.0</v>
      </c>
      <c r="O210" t="n" s="15">
        <v>278.4</v>
      </c>
      <c r="P210" t="n" s="15">
        <v>3267.1</v>
      </c>
      <c r="Q210" t="n" s="15">
        <v>0.0</v>
      </c>
      <c r="R210" t="n" s="15">
        <v>0.0</v>
      </c>
      <c r="S210" t="n" s="15">
        <v>2073.2</v>
      </c>
      <c r="T210" t="n" s="15">
        <v>163.6</v>
      </c>
      <c r="U210" t="n" s="15">
        <v>0.0</v>
      </c>
      <c r="V210" t="n" s="15">
        <v>88.0</v>
      </c>
      <c r="W210" t="n" s="15">
        <v>20.0</v>
      </c>
      <c r="X210" t="n" s="15">
        <v>0.0</v>
      </c>
      <c r="Y210" t="n" s="15">
        <v>40.0</v>
      </c>
    </row>
    <row r="211" ht="15.0" customHeight="true">
      <c r="C211" t="s" s="15">
        <v>1730</v>
      </c>
      <c r="D211" t="n" s="15">
        <v>20879.48</v>
      </c>
      <c r="E211" t="n" s="15">
        <v>0.0</v>
      </c>
      <c r="F211" t="n" s="15">
        <v>0.0</v>
      </c>
      <c r="G211" t="n" s="15">
        <v>0.0</v>
      </c>
      <c r="H211" t="n" s="15">
        <v>0.0</v>
      </c>
      <c r="I211" t="n" s="15">
        <v>0.0</v>
      </c>
      <c r="J211" t="n" s="15">
        <v>0.0</v>
      </c>
      <c r="K211" t="n" s="15">
        <v>0.0</v>
      </c>
      <c r="L211" t="n" s="15">
        <v>500.0</v>
      </c>
      <c r="M211" t="n" s="15">
        <v>1250.0</v>
      </c>
      <c r="N211" t="n" s="15">
        <v>0.0</v>
      </c>
      <c r="O211" t="n" s="15">
        <v>0.0</v>
      </c>
      <c r="P211" t="n" s="15">
        <v>0.0</v>
      </c>
      <c r="Q211" t="n" s="15">
        <v>800.0</v>
      </c>
      <c r="R211" t="n" s="15">
        <v>0.0</v>
      </c>
      <c r="S211" t="n" s="15">
        <v>450.0</v>
      </c>
      <c r="T211" t="n" s="15">
        <v>0.0</v>
      </c>
      <c r="U211" t="n" s="15">
        <v>1050.0</v>
      </c>
      <c r="V211" t="n" s="15">
        <v>1750.0</v>
      </c>
      <c r="W211" t="n" s="15">
        <v>1290.0</v>
      </c>
      <c r="X211" t="n" s="15">
        <v>2050.0</v>
      </c>
      <c r="Y211" t="n" s="15">
        <v>0.0</v>
      </c>
    </row>
    <row r="212" ht="15.0" customHeight="true">
      <c r="C212" t="s" s="15">
        <v>1731</v>
      </c>
      <c r="D212" t="n" s="15">
        <v>610.52</v>
      </c>
      <c r="E212" t="n" s="15">
        <v>5199.3</v>
      </c>
      <c r="F212" t="n" s="15">
        <v>9086.0</v>
      </c>
      <c r="G212" t="n" s="15">
        <v>2487.54</v>
      </c>
      <c r="H212" t="n" s="15">
        <v>9938.13</v>
      </c>
      <c r="I212" t="n" s="15">
        <v>18530.65</v>
      </c>
      <c r="J212" t="n" s="15">
        <v>3392.53</v>
      </c>
      <c r="K212" t="n" s="15">
        <v>15755.38</v>
      </c>
      <c r="L212" t="n" s="15">
        <v>12244.67</v>
      </c>
      <c r="M212" t="n" s="15">
        <v>2255.82</v>
      </c>
      <c r="N212" t="n" s="15">
        <v>9671.41</v>
      </c>
      <c r="O212" t="n" s="15">
        <v>4751.0</v>
      </c>
      <c r="P212" t="n" s="15">
        <v>26915.5</v>
      </c>
      <c r="Q212" t="n" s="15">
        <v>287.81</v>
      </c>
      <c r="R212" t="n" s="15">
        <v>1967.0</v>
      </c>
      <c r="S212" t="n" s="15">
        <v>56238.73</v>
      </c>
      <c r="T212" t="n" s="15">
        <v>2736.0</v>
      </c>
      <c r="U212" t="n" s="15">
        <v>476.0</v>
      </c>
      <c r="V212" t="n" s="15">
        <v>22938.61</v>
      </c>
      <c r="W212" t="n" s="15">
        <v>40988.05</v>
      </c>
      <c r="X212" t="n" s="15">
        <v>21484.28</v>
      </c>
      <c r="Y212" t="n" s="15">
        <v>28524.42</v>
      </c>
    </row>
    <row r="213" ht="15.0" customHeight="true">
      <c r="C213" t="s" s="15">
        <v>1732</v>
      </c>
      <c r="D213" t="n" s="15">
        <v>61062.0</v>
      </c>
      <c r="E213" t="n" s="15">
        <v>2677.07</v>
      </c>
      <c r="F213" t="n" s="15">
        <v>15476.4</v>
      </c>
      <c r="G213" t="n" s="15">
        <v>80976.06</v>
      </c>
      <c r="H213" t="n" s="15">
        <v>17988.87</v>
      </c>
      <c r="I213" t="n" s="15">
        <v>21806.09</v>
      </c>
      <c r="J213" t="n" s="15">
        <v>19001.03</v>
      </c>
      <c r="K213" t="n" s="15">
        <v>10910.5</v>
      </c>
      <c r="L213" t="n" s="15">
        <v>12601.72</v>
      </c>
      <c r="M213" t="n" s="15">
        <v>14596.4</v>
      </c>
      <c r="N213" t="n" s="15">
        <v>27836.94</v>
      </c>
      <c r="O213" t="n" s="15">
        <v>2445.23</v>
      </c>
      <c r="P213" t="n" s="15">
        <v>1988.65</v>
      </c>
      <c r="Q213" t="n" s="15">
        <v>25242.87</v>
      </c>
      <c r="R213" t="n" s="15">
        <v>9580.01</v>
      </c>
      <c r="S213" t="n" s="15">
        <v>9459.77</v>
      </c>
      <c r="T213" t="n" s="15">
        <v>5640.77</v>
      </c>
      <c r="U213" t="n" s="15">
        <v>9884.08</v>
      </c>
      <c r="V213" t="n" s="15">
        <v>6762.86</v>
      </c>
      <c r="W213" t="n" s="15">
        <v>8600.0</v>
      </c>
      <c r="X213" t="n" s="15">
        <v>42727.44</v>
      </c>
      <c r="Y213" t="n" s="15">
        <v>1457.2</v>
      </c>
    </row>
    <row r="214" ht="15.0" customHeight="true">
      <c r="C214" t="s" s="15">
        <v>1733</v>
      </c>
      <c r="D214" t="n" s="15">
        <v>379231.93</v>
      </c>
      <c r="E214" t="n" s="15">
        <v>287065.32</v>
      </c>
      <c r="F214" t="n" s="15">
        <v>307718.87</v>
      </c>
      <c r="G214" t="n" s="15">
        <v>302510.9</v>
      </c>
      <c r="H214" t="n" s="15">
        <v>219992.33</v>
      </c>
      <c r="I214" t="n" s="15">
        <v>223236.96</v>
      </c>
      <c r="J214" t="n" s="15">
        <v>249258.86</v>
      </c>
      <c r="K214" t="n" s="15">
        <v>218392.65</v>
      </c>
      <c r="L214" t="n" s="15">
        <v>276491.01</v>
      </c>
      <c r="M214" t="n" s="15">
        <v>235232.53</v>
      </c>
      <c r="N214" t="n" s="15">
        <v>259410.95</v>
      </c>
      <c r="O214" t="n" s="15">
        <v>130763.13</v>
      </c>
      <c r="P214" t="n" s="15">
        <v>45111.71</v>
      </c>
      <c r="Q214" t="n" s="15">
        <v>173321.63</v>
      </c>
      <c r="R214" t="n" s="15">
        <v>136713.0</v>
      </c>
      <c r="S214" t="n" s="15">
        <v>53906.71</v>
      </c>
      <c r="T214" t="n" s="15">
        <v>91546.0</v>
      </c>
      <c r="U214" t="n" s="15">
        <v>132761.94</v>
      </c>
      <c r="V214" t="n" s="15">
        <v>35370.08</v>
      </c>
      <c r="W214" t="n" s="15">
        <v>30576.13</v>
      </c>
      <c r="X214" t="n" s="15">
        <v>44997.98</v>
      </c>
      <c r="Y214" t="n" s="15">
        <v>73897.19</v>
      </c>
    </row>
    <row r="215" ht="15.0" customHeight="true">
      <c r="C215" t="s" s="15">
        <v>1734</v>
      </c>
      <c r="D215" t="n" s="15">
        <v>1763.89</v>
      </c>
      <c r="E215" t="n" s="15">
        <v>58.79</v>
      </c>
      <c r="F215" t="n" s="15">
        <v>138.9</v>
      </c>
      <c r="G215" t="n" s="15">
        <v>722.2</v>
      </c>
      <c r="H215" t="n" s="15">
        <v>187.6</v>
      </c>
      <c r="I215" t="n" s="15">
        <v>104.0</v>
      </c>
      <c r="J215" t="n" s="15">
        <v>323.5</v>
      </c>
      <c r="K215" t="n" s="15">
        <v>28.0</v>
      </c>
      <c r="L215" t="n" s="15">
        <v>92.1</v>
      </c>
      <c r="M215" t="n" s="15">
        <v>194.4</v>
      </c>
      <c r="N215" t="n" s="15">
        <v>26.4</v>
      </c>
      <c r="O215" t="n" s="15">
        <v>17.51</v>
      </c>
      <c r="P215" t="n" s="15">
        <v>0.0</v>
      </c>
      <c r="Q215" t="n" s="15">
        <v>18.0</v>
      </c>
      <c r="R215" t="n" s="15">
        <v>23.34</v>
      </c>
      <c r="S215" t="n" s="15">
        <v>13.92</v>
      </c>
      <c r="T215" t="n" s="15">
        <v>0.0</v>
      </c>
      <c r="U215" t="n" s="15">
        <v>99.2</v>
      </c>
      <c r="V215" t="n" s="15">
        <v>0.0</v>
      </c>
      <c r="W215" t="n" s="15">
        <v>0.0</v>
      </c>
      <c r="X215" t="n" s="15">
        <v>88.55</v>
      </c>
      <c r="Y215" t="n" s="15">
        <v>0.0</v>
      </c>
    </row>
    <row r="216" ht="15.0" customHeight="true">
      <c r="C216" t="s" s="15">
        <v>1735</v>
      </c>
      <c r="D216" t="n" s="15">
        <v>14.0</v>
      </c>
      <c r="E216" t="n" s="15">
        <v>0.0</v>
      </c>
      <c r="F216" t="n" s="15">
        <v>0.0</v>
      </c>
      <c r="G216" t="n" s="15">
        <v>0.0</v>
      </c>
      <c r="H216" t="n" s="15">
        <v>0.0</v>
      </c>
      <c r="I216" t="n" s="15">
        <v>100.0</v>
      </c>
      <c r="J216" t="n" s="15">
        <v>0.0</v>
      </c>
      <c r="K216" t="n" s="15">
        <v>0.0</v>
      </c>
      <c r="L216" t="n" s="15">
        <v>0.0</v>
      </c>
      <c r="M216" t="n" s="15">
        <v>0.0</v>
      </c>
      <c r="N216" t="n" s="15">
        <v>0.0</v>
      </c>
      <c r="O216" t="n" s="15">
        <v>0.0</v>
      </c>
      <c r="P216" t="n" s="15">
        <v>0.0</v>
      </c>
      <c r="Q216" t="n" s="15">
        <v>0.0</v>
      </c>
      <c r="R216" t="n" s="15">
        <v>0.0</v>
      </c>
      <c r="S216" t="n" s="15">
        <v>0.0</v>
      </c>
      <c r="T216" t="n" s="15">
        <v>0.0</v>
      </c>
      <c r="U216" t="n" s="15">
        <v>0.0</v>
      </c>
      <c r="V216" t="n" s="15">
        <v>0.0</v>
      </c>
      <c r="W216" t="n" s="15">
        <v>0.0</v>
      </c>
      <c r="X216" t="n" s="15">
        <v>137.7</v>
      </c>
      <c r="Y216" t="n" s="15">
        <v>0.0</v>
      </c>
    </row>
    <row r="217" ht="15.0" customHeight="true">
      <c r="C217" t="s" s="15">
        <v>1736</v>
      </c>
      <c r="D217" t="n" s="15">
        <v>0.0</v>
      </c>
      <c r="E217" t="n" s="15">
        <v>0.0</v>
      </c>
      <c r="F217" t="n" s="15">
        <v>0.0</v>
      </c>
      <c r="G217" t="n" s="15">
        <v>0.0</v>
      </c>
      <c r="H217" t="n" s="15">
        <v>0.0</v>
      </c>
      <c r="I217" t="n" s="15">
        <v>0.0</v>
      </c>
      <c r="J217" t="n" s="15">
        <v>0.0</v>
      </c>
      <c r="K217" t="n" s="15">
        <v>0.0</v>
      </c>
      <c r="L217" t="n" s="15">
        <v>0.0</v>
      </c>
      <c r="M217" t="n" s="15">
        <v>0.0</v>
      </c>
      <c r="N217" t="n" s="15">
        <v>0.0</v>
      </c>
      <c r="O217" t="n" s="15">
        <v>0.0</v>
      </c>
      <c r="P217" t="n" s="15">
        <v>4464.0</v>
      </c>
      <c r="Q217" t="n" s="15">
        <v>0.0</v>
      </c>
      <c r="R217" t="n" s="15">
        <v>0.0</v>
      </c>
      <c r="S217" t="n" s="15">
        <v>3410.0</v>
      </c>
      <c r="T217" t="n" s="15">
        <v>0.0</v>
      </c>
      <c r="U217" t="n" s="15">
        <v>0.0</v>
      </c>
      <c r="V217" t="n" s="15">
        <v>5746.0</v>
      </c>
      <c r="W217" t="n" s="15">
        <v>1760.0</v>
      </c>
      <c r="X217" t="n" s="15">
        <v>2780.0</v>
      </c>
      <c r="Y217" t="n" s="15">
        <v>0.0</v>
      </c>
    </row>
    <row r="218" ht="15.0" customHeight="true">
      <c r="C218" t="s" s="15">
        <v>1737</v>
      </c>
      <c r="D218" t="n" s="15">
        <v>0.0</v>
      </c>
      <c r="E218" t="n" s="15">
        <v>0.0</v>
      </c>
      <c r="F218" t="n" s="15">
        <v>0.0</v>
      </c>
      <c r="G218" t="n" s="15">
        <v>0.0</v>
      </c>
      <c r="H218" t="n" s="15">
        <v>0.0</v>
      </c>
      <c r="I218" t="n" s="15">
        <v>0.0</v>
      </c>
      <c r="J218" t="n" s="15">
        <v>0.0</v>
      </c>
      <c r="K218" t="n" s="15">
        <v>0.0</v>
      </c>
      <c r="L218" t="n" s="15">
        <v>0.0</v>
      </c>
      <c r="M218" t="n" s="15">
        <v>0.0</v>
      </c>
      <c r="N218" t="n" s="15">
        <v>0.0</v>
      </c>
      <c r="O218" t="n" s="15">
        <v>0.0</v>
      </c>
      <c r="P218" t="n" s="15">
        <v>0.0</v>
      </c>
      <c r="Q218" t="n" s="15">
        <v>0.0</v>
      </c>
      <c r="R218" t="n" s="15">
        <v>0.0</v>
      </c>
      <c r="S218" t="n" s="15">
        <v>0.0</v>
      </c>
      <c r="T218" t="n" s="15">
        <v>0.0</v>
      </c>
      <c r="U218" t="n" s="15">
        <v>0.0</v>
      </c>
      <c r="V218" t="n" s="15">
        <v>0.0</v>
      </c>
      <c r="W218" t="n" s="15">
        <v>0.0</v>
      </c>
      <c r="X218" t="n" s="15">
        <v>0.0</v>
      </c>
      <c r="Y218" t="n" s="15">
        <v>0.0</v>
      </c>
    </row>
    <row r="219" ht="15.0" customHeight="true">
      <c r="C219" t="s" s="15">
        <v>1738</v>
      </c>
      <c r="D219" t="n" s="15">
        <v>0.0</v>
      </c>
      <c r="E219" t="n" s="15">
        <v>0.0</v>
      </c>
      <c r="F219" t="n" s="15">
        <v>0.0</v>
      </c>
      <c r="G219" t="n" s="15">
        <v>0.0</v>
      </c>
      <c r="H219" t="n" s="15">
        <v>0.0</v>
      </c>
      <c r="I219" t="n" s="15">
        <v>15.0</v>
      </c>
      <c r="J219" t="n" s="15">
        <v>0.0</v>
      </c>
      <c r="K219" t="n" s="15">
        <v>0.0</v>
      </c>
      <c r="L219" t="n" s="15">
        <v>0.0</v>
      </c>
      <c r="M219" t="n" s="15">
        <v>0.0</v>
      </c>
      <c r="N219" t="n" s="15">
        <v>0.0</v>
      </c>
      <c r="O219" t="n" s="15">
        <v>0.0</v>
      </c>
      <c r="P219" t="n" s="15">
        <v>0.0</v>
      </c>
      <c r="Q219" t="n" s="15">
        <v>0.0</v>
      </c>
      <c r="R219" t="n" s="15">
        <v>0.0</v>
      </c>
      <c r="S219" t="n" s="15">
        <v>0.0</v>
      </c>
      <c r="T219" t="n" s="15">
        <v>0.0</v>
      </c>
      <c r="U219" t="n" s="15">
        <v>0.0</v>
      </c>
      <c r="V219" t="n" s="15">
        <v>30.0</v>
      </c>
      <c r="W219" t="n" s="15">
        <v>30.0</v>
      </c>
      <c r="X219" t="n" s="15">
        <v>0.0</v>
      </c>
      <c r="Y219" t="n" s="15">
        <v>0.0</v>
      </c>
    </row>
    <row r="220" ht="15.0" customHeight="true">
      <c r="C220" t="s" s="15">
        <v>1739</v>
      </c>
      <c r="D220" t="n" s="15">
        <v>247.0</v>
      </c>
      <c r="E220" t="n" s="15">
        <v>1503.5</v>
      </c>
      <c r="F220" t="n" s="15">
        <v>4537.9</v>
      </c>
      <c r="G220" t="n" s="15">
        <v>1701.0</v>
      </c>
      <c r="H220" t="n" s="15">
        <v>23432.9</v>
      </c>
      <c r="I220" t="n" s="15">
        <v>10331.03</v>
      </c>
      <c r="J220" t="n" s="15">
        <v>25760.3</v>
      </c>
      <c r="K220" t="n" s="15">
        <v>37753.2</v>
      </c>
      <c r="L220" t="n" s="15">
        <v>6019.85</v>
      </c>
      <c r="M220" t="n" s="15">
        <v>12243.26</v>
      </c>
      <c r="N220" t="n" s="15">
        <v>5090.5</v>
      </c>
      <c r="O220" t="n" s="15">
        <v>5038.0</v>
      </c>
      <c r="P220" t="n" s="15">
        <v>62793.24</v>
      </c>
      <c r="Q220" t="n" s="15">
        <v>678.0</v>
      </c>
      <c r="R220" t="n" s="15">
        <v>2777.0</v>
      </c>
      <c r="S220" t="n" s="15">
        <v>34833.0</v>
      </c>
      <c r="T220" t="n" s="15">
        <v>69287.96</v>
      </c>
      <c r="U220" t="n" s="15">
        <v>805.0</v>
      </c>
      <c r="V220" t="n" s="15">
        <v>20714.3</v>
      </c>
      <c r="W220" t="n" s="15">
        <v>108662.99</v>
      </c>
      <c r="X220" t="n" s="15">
        <v>54681.38</v>
      </c>
      <c r="Y220" t="n" s="15">
        <v>12514.5</v>
      </c>
    </row>
    <row r="221" ht="15.0" customHeight="true">
      <c r="C221" t="s" s="15">
        <v>1740</v>
      </c>
      <c r="D221" t="n" s="15">
        <v>454.86</v>
      </c>
      <c r="E221" t="n" s="15">
        <v>348.75</v>
      </c>
      <c r="F221" t="n" s="15">
        <v>18.73</v>
      </c>
      <c r="G221" t="n" s="15">
        <v>238.68</v>
      </c>
      <c r="H221" t="n" s="15">
        <v>162.86</v>
      </c>
      <c r="I221" t="n" s="15">
        <v>517.55</v>
      </c>
      <c r="J221" t="n" s="15">
        <v>231.95</v>
      </c>
      <c r="K221" t="n" s="15">
        <v>608.77</v>
      </c>
      <c r="L221" t="n" s="15">
        <v>411.59</v>
      </c>
      <c r="M221" t="n" s="15">
        <v>409.45</v>
      </c>
      <c r="N221" t="n" s="15">
        <v>224.31</v>
      </c>
      <c r="O221" t="n" s="15">
        <v>68.65</v>
      </c>
      <c r="P221" t="n" s="15">
        <v>350.12</v>
      </c>
      <c r="Q221" t="n" s="15">
        <v>2609.97</v>
      </c>
      <c r="R221" t="n" s="15">
        <v>62.37</v>
      </c>
      <c r="S221" t="n" s="15">
        <v>163.46</v>
      </c>
      <c r="T221" t="n" s="15">
        <v>220.47</v>
      </c>
      <c r="U221" t="n" s="15">
        <v>370.93</v>
      </c>
      <c r="V221" t="n" s="15">
        <v>716.79</v>
      </c>
      <c r="W221" t="n" s="15">
        <v>454.41</v>
      </c>
      <c r="X221" t="n" s="15">
        <v>21.17</v>
      </c>
      <c r="Y221" t="n" s="15">
        <v>390.83</v>
      </c>
    </row>
    <row r="222" ht="15.0" customHeight="true">
      <c r="C222" t="s" s="15">
        <v>1741</v>
      </c>
      <c r="D222" t="n" s="15">
        <v>58.0</v>
      </c>
      <c r="E222" t="n" s="15">
        <v>259.0</v>
      </c>
      <c r="F222" t="n" s="15">
        <v>2224.1</v>
      </c>
      <c r="G222" t="n" s="15">
        <v>2439.99</v>
      </c>
      <c r="H222" t="n" s="15">
        <v>19304.47</v>
      </c>
      <c r="I222" t="n" s="15">
        <v>8097.65</v>
      </c>
      <c r="J222" t="n" s="15">
        <v>36395.48</v>
      </c>
      <c r="K222" t="n" s="15">
        <v>22089.3</v>
      </c>
      <c r="L222" t="n" s="15">
        <v>1153.4</v>
      </c>
      <c r="M222" t="n" s="15">
        <v>6131.99</v>
      </c>
      <c r="N222" t="n" s="15">
        <v>1369.0</v>
      </c>
      <c r="O222" t="n" s="15">
        <v>0.0</v>
      </c>
      <c r="P222" t="n" s="15">
        <v>378.7</v>
      </c>
      <c r="Q222" t="n" s="15">
        <v>35.9</v>
      </c>
      <c r="R222" t="n" s="15">
        <v>0.0</v>
      </c>
      <c r="S222" t="n" s="15">
        <v>0.0</v>
      </c>
      <c r="T222" t="n" s="15">
        <v>0.0</v>
      </c>
      <c r="U222" t="n" s="15">
        <v>689.0</v>
      </c>
      <c r="V222" t="n" s="15">
        <v>0.0</v>
      </c>
      <c r="W222" t="n" s="15">
        <v>0.0</v>
      </c>
      <c r="X222" t="n" s="15">
        <v>0.0</v>
      </c>
      <c r="Y222" t="n" s="15">
        <v>0.0</v>
      </c>
    </row>
    <row r="223" ht="15.0" customHeight="true">
      <c r="C223" t="s" s="15">
        <v>1742</v>
      </c>
      <c r="D223" t="n" s="15">
        <v>241650.97</v>
      </c>
      <c r="E223" t="n" s="15">
        <v>64187.61</v>
      </c>
      <c r="F223" t="n" s="15">
        <v>76566.13</v>
      </c>
      <c r="G223" t="n" s="15">
        <v>61738.44</v>
      </c>
      <c r="H223" t="n" s="15">
        <v>64424.65</v>
      </c>
      <c r="I223" t="n" s="15">
        <v>78491.48</v>
      </c>
      <c r="J223" t="n" s="15">
        <v>67812.03</v>
      </c>
      <c r="K223" t="n" s="15">
        <v>62557.7</v>
      </c>
      <c r="L223" t="n" s="15">
        <v>60229.96</v>
      </c>
      <c r="M223" t="n" s="15">
        <v>55570.86</v>
      </c>
      <c r="N223" t="n" s="15">
        <v>70406.63</v>
      </c>
      <c r="O223" t="n" s="15">
        <v>35473.76</v>
      </c>
      <c r="P223" t="n" s="15">
        <v>44251.37</v>
      </c>
      <c r="Q223" t="n" s="15">
        <v>157290.51</v>
      </c>
      <c r="R223" t="n" s="15">
        <v>33831.46</v>
      </c>
      <c r="S223" t="n" s="15">
        <v>40714.6</v>
      </c>
      <c r="T223" t="n" s="15">
        <v>50602.66</v>
      </c>
      <c r="U223" t="n" s="15">
        <v>54667.75</v>
      </c>
      <c r="V223" t="n" s="15">
        <v>29029.93</v>
      </c>
      <c r="W223" t="n" s="15">
        <v>55069.54</v>
      </c>
      <c r="X223" t="n" s="15">
        <v>55119.49</v>
      </c>
      <c r="Y223" t="n" s="15">
        <v>36071.71</v>
      </c>
    </row>
    <row r="224" ht="15.0" customHeight="true">
      <c r="C224" t="s" s="15">
        <v>1743</v>
      </c>
      <c r="D224" t="n" s="15">
        <v>0.0</v>
      </c>
      <c r="E224" t="n" s="15">
        <v>50.0</v>
      </c>
      <c r="F224" t="n" s="15">
        <v>1.0</v>
      </c>
      <c r="G224" t="n" s="15">
        <v>0.0</v>
      </c>
      <c r="H224" t="n" s="15">
        <v>0.1</v>
      </c>
      <c r="I224" t="n" s="15">
        <v>0.0</v>
      </c>
      <c r="J224" t="n" s="15">
        <v>0.0</v>
      </c>
      <c r="K224" t="n" s="15">
        <v>15.0</v>
      </c>
      <c r="L224" t="n" s="15">
        <v>0.0</v>
      </c>
      <c r="M224" t="n" s="15">
        <v>12.0</v>
      </c>
      <c r="N224" t="n" s="15">
        <v>0.0</v>
      </c>
      <c r="O224" t="n" s="15">
        <v>9729.7</v>
      </c>
      <c r="P224" t="n" s="15">
        <v>109541.45</v>
      </c>
      <c r="Q224" t="n" s="15">
        <v>0.0</v>
      </c>
      <c r="R224" t="n" s="15">
        <v>944.0</v>
      </c>
      <c r="S224" t="n" s="15">
        <v>77554.79</v>
      </c>
      <c r="T224" t="n" s="15">
        <v>24286.4</v>
      </c>
      <c r="U224" t="n" s="15">
        <v>11838.5</v>
      </c>
      <c r="V224" t="n" s="15">
        <v>64668.97</v>
      </c>
      <c r="W224" t="n" s="15">
        <v>121525.0</v>
      </c>
      <c r="X224" t="n" s="15">
        <v>33090.9</v>
      </c>
      <c r="Y224" t="n" s="15">
        <v>34495.85</v>
      </c>
    </row>
    <row r="225" ht="15.0" customHeight="true">
      <c r="C225" t="s" s="15">
        <v>1744</v>
      </c>
      <c r="D225" t="n" s="15">
        <v>177536.6</v>
      </c>
      <c r="E225" t="n" s="15">
        <v>5027.54</v>
      </c>
      <c r="F225" t="n" s="15">
        <v>9038.44</v>
      </c>
      <c r="G225" t="n" s="15">
        <v>4286.29</v>
      </c>
      <c r="H225" t="n" s="15">
        <v>3396.18</v>
      </c>
      <c r="I225" t="n" s="15">
        <v>5070.78</v>
      </c>
      <c r="J225" t="n" s="15">
        <v>16610.12</v>
      </c>
      <c r="K225" t="n" s="15">
        <v>9139.1</v>
      </c>
      <c r="L225" t="n" s="15">
        <v>5183.14</v>
      </c>
      <c r="M225" t="n" s="15">
        <v>3422.36</v>
      </c>
      <c r="N225" t="n" s="15">
        <v>3560.94</v>
      </c>
      <c r="O225" t="n" s="15">
        <v>2225.81</v>
      </c>
      <c r="P225" t="n" s="15">
        <v>2208.24</v>
      </c>
      <c r="Q225" t="n" s="15">
        <v>135023.83</v>
      </c>
      <c r="R225" t="n" s="15">
        <v>6655.56</v>
      </c>
      <c r="S225" t="n" s="15">
        <v>8005.52</v>
      </c>
      <c r="T225" t="n" s="15">
        <v>4845.64</v>
      </c>
      <c r="U225" t="n" s="15">
        <v>15433.97</v>
      </c>
      <c r="V225" t="n" s="15">
        <v>9972.97</v>
      </c>
      <c r="W225" t="n" s="15">
        <v>11935.26</v>
      </c>
      <c r="X225" t="n" s="15">
        <v>9365.11</v>
      </c>
      <c r="Y225" t="n" s="15">
        <v>2551.15</v>
      </c>
    </row>
    <row r="226" ht="15.0" customHeight="true">
      <c r="C226" t="s" s="15">
        <v>1745</v>
      </c>
      <c r="D226" t="n" s="15">
        <v>1216024.77</v>
      </c>
      <c r="E226" t="n" s="15">
        <v>35094.33</v>
      </c>
      <c r="F226" t="n" s="15">
        <v>65762.37</v>
      </c>
      <c r="G226" t="n" s="15">
        <v>46407.7</v>
      </c>
      <c r="H226" t="n" s="15">
        <v>25351.84</v>
      </c>
      <c r="I226" t="n" s="15">
        <v>23703.28</v>
      </c>
      <c r="J226" t="n" s="15">
        <v>35970.85</v>
      </c>
      <c r="K226" t="n" s="15">
        <v>22833.66</v>
      </c>
      <c r="L226" t="n" s="15">
        <v>28485.5</v>
      </c>
      <c r="M226" t="n" s="15">
        <v>21639.39</v>
      </c>
      <c r="N226" t="n" s="15">
        <v>27956.21</v>
      </c>
      <c r="O226" t="n" s="15">
        <v>14146.55</v>
      </c>
      <c r="P226" t="n" s="15">
        <v>11597.54</v>
      </c>
      <c r="Q226" t="n" s="15">
        <v>157509.57</v>
      </c>
      <c r="R226" t="n" s="15">
        <v>12642.15</v>
      </c>
      <c r="S226" t="n" s="15">
        <v>11068.5</v>
      </c>
      <c r="T226" t="n" s="15">
        <v>11179.41</v>
      </c>
      <c r="U226" t="n" s="15">
        <v>15275.0</v>
      </c>
      <c r="V226" t="n" s="15">
        <v>9852.76</v>
      </c>
      <c r="W226" t="n" s="15">
        <v>14722.37</v>
      </c>
      <c r="X226" t="n" s="15">
        <v>10154.26</v>
      </c>
      <c r="Y226" t="n" s="15">
        <v>11853.96</v>
      </c>
    </row>
    <row r="227" ht="15.0" customHeight="true">
      <c r="C227" t="s" s="15">
        <v>1746</v>
      </c>
      <c r="D227" t="n" s="15">
        <v>58.0</v>
      </c>
      <c r="E227" t="n" s="15">
        <v>310.1</v>
      </c>
      <c r="F227" t="n" s="15">
        <v>7012.91</v>
      </c>
      <c r="G227" t="n" s="15">
        <v>3446.99</v>
      </c>
      <c r="H227" t="n" s="15">
        <v>40537.97</v>
      </c>
      <c r="I227" t="n" s="15">
        <v>20799.81</v>
      </c>
      <c r="J227" t="n" s="15">
        <v>56076.98</v>
      </c>
      <c r="K227" t="n" s="15">
        <v>38460.5</v>
      </c>
      <c r="L227" t="n" s="15">
        <v>2684.9</v>
      </c>
      <c r="M227" t="n" s="15">
        <v>17332.69</v>
      </c>
      <c r="N227" t="n" s="15">
        <v>6709.0</v>
      </c>
      <c r="O227" t="n" s="15">
        <v>4835.5</v>
      </c>
      <c r="P227" t="n" s="15">
        <v>137667.28</v>
      </c>
      <c r="Q227" t="n" s="15">
        <v>404.09</v>
      </c>
      <c r="R227" t="n" s="15">
        <v>11084.0</v>
      </c>
      <c r="S227" t="n" s="15">
        <v>91307.75</v>
      </c>
      <c r="T227" t="n" s="15">
        <v>54113.97</v>
      </c>
      <c r="U227" t="n" s="15">
        <v>81264.85</v>
      </c>
      <c r="V227" t="n" s="15">
        <v>126801.53</v>
      </c>
      <c r="W227" t="n" s="15">
        <v>46950.03</v>
      </c>
      <c r="X227" t="n" s="15">
        <v>146119.5</v>
      </c>
      <c r="Y227" t="n" s="15">
        <v>64202.21</v>
      </c>
    </row>
    <row r="228" ht="15.0" customHeight="true">
      <c r="C228" t="s" s="15">
        <v>1747</v>
      </c>
      <c r="D228" t="n" s="15">
        <v>0.0</v>
      </c>
      <c r="E228" t="n" s="15">
        <v>10946.0</v>
      </c>
      <c r="F228" t="n" s="15">
        <v>19795.0</v>
      </c>
      <c r="G228" t="n" s="15">
        <v>8107.0</v>
      </c>
      <c r="H228" t="n" s="15">
        <v>12499.7</v>
      </c>
      <c r="I228" t="n" s="15">
        <v>19720.5</v>
      </c>
      <c r="J228" t="n" s="15">
        <v>12405.5</v>
      </c>
      <c r="K228" t="n" s="15">
        <v>12744.0</v>
      </c>
      <c r="L228" t="n" s="15">
        <v>17622.9</v>
      </c>
      <c r="M228" t="n" s="15">
        <v>16300.0</v>
      </c>
      <c r="N228" t="n" s="15">
        <v>19617.0</v>
      </c>
      <c r="O228" t="n" s="15">
        <v>8577.0</v>
      </c>
      <c r="P228" t="n" s="15">
        <v>7453.0</v>
      </c>
      <c r="Q228" t="n" s="15">
        <v>6294.0</v>
      </c>
      <c r="R228" t="n" s="15">
        <v>6176.0</v>
      </c>
      <c r="S228" t="n" s="15">
        <v>10618.5</v>
      </c>
      <c r="T228" t="n" s="15">
        <v>14340.0</v>
      </c>
      <c r="U228" t="n" s="15">
        <v>12360.0</v>
      </c>
      <c r="V228" t="n" s="15">
        <v>10004.0</v>
      </c>
      <c r="W228" t="n" s="15">
        <v>13254.0</v>
      </c>
      <c r="X228" t="n" s="15">
        <v>7862.0</v>
      </c>
      <c r="Y228" t="n" s="15">
        <v>13719.6</v>
      </c>
    </row>
    <row r="229" ht="15.0" customHeight="true">
      <c r="C229" t="s" s="15">
        <v>1748</v>
      </c>
      <c r="D229" t="n" s="15">
        <v>0.0</v>
      </c>
      <c r="E229" t="n" s="15">
        <v>0.0</v>
      </c>
      <c r="F229" t="n" s="15">
        <v>0.0</v>
      </c>
      <c r="G229" t="n" s="15">
        <v>0.0</v>
      </c>
      <c r="H229" t="n" s="15">
        <v>0.0</v>
      </c>
      <c r="I229" t="n" s="15">
        <v>0.0</v>
      </c>
      <c r="J229" t="n" s="15">
        <v>0.0</v>
      </c>
      <c r="K229" t="n" s="15">
        <v>0.0</v>
      </c>
      <c r="L229" t="n" s="15">
        <v>0.0</v>
      </c>
      <c r="M229" t="n" s="15">
        <v>0.0</v>
      </c>
      <c r="N229" t="n" s="15">
        <v>0.0</v>
      </c>
      <c r="O229" t="n" s="15">
        <v>0.0</v>
      </c>
      <c r="P229" t="n" s="15">
        <v>0.0</v>
      </c>
      <c r="Q229" t="n" s="15">
        <v>0.0</v>
      </c>
      <c r="R229" t="n" s="15">
        <v>0.0</v>
      </c>
      <c r="S229" t="n" s="15">
        <v>0.0</v>
      </c>
      <c r="T229" t="n" s="15">
        <v>0.0</v>
      </c>
      <c r="U229" t="n" s="15">
        <v>0.0</v>
      </c>
      <c r="V229" t="n" s="15">
        <v>30.0</v>
      </c>
      <c r="W229" t="n" s="15">
        <v>30.0</v>
      </c>
      <c r="X229" t="n" s="15">
        <v>0.0</v>
      </c>
      <c r="Y229" t="n" s="15">
        <v>0.0</v>
      </c>
    </row>
    <row r="230" ht="15.0" customHeight="true">
      <c r="C230" t="s" s="15">
        <v>1749</v>
      </c>
      <c r="D230" t="n" s="15">
        <v>9165.88</v>
      </c>
      <c r="E230" t="n" s="15">
        <v>3441.88</v>
      </c>
      <c r="F230" t="n" s="15">
        <v>1747.27</v>
      </c>
      <c r="G230" t="n" s="15">
        <v>442.33</v>
      </c>
      <c r="H230" t="n" s="15">
        <v>1221.45</v>
      </c>
      <c r="I230" t="n" s="15">
        <v>2939.48</v>
      </c>
      <c r="J230" t="n" s="15">
        <v>240.44</v>
      </c>
      <c r="K230" t="n" s="15">
        <v>235.13</v>
      </c>
      <c r="L230" t="n" s="15">
        <v>100.0</v>
      </c>
      <c r="M230" t="n" s="15">
        <v>862.95</v>
      </c>
      <c r="N230" t="n" s="15">
        <v>272.03</v>
      </c>
      <c r="O230" t="n" s="15">
        <v>0.0</v>
      </c>
      <c r="P230" t="n" s="15">
        <v>1209.82</v>
      </c>
      <c r="Q230" t="n" s="15">
        <v>2411.45</v>
      </c>
      <c r="R230" t="n" s="15">
        <v>113.11</v>
      </c>
      <c r="S230" t="n" s="15">
        <v>200.0</v>
      </c>
      <c r="T230" t="n" s="15">
        <v>459.25</v>
      </c>
      <c r="U230" t="n" s="15">
        <v>205.31</v>
      </c>
      <c r="V230" t="n" s="15">
        <v>462.74</v>
      </c>
      <c r="W230" t="n" s="15">
        <v>106.32</v>
      </c>
      <c r="X230" t="n" s="15">
        <v>1018.51</v>
      </c>
      <c r="Y230" t="n" s="15">
        <v>900.02</v>
      </c>
    </row>
    <row r="231" ht="15.0" customHeight="true">
      <c r="C231" t="s" s="15">
        <v>1750</v>
      </c>
      <c r="D231" t="n" s="15">
        <v>14792.79</v>
      </c>
      <c r="E231" t="n" s="15">
        <v>8100.64</v>
      </c>
      <c r="F231" t="n" s="15">
        <v>12610.38</v>
      </c>
      <c r="G231" t="n" s="15">
        <v>12641.17</v>
      </c>
      <c r="H231" t="n" s="15">
        <v>12081.63</v>
      </c>
      <c r="I231" t="n" s="15">
        <v>20790.71</v>
      </c>
      <c r="J231" t="n" s="15">
        <v>9503.4</v>
      </c>
      <c r="K231" t="n" s="15">
        <v>8312.19</v>
      </c>
      <c r="L231" t="n" s="15">
        <v>20985.52</v>
      </c>
      <c r="M231" t="n" s="15">
        <v>11322.95</v>
      </c>
      <c r="N231" t="n" s="15">
        <v>13835.46</v>
      </c>
      <c r="O231" t="n" s="15">
        <v>6313.72</v>
      </c>
      <c r="P231" t="n" s="15">
        <v>12417.34</v>
      </c>
      <c r="Q231" t="n" s="15">
        <v>10529.81</v>
      </c>
      <c r="R231" t="n" s="15">
        <v>9808.59</v>
      </c>
      <c r="S231" t="n" s="15">
        <v>3790.54</v>
      </c>
      <c r="T231" t="n" s="15">
        <v>10980.86</v>
      </c>
      <c r="U231" t="n" s="15">
        <v>18186.52</v>
      </c>
      <c r="V231" t="n" s="15">
        <v>3583.94</v>
      </c>
      <c r="W231" t="n" s="15">
        <v>8981.83</v>
      </c>
      <c r="X231" t="n" s="15">
        <v>6283.18</v>
      </c>
      <c r="Y231" t="n" s="15">
        <v>5759.77</v>
      </c>
    </row>
    <row r="232" ht="15.0" customHeight="true">
      <c r="C232" t="s" s="15">
        <v>1751</v>
      </c>
      <c r="D232" t="n" s="15">
        <v>0.0</v>
      </c>
      <c r="E232" t="n" s="15">
        <v>0.0</v>
      </c>
      <c r="F232" t="n" s="15">
        <v>0.0</v>
      </c>
      <c r="G232" t="n" s="15">
        <v>0.0</v>
      </c>
      <c r="H232" t="n" s="15">
        <v>0.0</v>
      </c>
      <c r="I232" t="n" s="15">
        <v>100.0</v>
      </c>
      <c r="J232" t="n" s="15">
        <v>0.0</v>
      </c>
      <c r="K232" t="n" s="15">
        <v>0.0</v>
      </c>
      <c r="L232" t="n" s="15">
        <v>0.0</v>
      </c>
      <c r="M232" t="n" s="15">
        <v>0.0</v>
      </c>
      <c r="N232" t="n" s="15">
        <v>0.0</v>
      </c>
      <c r="O232" t="n" s="15">
        <v>0.0</v>
      </c>
      <c r="P232" t="n" s="15">
        <v>0.0</v>
      </c>
      <c r="Q232" t="n" s="15">
        <v>0.0</v>
      </c>
      <c r="R232" t="n" s="15">
        <v>0.0</v>
      </c>
      <c r="S232" t="n" s="15">
        <v>0.0</v>
      </c>
      <c r="T232" t="n" s="15">
        <v>0.0</v>
      </c>
      <c r="U232" t="n" s="15">
        <v>0.0</v>
      </c>
      <c r="V232" t="n" s="15">
        <v>0.0</v>
      </c>
      <c r="W232" t="n" s="15">
        <v>0.0</v>
      </c>
      <c r="X232" t="n" s="15">
        <v>137.7</v>
      </c>
      <c r="Y232" t="n" s="15">
        <v>0.0</v>
      </c>
    </row>
    <row r="233" ht="15.0" customHeight="true">
      <c r="C233" t="s" s="15">
        <v>1752</v>
      </c>
      <c r="D233" t="n" s="15">
        <v>0.0</v>
      </c>
      <c r="E233" t="n" s="15">
        <v>0.0</v>
      </c>
      <c r="F233" t="n" s="15">
        <v>0.0</v>
      </c>
      <c r="G233" t="n" s="15">
        <v>0.0</v>
      </c>
      <c r="H233" t="n" s="15">
        <v>0.0</v>
      </c>
      <c r="I233" t="n" s="15">
        <v>24.1</v>
      </c>
      <c r="J233" t="n" s="15">
        <v>0.0</v>
      </c>
      <c r="K233" t="n" s="15">
        <v>0.0</v>
      </c>
      <c r="L233" t="n" s="15">
        <v>0.0</v>
      </c>
      <c r="M233" t="n" s="15">
        <v>8.0</v>
      </c>
      <c r="N233" t="n" s="15">
        <v>0.0</v>
      </c>
      <c r="O233" t="n" s="15">
        <v>12.0</v>
      </c>
      <c r="P233" t="n" s="15">
        <v>30.7</v>
      </c>
      <c r="Q233" t="n" s="15">
        <v>0.0</v>
      </c>
      <c r="R233" t="n" s="15">
        <v>0.0</v>
      </c>
      <c r="S233" t="n" s="15">
        <v>42.4</v>
      </c>
      <c r="T233" t="n" s="15">
        <v>0.0</v>
      </c>
      <c r="U233" t="n" s="15">
        <v>0.0</v>
      </c>
      <c r="V233" t="n" s="15">
        <v>8.0</v>
      </c>
      <c r="W233" t="n" s="15">
        <v>47.8</v>
      </c>
      <c r="X233" t="n" s="15">
        <v>0.0</v>
      </c>
      <c r="Y233" t="n" s="15">
        <v>51.1</v>
      </c>
    </row>
    <row r="234" ht="15.0" customHeight="true">
      <c r="C234" t="s" s="15">
        <v>1753</v>
      </c>
      <c r="D234" t="n" s="15">
        <v>2349.99</v>
      </c>
      <c r="E234" t="n" s="15">
        <v>119171.69</v>
      </c>
      <c r="F234" t="n" s="15">
        <v>124833.5</v>
      </c>
      <c r="G234" t="n" s="15">
        <v>57919.03</v>
      </c>
      <c r="H234" t="n" s="15">
        <v>152440.1</v>
      </c>
      <c r="I234" t="n" s="15">
        <v>149095.4</v>
      </c>
      <c r="J234" t="n" s="15">
        <v>102032.96</v>
      </c>
      <c r="K234" t="n" s="15">
        <v>144938.15</v>
      </c>
      <c r="L234" t="n" s="15">
        <v>105783.26</v>
      </c>
      <c r="M234" t="n" s="15">
        <v>128474.89</v>
      </c>
      <c r="N234" t="n" s="15">
        <v>99612.95</v>
      </c>
      <c r="O234" t="n" s="15">
        <v>35125.6</v>
      </c>
      <c r="P234" t="n" s="15">
        <v>146417.5</v>
      </c>
      <c r="Q234" t="n" s="15">
        <v>34426.01</v>
      </c>
      <c r="R234" t="n" s="15">
        <v>24217.0</v>
      </c>
      <c r="S234" t="n" s="15">
        <v>163470.34</v>
      </c>
      <c r="T234" t="n" s="15">
        <v>96289.95</v>
      </c>
      <c r="U234" t="n" s="15">
        <v>58245.0</v>
      </c>
      <c r="V234" t="n" s="15">
        <v>99137.75</v>
      </c>
      <c r="W234" t="n" s="15">
        <v>82486.95</v>
      </c>
      <c r="X234" t="n" s="15">
        <v>86586.31</v>
      </c>
      <c r="Y234" t="n" s="15">
        <v>116126.37</v>
      </c>
    </row>
    <row r="235" ht="15.0" customHeight="true">
      <c r="C235" t="s" s="15">
        <v>1754</v>
      </c>
      <c r="D235" t="n" s="15">
        <v>0.0</v>
      </c>
      <c r="E235" t="n" s="15">
        <v>0.0</v>
      </c>
      <c r="F235" t="n" s="15">
        <v>0.0</v>
      </c>
      <c r="G235" t="n" s="15">
        <v>0.0</v>
      </c>
      <c r="H235" t="n" s="15">
        <v>0.0</v>
      </c>
      <c r="I235" t="n" s="15">
        <v>0.0</v>
      </c>
      <c r="J235" t="n" s="15">
        <v>0.0</v>
      </c>
      <c r="K235" t="n" s="15">
        <v>26.0</v>
      </c>
      <c r="L235" t="n" s="15">
        <v>0.0</v>
      </c>
      <c r="M235" t="n" s="15">
        <v>0.0</v>
      </c>
      <c r="N235" t="n" s="15">
        <v>0.0</v>
      </c>
      <c r="O235" t="n" s="15">
        <v>0.0</v>
      </c>
      <c r="P235" t="n" s="15">
        <v>0.0</v>
      </c>
      <c r="Q235" t="n" s="15">
        <v>0.0</v>
      </c>
      <c r="R235" t="n" s="15">
        <v>0.0</v>
      </c>
      <c r="S235" t="n" s="15">
        <v>0.0</v>
      </c>
      <c r="T235" t="n" s="15">
        <v>0.0</v>
      </c>
      <c r="U235" t="n" s="15">
        <v>0.0</v>
      </c>
      <c r="V235" t="n" s="15">
        <v>0.0</v>
      </c>
      <c r="W235" t="n" s="15">
        <v>0.0</v>
      </c>
      <c r="X235" t="n" s="15">
        <v>0.0</v>
      </c>
      <c r="Y235" t="n" s="15">
        <v>0.0</v>
      </c>
    </row>
    <row r="236" ht="15.0" customHeight="true">
      <c r="C236" t="s" s="15">
        <v>1755</v>
      </c>
      <c r="D236" t="n" s="15">
        <v>0.0</v>
      </c>
      <c r="E236" t="n" s="15">
        <v>0.0</v>
      </c>
      <c r="F236" t="n" s="15">
        <v>0.0</v>
      </c>
      <c r="G236" t="n" s="15">
        <v>0.0</v>
      </c>
      <c r="H236" t="n" s="15">
        <v>0.0</v>
      </c>
      <c r="I236" t="n" s="15">
        <v>0.0</v>
      </c>
      <c r="J236" t="n" s="15">
        <v>0.0</v>
      </c>
      <c r="K236" t="n" s="15">
        <v>30.0</v>
      </c>
      <c r="L236" t="n" s="15">
        <v>0.0</v>
      </c>
      <c r="M236" t="n" s="15">
        <v>0.0</v>
      </c>
      <c r="N236" t="n" s="15">
        <v>0.0</v>
      </c>
      <c r="O236" t="n" s="15">
        <v>0.0</v>
      </c>
      <c r="P236" t="n" s="15">
        <v>0.0</v>
      </c>
      <c r="Q236" t="n" s="15">
        <v>0.0</v>
      </c>
      <c r="R236" t="n" s="15">
        <v>0.0</v>
      </c>
      <c r="S236" t="n" s="15">
        <v>0.0</v>
      </c>
      <c r="T236" t="n" s="15">
        <v>0.0</v>
      </c>
      <c r="U236" t="n" s="15">
        <v>0.0</v>
      </c>
      <c r="V236" t="n" s="15">
        <v>0.0</v>
      </c>
      <c r="W236" t="n" s="15">
        <v>0.0</v>
      </c>
      <c r="X236" t="n" s="15">
        <v>0.0</v>
      </c>
      <c r="Y236" t="n" s="15">
        <v>0.0</v>
      </c>
    </row>
    <row r="237" ht="15.0" customHeight="true">
      <c r="C237" t="s" s="15">
        <v>1756</v>
      </c>
      <c r="D237" t="n" s="15">
        <v>301.48</v>
      </c>
      <c r="E237" t="n" s="15">
        <v>482.0</v>
      </c>
      <c r="F237" t="n" s="15">
        <v>6521.9</v>
      </c>
      <c r="G237" t="n" s="15">
        <v>2064.96</v>
      </c>
      <c r="H237" t="n" s="15">
        <v>13124.78</v>
      </c>
      <c r="I237" t="n" s="15">
        <v>5390.17</v>
      </c>
      <c r="J237" t="n" s="15">
        <v>18635.36</v>
      </c>
      <c r="K237" t="n" s="15">
        <v>34536.0</v>
      </c>
      <c r="L237" t="n" s="15">
        <v>6004.36</v>
      </c>
      <c r="M237" t="n" s="15">
        <v>12156.9</v>
      </c>
      <c r="N237" t="n" s="15">
        <v>3622.5</v>
      </c>
      <c r="O237" t="n" s="15">
        <v>0.0</v>
      </c>
      <c r="P237" t="n" s="15">
        <v>793.4</v>
      </c>
      <c r="Q237" t="n" s="15">
        <v>14.6</v>
      </c>
      <c r="R237" t="n" s="15">
        <v>0.0</v>
      </c>
      <c r="S237" t="n" s="15">
        <v>0.0</v>
      </c>
      <c r="T237" t="n" s="15">
        <v>0.0</v>
      </c>
      <c r="U237" t="n" s="15">
        <v>0.0</v>
      </c>
      <c r="V237" t="n" s="15">
        <v>0.0</v>
      </c>
      <c r="W237" t="n" s="15">
        <v>0.0</v>
      </c>
      <c r="X237" t="n" s="15">
        <v>0.0</v>
      </c>
      <c r="Y237" t="n" s="15">
        <v>0.0</v>
      </c>
    </row>
    <row r="238" ht="15.0" customHeight="true">
      <c r="C238" t="s" s="15">
        <v>1757</v>
      </c>
      <c r="D238" t="n" s="15">
        <v>0.0</v>
      </c>
      <c r="E238" t="n" s="15">
        <v>0.0</v>
      </c>
      <c r="F238" t="n" s="15">
        <v>0.0</v>
      </c>
      <c r="G238" t="n" s="15">
        <v>0.0</v>
      </c>
      <c r="H238" t="n" s="15">
        <v>0.0</v>
      </c>
      <c r="I238" t="n" s="15">
        <v>24.1</v>
      </c>
      <c r="J238" t="n" s="15">
        <v>0.0</v>
      </c>
      <c r="K238" t="n" s="15">
        <v>0.0</v>
      </c>
      <c r="L238" t="n" s="15">
        <v>0.0</v>
      </c>
      <c r="M238" t="n" s="15">
        <v>8.0</v>
      </c>
      <c r="N238" t="n" s="15">
        <v>0.0</v>
      </c>
      <c r="O238" t="n" s="15">
        <v>4.0</v>
      </c>
      <c r="P238" t="n" s="15">
        <v>30.7</v>
      </c>
      <c r="Q238" t="n" s="15">
        <v>0.0</v>
      </c>
      <c r="R238" t="n" s="15">
        <v>0.0</v>
      </c>
      <c r="S238" t="n" s="15">
        <v>42.4</v>
      </c>
      <c r="T238" t="n" s="15">
        <v>0.0</v>
      </c>
      <c r="U238" t="n" s="15">
        <v>0.0</v>
      </c>
      <c r="V238" t="n" s="15">
        <v>8.0</v>
      </c>
      <c r="W238" t="n" s="15">
        <v>31.8</v>
      </c>
      <c r="X238" t="n" s="15">
        <v>0.0</v>
      </c>
      <c r="Y238" t="n" s="15">
        <v>51.1</v>
      </c>
    </row>
    <row r="239" ht="15.0" customHeight="true">
      <c r="C239" t="s" s="15">
        <v>1758</v>
      </c>
      <c r="D239" t="n" s="15">
        <v>0.0</v>
      </c>
      <c r="E239" t="n" s="15">
        <v>0.0</v>
      </c>
      <c r="F239" t="n" s="15">
        <v>0.0</v>
      </c>
      <c r="G239" t="n" s="15">
        <v>0.0</v>
      </c>
      <c r="H239" t="n" s="15">
        <v>0.0</v>
      </c>
      <c r="I239" t="n" s="15">
        <v>0.0</v>
      </c>
      <c r="J239" t="n" s="15">
        <v>0.0</v>
      </c>
      <c r="K239" t="n" s="15">
        <v>0.0</v>
      </c>
      <c r="L239" t="n" s="15">
        <v>0.0</v>
      </c>
      <c r="M239" t="n" s="15">
        <v>0.0</v>
      </c>
      <c r="N239" t="n" s="15">
        <v>0.0</v>
      </c>
      <c r="O239" t="n" s="15">
        <v>0.0</v>
      </c>
      <c r="P239" t="n" s="15">
        <v>4464.0</v>
      </c>
      <c r="Q239" t="n" s="15">
        <v>0.0</v>
      </c>
      <c r="R239" t="n" s="15">
        <v>0.0</v>
      </c>
      <c r="S239" t="n" s="15">
        <v>3410.0</v>
      </c>
      <c r="T239" t="n" s="15">
        <v>0.0</v>
      </c>
      <c r="U239" t="n" s="15">
        <v>0.0</v>
      </c>
      <c r="V239" t="n" s="15">
        <v>5746.0</v>
      </c>
      <c r="W239" t="n" s="15">
        <v>1760.0</v>
      </c>
      <c r="X239" t="n" s="15">
        <v>2780.0</v>
      </c>
      <c r="Y239" t="n" s="15">
        <v>0.0</v>
      </c>
    </row>
    <row r="240" ht="15.0" customHeight="true">
      <c r="C240" t="s" s="15">
        <v>1759</v>
      </c>
      <c r="D240" t="n" s="15">
        <v>0.0</v>
      </c>
      <c r="E240" t="n" s="15">
        <v>0.0</v>
      </c>
      <c r="F240" t="n" s="15">
        <v>0.0</v>
      </c>
      <c r="G240" t="n" s="15">
        <v>0.0</v>
      </c>
      <c r="H240" t="n" s="15">
        <v>0.0</v>
      </c>
      <c r="I240" t="n" s="15">
        <v>0.0</v>
      </c>
      <c r="J240" t="n" s="15">
        <v>0.0</v>
      </c>
      <c r="K240" t="n" s="15">
        <v>0.0</v>
      </c>
      <c r="L240" t="n" s="15">
        <v>0.0</v>
      </c>
      <c r="M240" t="n" s="15">
        <v>0.0</v>
      </c>
      <c r="N240" t="n" s="15">
        <v>0.0</v>
      </c>
      <c r="O240" t="n" s="15">
        <v>0.0</v>
      </c>
      <c r="P240" t="n" s="15">
        <v>0.0</v>
      </c>
      <c r="Q240" t="n" s="15">
        <v>0.0</v>
      </c>
      <c r="R240" t="n" s="15">
        <v>0.0</v>
      </c>
      <c r="S240" t="n" s="15">
        <v>0.0</v>
      </c>
      <c r="T240" t="n" s="15">
        <v>0.0</v>
      </c>
      <c r="U240" t="n" s="15">
        <v>0.0</v>
      </c>
      <c r="V240" t="n" s="15">
        <v>0.0</v>
      </c>
      <c r="W240" t="n" s="15">
        <v>20.0</v>
      </c>
      <c r="X240" t="n" s="15">
        <v>0.0</v>
      </c>
      <c r="Y240" t="n" s="15">
        <v>0.0</v>
      </c>
    </row>
    <row r="241" ht="15.0" customHeight="true">
      <c r="C241" t="s" s="15">
        <v>1760</v>
      </c>
      <c r="D241" t="n" s="15">
        <v>0.0</v>
      </c>
      <c r="E241" t="n" s="15">
        <v>0.0</v>
      </c>
      <c r="F241" t="n" s="15">
        <v>0.0</v>
      </c>
      <c r="G241" t="n" s="15">
        <v>0.0</v>
      </c>
      <c r="H241" t="n" s="15">
        <v>136.0</v>
      </c>
      <c r="I241" t="n" s="15">
        <v>0.0</v>
      </c>
      <c r="J241" t="n" s="15">
        <v>0.0</v>
      </c>
      <c r="K241" t="n" s="15">
        <v>0.0</v>
      </c>
      <c r="L241" t="n" s="15">
        <v>0.0</v>
      </c>
      <c r="M241" t="n" s="15">
        <v>0.0</v>
      </c>
      <c r="N241" t="n" s="15">
        <v>0.0</v>
      </c>
      <c r="O241" t="n" s="15">
        <v>0.0</v>
      </c>
      <c r="P241" t="n" s="15">
        <v>121.6</v>
      </c>
      <c r="Q241" t="n" s="15">
        <v>19.15</v>
      </c>
      <c r="R241" t="n" s="15">
        <v>0.0</v>
      </c>
      <c r="S241" t="n" s="15">
        <v>0.0</v>
      </c>
      <c r="T241" t="n" s="15">
        <v>0.0</v>
      </c>
      <c r="U241" t="n" s="15">
        <v>700.0</v>
      </c>
      <c r="V241" t="n" s="15">
        <v>0.0</v>
      </c>
      <c r="W241" t="n" s="15">
        <v>0.0</v>
      </c>
      <c r="X241" t="n" s="15">
        <v>0.0</v>
      </c>
      <c r="Y241" t="n" s="15">
        <v>0.0</v>
      </c>
    </row>
    <row r="242" ht="15.0" customHeight="true">
      <c r="C242" t="s" s="15">
        <v>1761</v>
      </c>
      <c r="D242" t="n" s="15">
        <v>525395.2</v>
      </c>
      <c r="E242" t="n" s="15">
        <v>485465.77</v>
      </c>
      <c r="F242" t="n" s="15">
        <v>542409.72</v>
      </c>
      <c r="G242" t="n" s="15">
        <v>539899.43</v>
      </c>
      <c r="H242" t="n" s="15">
        <v>548571.13</v>
      </c>
      <c r="I242" t="n" s="15">
        <v>556082.6</v>
      </c>
      <c r="J242" t="n" s="15">
        <v>546619.38</v>
      </c>
      <c r="K242" t="n" s="15">
        <v>615500.08</v>
      </c>
      <c r="L242" t="n" s="15">
        <v>476072.73</v>
      </c>
      <c r="M242" t="n" s="15">
        <v>489753.07</v>
      </c>
      <c r="N242" t="n" s="15">
        <v>470053.68</v>
      </c>
      <c r="O242" t="n" s="15">
        <v>243316.21</v>
      </c>
      <c r="P242" t="n" s="15">
        <v>644888.11</v>
      </c>
      <c r="Q242" t="n" s="15">
        <v>298306.18</v>
      </c>
      <c r="R242" t="n" s="15">
        <v>257298.37</v>
      </c>
      <c r="S242" t="n" s="15">
        <v>637706.05</v>
      </c>
      <c r="T242" t="n" s="15">
        <v>407261.91</v>
      </c>
      <c r="U242" t="n" s="15">
        <v>360801.31</v>
      </c>
      <c r="V242" t="n" s="15">
        <v>438048.44</v>
      </c>
      <c r="W242" t="n" s="15">
        <v>528085.27</v>
      </c>
      <c r="X242" t="n" s="15">
        <v>528805.18</v>
      </c>
      <c r="Y242" t="n" s="15">
        <v>419629.18</v>
      </c>
    </row>
    <row r="243" ht="15.0" customHeight="true">
      <c r="C243" t="s" s="15">
        <v>1762</v>
      </c>
      <c r="D243" t="n" s="15">
        <v>0.0</v>
      </c>
      <c r="E243" t="n" s="15">
        <v>0.0</v>
      </c>
      <c r="F243" t="n" s="15">
        <v>0.0</v>
      </c>
      <c r="G243" t="n" s="15">
        <v>0.0</v>
      </c>
      <c r="H243" t="n" s="15">
        <v>0.0</v>
      </c>
      <c r="I243" t="n" s="15">
        <v>0.0</v>
      </c>
      <c r="J243" t="n" s="15">
        <v>0.0</v>
      </c>
      <c r="K243" t="n" s="15">
        <v>0.0</v>
      </c>
      <c r="L243" t="n" s="15">
        <v>0.0</v>
      </c>
      <c r="M243" t="n" s="15">
        <v>0.0</v>
      </c>
      <c r="N243" t="n" s="15">
        <v>0.0</v>
      </c>
      <c r="O243" t="n" s="15">
        <v>200.0</v>
      </c>
      <c r="P243" t="n" s="15">
        <v>963.0</v>
      </c>
      <c r="Q243" t="n" s="15">
        <v>280.0</v>
      </c>
      <c r="R243" t="n" s="15">
        <v>0.0</v>
      </c>
      <c r="S243" t="n" s="15">
        <v>1290.0</v>
      </c>
      <c r="T243" t="n" s="15">
        <v>937.0</v>
      </c>
      <c r="U243" t="n" s="15">
        <v>450.0</v>
      </c>
      <c r="V243" t="n" s="15">
        <v>150.0</v>
      </c>
      <c r="W243" t="n" s="15">
        <v>170.0</v>
      </c>
      <c r="X243" t="n" s="15">
        <v>1500.0</v>
      </c>
      <c r="Y243" t="n" s="15">
        <v>60.0</v>
      </c>
    </row>
    <row r="244" ht="15.0" customHeight="true">
      <c r="C244" t="s" s="15">
        <v>1763</v>
      </c>
      <c r="D244" t="n" s="15">
        <v>18757.05</v>
      </c>
      <c r="E244" t="n" s="15">
        <v>0.0</v>
      </c>
      <c r="F244" t="n" s="15">
        <v>0.0</v>
      </c>
      <c r="G244" t="n" s="15">
        <v>0.0</v>
      </c>
      <c r="H244" t="n" s="15">
        <v>0.0</v>
      </c>
      <c r="I244" t="n" s="15">
        <v>0.0</v>
      </c>
      <c r="J244" t="n" s="15">
        <v>0.0</v>
      </c>
      <c r="K244" t="n" s="15">
        <v>0.0</v>
      </c>
      <c r="L244" t="n" s="15">
        <v>0.0</v>
      </c>
      <c r="M244" t="n" s="15">
        <v>0.0</v>
      </c>
      <c r="N244" t="n" s="15">
        <v>0.0</v>
      </c>
      <c r="O244" t="n" s="15">
        <v>0.0</v>
      </c>
      <c r="P244" t="n" s="15">
        <v>0.0</v>
      </c>
      <c r="Q244" t="n" s="15">
        <v>0.0</v>
      </c>
      <c r="R244" t="n" s="15">
        <v>0.0</v>
      </c>
      <c r="S244" t="n" s="15">
        <v>0.0</v>
      </c>
      <c r="T244" t="n" s="15">
        <v>0.0</v>
      </c>
      <c r="U244" t="n" s="15">
        <v>0.0</v>
      </c>
      <c r="V244" t="n" s="15">
        <v>0.0</v>
      </c>
      <c r="W244" t="n" s="15">
        <v>0.0</v>
      </c>
      <c r="X244" t="n" s="15">
        <v>0.0</v>
      </c>
      <c r="Y244" t="n" s="15">
        <v>0.0</v>
      </c>
    </row>
    <row r="245" ht="15.0" customHeight="true">
      <c r="C245" t="s" s="15">
        <v>1764</v>
      </c>
      <c r="D245" t="n" s="15">
        <v>52502.5</v>
      </c>
      <c r="E245" t="n" s="15">
        <v>892.67</v>
      </c>
      <c r="F245" t="n" s="15">
        <v>1164.06</v>
      </c>
      <c r="G245" t="n" s="15">
        <v>38937.61</v>
      </c>
      <c r="H245" t="n" s="15">
        <v>4790.4</v>
      </c>
      <c r="I245" t="n" s="15">
        <v>1735.65</v>
      </c>
      <c r="J245" t="n" s="15">
        <v>3775.93</v>
      </c>
      <c r="K245" t="n" s="15">
        <v>951.2</v>
      </c>
      <c r="L245" t="n" s="15">
        <v>808.72</v>
      </c>
      <c r="M245" t="n" s="15">
        <v>2464.2</v>
      </c>
      <c r="N245" t="n" s="15">
        <v>15482.34</v>
      </c>
      <c r="O245" t="n" s="15">
        <v>0.0</v>
      </c>
      <c r="P245" t="n" s="15">
        <v>0.0</v>
      </c>
      <c r="Q245" t="n" s="15">
        <v>0.0</v>
      </c>
      <c r="R245" t="n" s="15">
        <v>0.0</v>
      </c>
      <c r="S245" t="n" s="15">
        <v>0.0</v>
      </c>
      <c r="T245" t="n" s="15">
        <v>0.0</v>
      </c>
      <c r="U245" t="n" s="15">
        <v>0.0</v>
      </c>
      <c r="V245" t="n" s="15">
        <v>0.0</v>
      </c>
      <c r="W245" t="n" s="15">
        <v>0.0</v>
      </c>
      <c r="X245" t="n" s="15">
        <v>0.0</v>
      </c>
      <c r="Y245" t="n" s="15">
        <v>0.0</v>
      </c>
    </row>
  </sheetData>
  <mergeCells>
    <mergeCell ref="A3:N3"/>
    <mergeCell ref="A4:N4"/>
    <mergeCell ref="A6:A7"/>
    <mergeCell ref="B6:B7"/>
    <mergeCell ref="C6:C7"/>
    <mergeCell ref="D6:Y6"/>
  </mergeCells>
  <pageMargins left="0.43" right="0.27" top="0.32" bottom="0.32" header="0.31" footer="0.3"/>
  <pageSetup paperSize="9" scale="7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40E6-1822-4EB1-84D4-26BF9C03F0E2}">
  <sheetPr>
    <pageSetUpPr fitToPage="1"/>
  </sheetPr>
  <dimension ref="A1:Y251"/>
  <sheetViews>
    <sheetView tabSelected="1" zoomScaleNormal="100" workbookViewId="0">
      <pane xSplit="2" ySplit="7" topLeftCell="C161" activePane="bottomRight" state="frozen"/>
      <selection pane="topRight" activeCell="C1" sqref="C1"/>
      <selection pane="bottomLeft" activeCell="A8" sqref="A8"/>
      <selection pane="bottomRight" activeCell="A186" sqref="A186:XFD186"/>
    </sheetView>
  </sheetViews>
  <sheetFormatPr defaultRowHeight="15" x14ac:dyDescent="0.25"/>
  <cols>
    <col min="1" max="1" customWidth="true" width="4.28515625" collapsed="false"/>
    <col min="2" max="2" customWidth="true" width="29.85546875" collapsed="false"/>
    <col min="3" max="3" customWidth="true" style="17" width="12.5703125" collapsed="false"/>
    <col min="4" max="14" customWidth="true" style="17" width="10.42578125" collapsed="false"/>
    <col min="20" max="20" bestFit="true" customWidth="true" width="10.0" collapsed="false"/>
    <col min="21" max="21" customWidth="true" width="10.5703125" collapsed="false"/>
  </cols>
  <sheetData>
    <row r="1" spans="1:25" x14ac:dyDescent="0.25">
      <c r="A1" s="3" t="s">
        <v>0</v>
      </c>
      <c r="B1" s="4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5" ht="16.5" x14ac:dyDescent="0.25">
      <c r="A2" s="5"/>
      <c r="B2" s="5"/>
      <c r="C2" s="11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25" x14ac:dyDescent="0.25">
      <c r="A3" s="70" t="str">
        <f>Dulieu!A3</f>
        <v>CÂN ĐỐI NGUỒN VỐN VÀ SỬ DỤNG VỐN NĂM ${tieude3.STR3}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25" x14ac:dyDescent="0.25">
      <c r="A4" s="71" t="str">
        <f>Dulieu!A4</f>
        <v>(Thực hiện đến ${tieude2.STR1}/${tieude2.STR2}/${tieude2.STR3})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25" x14ac:dyDescent="0.25">
      <c r="A5" s="4"/>
      <c r="B5" s="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 t="s">
        <v>1</v>
      </c>
    </row>
    <row r="6" spans="1:25" s="32" customFormat="1" ht="12" x14ac:dyDescent="0.2">
      <c r="A6" s="79" t="s">
        <v>2</v>
      </c>
      <c r="B6" s="79" t="s">
        <v>3</v>
      </c>
      <c r="C6" s="80" t="s">
        <v>4</v>
      </c>
      <c r="D6" s="80" t="s">
        <v>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76" t="s">
        <v>5</v>
      </c>
      <c r="P6" s="77"/>
      <c r="Q6" s="77"/>
      <c r="R6" s="77"/>
      <c r="S6" s="77"/>
      <c r="T6" s="77"/>
      <c r="U6" s="77"/>
      <c r="V6" s="77"/>
      <c r="W6" s="77"/>
      <c r="X6" s="77"/>
      <c r="Y6" s="78"/>
    </row>
    <row r="7" spans="1:25" s="32" customFormat="1" ht="12" x14ac:dyDescent="0.2">
      <c r="A7" s="79"/>
      <c r="B7" s="79"/>
      <c r="C7" s="80"/>
      <c r="D7" s="33" t="s">
        <v>6</v>
      </c>
      <c r="E7" s="33" t="s">
        <v>84</v>
      </c>
      <c r="F7" s="33" t="s">
        <v>77</v>
      </c>
      <c r="G7" s="33" t="s">
        <v>80</v>
      </c>
      <c r="H7" s="33" t="s">
        <v>78</v>
      </c>
      <c r="I7" s="33" t="s">
        <v>82</v>
      </c>
      <c r="J7" s="33" t="s">
        <v>7</v>
      </c>
      <c r="K7" s="33" t="s">
        <v>83</v>
      </c>
      <c r="L7" s="33" t="s">
        <v>79</v>
      </c>
      <c r="M7" s="33" t="s">
        <v>81</v>
      </c>
      <c r="N7" s="33" t="s">
        <v>85</v>
      </c>
      <c r="O7" s="33" t="s">
        <v>846</v>
      </c>
      <c r="P7" s="33" t="s">
        <v>847</v>
      </c>
      <c r="Q7" s="33" t="s">
        <v>848</v>
      </c>
      <c r="R7" s="33" t="s">
        <v>849</v>
      </c>
      <c r="S7" s="33" t="s">
        <v>850</v>
      </c>
      <c r="T7" s="33" t="s">
        <v>851</v>
      </c>
      <c r="U7" s="33" t="s">
        <v>852</v>
      </c>
      <c r="V7" s="33" t="s">
        <v>853</v>
      </c>
      <c r="W7" s="33" t="s">
        <v>854</v>
      </c>
      <c r="X7" s="33" t="s">
        <v>855</v>
      </c>
      <c r="Y7" s="33" t="s">
        <v>856</v>
      </c>
    </row>
    <row r="8" spans="1:25" s="37" customFormat="1" ht="12" x14ac:dyDescent="0.2">
      <c r="A8" s="34" t="s">
        <v>8</v>
      </c>
      <c r="B8" s="35" t="s">
        <v>9</v>
      </c>
      <c r="C8" s="36" t="e">
        <f t="shared" ref="C8:C16" si="0">SUM(D8:Y8)</f>
        <v>#VALUE!</v>
      </c>
      <c r="D8" s="36" t="e">
        <f>+D50+D172</f>
        <v>#VALUE!</v>
      </c>
      <c r="E8" s="36" t="e">
        <f>+Dulieu!E8</f>
        <v>#VALUE!</v>
      </c>
      <c r="F8" s="36" t="e">
        <f>+Dulieu!F8</f>
        <v>#VALUE!</v>
      </c>
      <c r="G8" s="36" t="e">
        <f>+Dulieu!G8</f>
        <v>#VALUE!</v>
      </c>
      <c r="H8" s="36" t="e">
        <f>+Dulieu!H8</f>
        <v>#VALUE!</v>
      </c>
      <c r="I8" s="36" t="e">
        <f>+Dulieu!I8</f>
        <v>#VALUE!</v>
      </c>
      <c r="J8" s="36" t="e">
        <f>+Dulieu!J8</f>
        <v>#VALUE!</v>
      </c>
      <c r="K8" s="36" t="e">
        <f>+Dulieu!K8</f>
        <v>#VALUE!</v>
      </c>
      <c r="L8" s="36" t="e">
        <f>+Dulieu!L8</f>
        <v>#VALUE!</v>
      </c>
      <c r="M8" s="36" t="e">
        <f>+Dulieu!M8</f>
        <v>#VALUE!</v>
      </c>
      <c r="N8" s="36" t="e">
        <f>+Dulieu!N8</f>
        <v>#VALUE!</v>
      </c>
      <c r="O8" s="36" t="e">
        <f>+Dulieu!O8</f>
        <v>#VALUE!</v>
      </c>
      <c r="P8" s="36" t="e">
        <f>+Dulieu!P8</f>
        <v>#VALUE!</v>
      </c>
      <c r="Q8" s="36" t="e">
        <f>+Dulieu!Q8</f>
        <v>#VALUE!</v>
      </c>
      <c r="R8" s="36" t="e">
        <f>+Dulieu!R8</f>
        <v>#VALUE!</v>
      </c>
      <c r="S8" s="36" t="e">
        <f>+Dulieu!S8</f>
        <v>#VALUE!</v>
      </c>
      <c r="T8" s="36" t="e">
        <f>+Dulieu!T8</f>
        <v>#VALUE!</v>
      </c>
      <c r="U8" s="36" t="e">
        <f>+Dulieu!U8</f>
        <v>#VALUE!</v>
      </c>
      <c r="V8" s="36" t="e">
        <f>+Dulieu!V8</f>
        <v>#VALUE!</v>
      </c>
      <c r="W8" s="36" t="e">
        <f>+Dulieu!W8</f>
        <v>#VALUE!</v>
      </c>
      <c r="X8" s="36" t="e">
        <f>+Dulieu!X8</f>
        <v>#VALUE!</v>
      </c>
      <c r="Y8" s="36" t="e">
        <f>+Dulieu!Y8</f>
        <v>#VALUE!</v>
      </c>
    </row>
    <row r="9" spans="1:25" s="41" customFormat="1" ht="12" x14ac:dyDescent="0.2">
      <c r="A9" s="38"/>
      <c r="B9" s="39" t="s">
        <v>838</v>
      </c>
      <c r="C9" s="40" t="e">
        <f t="shared" si="0"/>
        <v>#VALUE!</v>
      </c>
      <c r="D9" s="40" t="e">
        <f>+D51+D173</f>
        <v>#VALUE!</v>
      </c>
      <c r="E9" s="40" t="e">
        <f t="shared" ref="E9:Y9" si="1">+E51+E173</f>
        <v>#VALUE!</v>
      </c>
      <c r="F9" s="40" t="e">
        <f t="shared" si="1"/>
        <v>#VALUE!</v>
      </c>
      <c r="G9" s="40" t="e">
        <f t="shared" si="1"/>
        <v>#VALUE!</v>
      </c>
      <c r="H9" s="40" t="e">
        <f t="shared" si="1"/>
        <v>#VALUE!</v>
      </c>
      <c r="I9" s="40" t="e">
        <f t="shared" si="1"/>
        <v>#VALUE!</v>
      </c>
      <c r="J9" s="40" t="e">
        <f t="shared" si="1"/>
        <v>#VALUE!</v>
      </c>
      <c r="K9" s="40" t="e">
        <f t="shared" si="1"/>
        <v>#VALUE!</v>
      </c>
      <c r="L9" s="40" t="e">
        <f t="shared" si="1"/>
        <v>#VALUE!</v>
      </c>
      <c r="M9" s="40" t="e">
        <f t="shared" si="1"/>
        <v>#VALUE!</v>
      </c>
      <c r="N9" s="40" t="e">
        <f t="shared" si="1"/>
        <v>#VALUE!</v>
      </c>
      <c r="O9" s="40" t="e">
        <f t="shared" si="1"/>
        <v>#VALUE!</v>
      </c>
      <c r="P9" s="40" t="e">
        <f t="shared" si="1"/>
        <v>#VALUE!</v>
      </c>
      <c r="Q9" s="40" t="e">
        <f t="shared" si="1"/>
        <v>#VALUE!</v>
      </c>
      <c r="R9" s="40" t="e">
        <f t="shared" si="1"/>
        <v>#VALUE!</v>
      </c>
      <c r="S9" s="40" t="e">
        <f t="shared" si="1"/>
        <v>#VALUE!</v>
      </c>
      <c r="T9" s="40" t="e">
        <f t="shared" si="1"/>
        <v>#VALUE!</v>
      </c>
      <c r="U9" s="40" t="e">
        <f t="shared" si="1"/>
        <v>#VALUE!</v>
      </c>
      <c r="V9" s="40" t="e">
        <f t="shared" si="1"/>
        <v>#VALUE!</v>
      </c>
      <c r="W9" s="40" t="e">
        <f t="shared" si="1"/>
        <v>#VALUE!</v>
      </c>
      <c r="X9" s="40" t="e">
        <f t="shared" si="1"/>
        <v>#VALUE!</v>
      </c>
      <c r="Y9" s="40" t="e">
        <f t="shared" si="1"/>
        <v>#VALUE!</v>
      </c>
    </row>
    <row r="10" spans="1:25" s="41" customFormat="1" ht="12" x14ac:dyDescent="0.2">
      <c r="A10" s="38"/>
      <c r="B10" s="39" t="s">
        <v>839</v>
      </c>
      <c r="C10" s="40" t="e">
        <f t="shared" si="0"/>
        <v>#VALUE!</v>
      </c>
      <c r="D10" s="40" t="e">
        <f>+D52+D174</f>
        <v>#VALUE!</v>
      </c>
      <c r="E10" s="40" t="e">
        <f t="shared" ref="E10:Y10" si="2">+E52+E174</f>
        <v>#VALUE!</v>
      </c>
      <c r="F10" s="40" t="e">
        <f t="shared" si="2"/>
        <v>#VALUE!</v>
      </c>
      <c r="G10" s="40" t="e">
        <f t="shared" si="2"/>
        <v>#VALUE!</v>
      </c>
      <c r="H10" s="40" t="e">
        <f t="shared" si="2"/>
        <v>#VALUE!</v>
      </c>
      <c r="I10" s="40" t="e">
        <f t="shared" si="2"/>
        <v>#VALUE!</v>
      </c>
      <c r="J10" s="40" t="e">
        <f t="shared" si="2"/>
        <v>#VALUE!</v>
      </c>
      <c r="K10" s="40" t="e">
        <f t="shared" si="2"/>
        <v>#VALUE!</v>
      </c>
      <c r="L10" s="40" t="e">
        <f t="shared" si="2"/>
        <v>#VALUE!</v>
      </c>
      <c r="M10" s="40" t="e">
        <f t="shared" si="2"/>
        <v>#VALUE!</v>
      </c>
      <c r="N10" s="40" t="e">
        <f t="shared" si="2"/>
        <v>#VALUE!</v>
      </c>
      <c r="O10" s="40" t="e">
        <f t="shared" si="2"/>
        <v>#VALUE!</v>
      </c>
      <c r="P10" s="40" t="e">
        <f t="shared" si="2"/>
        <v>#VALUE!</v>
      </c>
      <c r="Q10" s="40" t="e">
        <f t="shared" si="2"/>
        <v>#VALUE!</v>
      </c>
      <c r="R10" s="40" t="e">
        <f t="shared" si="2"/>
        <v>#VALUE!</v>
      </c>
      <c r="S10" s="40" t="e">
        <f t="shared" si="2"/>
        <v>#VALUE!</v>
      </c>
      <c r="T10" s="40" t="e">
        <f t="shared" si="2"/>
        <v>#VALUE!</v>
      </c>
      <c r="U10" s="40" t="e">
        <f t="shared" si="2"/>
        <v>#VALUE!</v>
      </c>
      <c r="V10" s="40" t="e">
        <f t="shared" si="2"/>
        <v>#VALUE!</v>
      </c>
      <c r="W10" s="40" t="e">
        <f t="shared" si="2"/>
        <v>#VALUE!</v>
      </c>
      <c r="X10" s="40" t="e">
        <f t="shared" si="2"/>
        <v>#VALUE!</v>
      </c>
      <c r="Y10" s="40" t="e">
        <f t="shared" si="2"/>
        <v>#VALUE!</v>
      </c>
    </row>
    <row r="11" spans="1:25" s="37" customFormat="1" ht="12" x14ac:dyDescent="0.2">
      <c r="A11" s="34" t="s">
        <v>10</v>
      </c>
      <c r="B11" s="35" t="s">
        <v>11</v>
      </c>
      <c r="C11" s="36" t="e">
        <f t="shared" si="0"/>
        <v>#VALUE!</v>
      </c>
      <c r="D11" s="36" t="e">
        <f>+D8-D36</f>
        <v>#VALUE!</v>
      </c>
      <c r="E11" s="36" t="e">
        <f t="shared" ref="E11:N11" si="3">+E8-E36</f>
        <v>#VALUE!</v>
      </c>
      <c r="F11" s="36" t="e">
        <f t="shared" si="3"/>
        <v>#VALUE!</v>
      </c>
      <c r="G11" s="36" t="e">
        <f t="shared" si="3"/>
        <v>#VALUE!</v>
      </c>
      <c r="H11" s="36" t="e">
        <f t="shared" si="3"/>
        <v>#VALUE!</v>
      </c>
      <c r="I11" s="36" t="e">
        <f t="shared" si="3"/>
        <v>#VALUE!</v>
      </c>
      <c r="J11" s="36" t="e">
        <f t="shared" si="3"/>
        <v>#VALUE!</v>
      </c>
      <c r="K11" s="36" t="e">
        <f t="shared" si="3"/>
        <v>#VALUE!</v>
      </c>
      <c r="L11" s="36" t="e">
        <f t="shared" si="3"/>
        <v>#VALUE!</v>
      </c>
      <c r="M11" s="36" t="e">
        <f t="shared" si="3"/>
        <v>#VALUE!</v>
      </c>
      <c r="N11" s="36" t="e">
        <f t="shared" si="3"/>
        <v>#VALUE!</v>
      </c>
      <c r="O11" s="36" t="e">
        <f t="shared" ref="O11:Y11" si="4">+O8-O36</f>
        <v>#VALUE!</v>
      </c>
      <c r="P11" s="36" t="e">
        <f t="shared" si="4"/>
        <v>#VALUE!</v>
      </c>
      <c r="Q11" s="36" t="e">
        <f t="shared" si="4"/>
        <v>#VALUE!</v>
      </c>
      <c r="R11" s="36" t="e">
        <f t="shared" si="4"/>
        <v>#VALUE!</v>
      </c>
      <c r="S11" s="36" t="e">
        <f t="shared" si="4"/>
        <v>#VALUE!</v>
      </c>
      <c r="T11" s="36" t="e">
        <f t="shared" si="4"/>
        <v>#VALUE!</v>
      </c>
      <c r="U11" s="36" t="e">
        <f t="shared" si="4"/>
        <v>#VALUE!</v>
      </c>
      <c r="V11" s="36" t="e">
        <f t="shared" si="4"/>
        <v>#VALUE!</v>
      </c>
      <c r="W11" s="36" t="e">
        <f t="shared" si="4"/>
        <v>#VALUE!</v>
      </c>
      <c r="X11" s="36" t="e">
        <f t="shared" si="4"/>
        <v>#VALUE!</v>
      </c>
      <c r="Y11" s="36" t="e">
        <f t="shared" si="4"/>
        <v>#VALUE!</v>
      </c>
    </row>
    <row r="12" spans="1:25" s="41" customFormat="1" ht="12" x14ac:dyDescent="0.2">
      <c r="A12" s="38"/>
      <c r="B12" s="39" t="s">
        <v>838</v>
      </c>
      <c r="C12" s="40" t="e">
        <f t="shared" si="0"/>
        <v>#VALUE!</v>
      </c>
      <c r="D12" s="40" t="e">
        <f t="shared" ref="D12:N13" si="5">+D9-D37</f>
        <v>#VALUE!</v>
      </c>
      <c r="E12" s="40" t="e">
        <f t="shared" si="5"/>
        <v>#VALUE!</v>
      </c>
      <c r="F12" s="40" t="e">
        <f t="shared" si="5"/>
        <v>#VALUE!</v>
      </c>
      <c r="G12" s="40" t="e">
        <f t="shared" si="5"/>
        <v>#VALUE!</v>
      </c>
      <c r="H12" s="40" t="e">
        <f t="shared" si="5"/>
        <v>#VALUE!</v>
      </c>
      <c r="I12" s="40" t="e">
        <f t="shared" si="5"/>
        <v>#VALUE!</v>
      </c>
      <c r="J12" s="40" t="e">
        <f t="shared" si="5"/>
        <v>#VALUE!</v>
      </c>
      <c r="K12" s="40" t="e">
        <f t="shared" si="5"/>
        <v>#VALUE!</v>
      </c>
      <c r="L12" s="40" t="e">
        <f t="shared" si="5"/>
        <v>#VALUE!</v>
      </c>
      <c r="M12" s="40" t="e">
        <f t="shared" si="5"/>
        <v>#VALUE!</v>
      </c>
      <c r="N12" s="40" t="e">
        <f t="shared" si="5"/>
        <v>#VALUE!</v>
      </c>
      <c r="O12" s="40" t="e">
        <f t="shared" ref="O12:Y12" si="6">+O9-O37</f>
        <v>#VALUE!</v>
      </c>
      <c r="P12" s="40" t="e">
        <f t="shared" si="6"/>
        <v>#VALUE!</v>
      </c>
      <c r="Q12" s="40" t="e">
        <f t="shared" si="6"/>
        <v>#VALUE!</v>
      </c>
      <c r="R12" s="40" t="e">
        <f t="shared" si="6"/>
        <v>#VALUE!</v>
      </c>
      <c r="S12" s="40" t="e">
        <f t="shared" si="6"/>
        <v>#VALUE!</v>
      </c>
      <c r="T12" s="40" t="e">
        <f t="shared" si="6"/>
        <v>#VALUE!</v>
      </c>
      <c r="U12" s="40" t="e">
        <f t="shared" si="6"/>
        <v>#VALUE!</v>
      </c>
      <c r="V12" s="40" t="e">
        <f t="shared" si="6"/>
        <v>#VALUE!</v>
      </c>
      <c r="W12" s="40" t="e">
        <f t="shared" si="6"/>
        <v>#VALUE!</v>
      </c>
      <c r="X12" s="40" t="e">
        <f t="shared" si="6"/>
        <v>#VALUE!</v>
      </c>
      <c r="Y12" s="40" t="e">
        <f t="shared" si="6"/>
        <v>#VALUE!</v>
      </c>
    </row>
    <row r="13" spans="1:25" s="41" customFormat="1" ht="12" x14ac:dyDescent="0.2">
      <c r="A13" s="38"/>
      <c r="B13" s="39" t="s">
        <v>839</v>
      </c>
      <c r="C13" s="40" t="e">
        <f t="shared" si="0"/>
        <v>#VALUE!</v>
      </c>
      <c r="D13" s="40" t="e">
        <f t="shared" si="5"/>
        <v>#VALUE!</v>
      </c>
      <c r="E13" s="40" t="e">
        <f t="shared" si="5"/>
        <v>#VALUE!</v>
      </c>
      <c r="F13" s="40" t="e">
        <f t="shared" si="5"/>
        <v>#VALUE!</v>
      </c>
      <c r="G13" s="40" t="e">
        <f t="shared" si="5"/>
        <v>#VALUE!</v>
      </c>
      <c r="H13" s="40" t="e">
        <f t="shared" si="5"/>
        <v>#VALUE!</v>
      </c>
      <c r="I13" s="40" t="e">
        <f t="shared" si="5"/>
        <v>#VALUE!</v>
      </c>
      <c r="J13" s="40" t="e">
        <f t="shared" si="5"/>
        <v>#VALUE!</v>
      </c>
      <c r="K13" s="40" t="e">
        <f t="shared" si="5"/>
        <v>#VALUE!</v>
      </c>
      <c r="L13" s="40" t="e">
        <f t="shared" si="5"/>
        <v>#VALUE!</v>
      </c>
      <c r="M13" s="40" t="e">
        <f t="shared" si="5"/>
        <v>#VALUE!</v>
      </c>
      <c r="N13" s="40" t="e">
        <f t="shared" si="5"/>
        <v>#VALUE!</v>
      </c>
      <c r="O13" s="40" t="e">
        <f t="shared" ref="O13:Y13" si="7">+O10-O38</f>
        <v>#VALUE!</v>
      </c>
      <c r="P13" s="40" t="e">
        <f t="shared" si="7"/>
        <v>#VALUE!</v>
      </c>
      <c r="Q13" s="40" t="e">
        <f t="shared" si="7"/>
        <v>#VALUE!</v>
      </c>
      <c r="R13" s="40" t="e">
        <f t="shared" si="7"/>
        <v>#VALUE!</v>
      </c>
      <c r="S13" s="40" t="e">
        <f t="shared" si="7"/>
        <v>#VALUE!</v>
      </c>
      <c r="T13" s="40" t="e">
        <f t="shared" si="7"/>
        <v>#VALUE!</v>
      </c>
      <c r="U13" s="40" t="e">
        <f t="shared" si="7"/>
        <v>#VALUE!</v>
      </c>
      <c r="V13" s="40" t="e">
        <f t="shared" si="7"/>
        <v>#VALUE!</v>
      </c>
      <c r="W13" s="40" t="e">
        <f t="shared" si="7"/>
        <v>#VALUE!</v>
      </c>
      <c r="X13" s="40" t="e">
        <f t="shared" si="7"/>
        <v>#VALUE!</v>
      </c>
      <c r="Y13" s="40" t="e">
        <f t="shared" si="7"/>
        <v>#VALUE!</v>
      </c>
    </row>
    <row r="14" spans="1:25" s="32" customFormat="1" ht="12" x14ac:dyDescent="0.2">
      <c r="A14" s="42">
        <v>1</v>
      </c>
      <c r="B14" s="43" t="s">
        <v>12</v>
      </c>
      <c r="C14" s="44" t="e">
        <f t="shared" si="0"/>
        <v>#VALUE!</v>
      </c>
      <c r="D14" s="44" t="e">
        <f>+D11-D18</f>
        <v>#VALUE!</v>
      </c>
      <c r="E14" s="44" t="e">
        <f t="shared" ref="E14:N14" si="8">+E11-E18</f>
        <v>#VALUE!</v>
      </c>
      <c r="F14" s="44" t="e">
        <f t="shared" si="8"/>
        <v>#VALUE!</v>
      </c>
      <c r="G14" s="44" t="e">
        <f t="shared" si="8"/>
        <v>#VALUE!</v>
      </c>
      <c r="H14" s="44" t="e">
        <f t="shared" si="8"/>
        <v>#VALUE!</v>
      </c>
      <c r="I14" s="44" t="e">
        <f t="shared" si="8"/>
        <v>#VALUE!</v>
      </c>
      <c r="J14" s="44" t="e">
        <f t="shared" si="8"/>
        <v>#VALUE!</v>
      </c>
      <c r="K14" s="44" t="e">
        <f t="shared" si="8"/>
        <v>#VALUE!</v>
      </c>
      <c r="L14" s="44" t="e">
        <f t="shared" si="8"/>
        <v>#VALUE!</v>
      </c>
      <c r="M14" s="44" t="e">
        <f t="shared" si="8"/>
        <v>#VALUE!</v>
      </c>
      <c r="N14" s="44" t="e">
        <f t="shared" si="8"/>
        <v>#VALUE!</v>
      </c>
      <c r="O14" s="44" t="e">
        <f t="shared" ref="O14:Y14" si="9">+O11-O18</f>
        <v>#VALUE!</v>
      </c>
      <c r="P14" s="44" t="e">
        <f t="shared" si="9"/>
        <v>#VALUE!</v>
      </c>
      <c r="Q14" s="44" t="e">
        <f t="shared" si="9"/>
        <v>#VALUE!</v>
      </c>
      <c r="R14" s="44" t="e">
        <f t="shared" si="9"/>
        <v>#VALUE!</v>
      </c>
      <c r="S14" s="44" t="e">
        <f t="shared" si="9"/>
        <v>#VALUE!</v>
      </c>
      <c r="T14" s="44" t="e">
        <f t="shared" si="9"/>
        <v>#VALUE!</v>
      </c>
      <c r="U14" s="44" t="e">
        <f t="shared" si="9"/>
        <v>#VALUE!</v>
      </c>
      <c r="V14" s="44" t="e">
        <f t="shared" si="9"/>
        <v>#VALUE!</v>
      </c>
      <c r="W14" s="44" t="e">
        <f t="shared" si="9"/>
        <v>#VALUE!</v>
      </c>
      <c r="X14" s="44" t="e">
        <f t="shared" si="9"/>
        <v>#VALUE!</v>
      </c>
      <c r="Y14" s="44" t="e">
        <f t="shared" si="9"/>
        <v>#VALUE!</v>
      </c>
    </row>
    <row r="15" spans="1:25" s="41" customFormat="1" ht="12" x14ac:dyDescent="0.2">
      <c r="A15" s="38"/>
      <c r="B15" s="39" t="s">
        <v>838</v>
      </c>
      <c r="C15" s="40" t="e">
        <f t="shared" si="0"/>
        <v>#VALUE!</v>
      </c>
      <c r="D15" s="40" t="e">
        <f t="shared" ref="D15:N16" si="10">+D12-D19</f>
        <v>#VALUE!</v>
      </c>
      <c r="E15" s="40" t="e">
        <f t="shared" si="10"/>
        <v>#VALUE!</v>
      </c>
      <c r="F15" s="40" t="e">
        <f t="shared" si="10"/>
        <v>#VALUE!</v>
      </c>
      <c r="G15" s="40" t="e">
        <f t="shared" si="10"/>
        <v>#VALUE!</v>
      </c>
      <c r="H15" s="40" t="e">
        <f t="shared" si="10"/>
        <v>#VALUE!</v>
      </c>
      <c r="I15" s="40" t="e">
        <f t="shared" si="10"/>
        <v>#VALUE!</v>
      </c>
      <c r="J15" s="40" t="e">
        <f t="shared" si="10"/>
        <v>#VALUE!</v>
      </c>
      <c r="K15" s="40" t="e">
        <f t="shared" si="10"/>
        <v>#VALUE!</v>
      </c>
      <c r="L15" s="40" t="e">
        <f t="shared" si="10"/>
        <v>#VALUE!</v>
      </c>
      <c r="M15" s="40" t="e">
        <f t="shared" si="10"/>
        <v>#VALUE!</v>
      </c>
      <c r="N15" s="40" t="e">
        <f t="shared" si="10"/>
        <v>#VALUE!</v>
      </c>
      <c r="O15" s="40" t="e">
        <f t="shared" ref="O15:Y15" si="11">+O12-O19</f>
        <v>#VALUE!</v>
      </c>
      <c r="P15" s="40" t="e">
        <f t="shared" si="11"/>
        <v>#VALUE!</v>
      </c>
      <c r="Q15" s="40" t="e">
        <f t="shared" si="11"/>
        <v>#VALUE!</v>
      </c>
      <c r="R15" s="40" t="e">
        <f t="shared" si="11"/>
        <v>#VALUE!</v>
      </c>
      <c r="S15" s="40" t="e">
        <f t="shared" si="11"/>
        <v>#VALUE!</v>
      </c>
      <c r="T15" s="40" t="e">
        <f t="shared" si="11"/>
        <v>#VALUE!</v>
      </c>
      <c r="U15" s="40" t="e">
        <f t="shared" si="11"/>
        <v>#VALUE!</v>
      </c>
      <c r="V15" s="40" t="e">
        <f t="shared" si="11"/>
        <v>#VALUE!</v>
      </c>
      <c r="W15" s="40" t="e">
        <f t="shared" si="11"/>
        <v>#VALUE!</v>
      </c>
      <c r="X15" s="40" t="e">
        <f t="shared" si="11"/>
        <v>#VALUE!</v>
      </c>
      <c r="Y15" s="40" t="e">
        <f t="shared" si="11"/>
        <v>#VALUE!</v>
      </c>
    </row>
    <row r="16" spans="1:25" s="41" customFormat="1" ht="12" x14ac:dyDescent="0.2">
      <c r="A16" s="38"/>
      <c r="B16" s="39" t="s">
        <v>839</v>
      </c>
      <c r="C16" s="40" t="e">
        <f t="shared" si="0"/>
        <v>#VALUE!</v>
      </c>
      <c r="D16" s="40" t="e">
        <f t="shared" si="10"/>
        <v>#VALUE!</v>
      </c>
      <c r="E16" s="40" t="e">
        <f t="shared" si="10"/>
        <v>#VALUE!</v>
      </c>
      <c r="F16" s="40" t="e">
        <f t="shared" si="10"/>
        <v>#VALUE!</v>
      </c>
      <c r="G16" s="40" t="e">
        <f t="shared" si="10"/>
        <v>#VALUE!</v>
      </c>
      <c r="H16" s="40" t="e">
        <f t="shared" si="10"/>
        <v>#VALUE!</v>
      </c>
      <c r="I16" s="40" t="e">
        <f t="shared" si="10"/>
        <v>#VALUE!</v>
      </c>
      <c r="J16" s="40" t="e">
        <f t="shared" si="10"/>
        <v>#VALUE!</v>
      </c>
      <c r="K16" s="40" t="e">
        <f t="shared" si="10"/>
        <v>#VALUE!</v>
      </c>
      <c r="L16" s="40" t="e">
        <f t="shared" si="10"/>
        <v>#VALUE!</v>
      </c>
      <c r="M16" s="40" t="e">
        <f t="shared" si="10"/>
        <v>#VALUE!</v>
      </c>
      <c r="N16" s="40" t="e">
        <f t="shared" si="10"/>
        <v>#VALUE!</v>
      </c>
      <c r="O16" s="40" t="e">
        <f t="shared" ref="O16:Y16" si="12">+O13-O20</f>
        <v>#VALUE!</v>
      </c>
      <c r="P16" s="40" t="e">
        <f t="shared" si="12"/>
        <v>#VALUE!</v>
      </c>
      <c r="Q16" s="40" t="e">
        <f t="shared" si="12"/>
        <v>#VALUE!</v>
      </c>
      <c r="R16" s="40" t="e">
        <f t="shared" si="12"/>
        <v>#VALUE!</v>
      </c>
      <c r="S16" s="40" t="e">
        <f t="shared" si="12"/>
        <v>#VALUE!</v>
      </c>
      <c r="T16" s="40" t="e">
        <f t="shared" si="12"/>
        <v>#VALUE!</v>
      </c>
      <c r="U16" s="40" t="e">
        <f t="shared" si="12"/>
        <v>#VALUE!</v>
      </c>
      <c r="V16" s="40" t="e">
        <f t="shared" si="12"/>
        <v>#VALUE!</v>
      </c>
      <c r="W16" s="40" t="e">
        <f t="shared" si="12"/>
        <v>#VALUE!</v>
      </c>
      <c r="X16" s="40" t="e">
        <f t="shared" si="12"/>
        <v>#VALUE!</v>
      </c>
      <c r="Y16" s="40" t="e">
        <f t="shared" si="12"/>
        <v>#VALUE!</v>
      </c>
    </row>
    <row r="17" spans="1:25" s="47" customFormat="1" ht="12" x14ac:dyDescent="0.2">
      <c r="A17" s="45"/>
      <c r="B17" s="46" t="s">
        <v>13</v>
      </c>
      <c r="C17" s="46" t="e">
        <f>+C14/C8</f>
        <v>#VALUE!</v>
      </c>
      <c r="D17" s="46" t="e">
        <f>+Dulieu!D11</f>
        <v>#VALUE!</v>
      </c>
      <c r="E17" s="46" t="e">
        <f>+Dulieu!E11</f>
        <v>#VALUE!</v>
      </c>
      <c r="F17" s="46" t="e">
        <f>+Dulieu!F11</f>
        <v>#VALUE!</v>
      </c>
      <c r="G17" s="46" t="e">
        <f>+Dulieu!G11</f>
        <v>#VALUE!</v>
      </c>
      <c r="H17" s="46" t="e">
        <f>+Dulieu!H11</f>
        <v>#VALUE!</v>
      </c>
      <c r="I17" s="46" t="e">
        <f>+Dulieu!I11</f>
        <v>#VALUE!</v>
      </c>
      <c r="J17" s="46" t="e">
        <f>+Dulieu!J11</f>
        <v>#VALUE!</v>
      </c>
      <c r="K17" s="46" t="e">
        <f>+Dulieu!K11</f>
        <v>#VALUE!</v>
      </c>
      <c r="L17" s="46" t="e">
        <f>+Dulieu!L11</f>
        <v>#VALUE!</v>
      </c>
      <c r="M17" s="46" t="e">
        <f>+Dulieu!M11</f>
        <v>#VALUE!</v>
      </c>
      <c r="N17" s="46" t="e">
        <f>+Dulieu!N11</f>
        <v>#VALUE!</v>
      </c>
      <c r="O17" s="46" t="e">
        <f>+Dulieu!O11</f>
        <v>#VALUE!</v>
      </c>
      <c r="P17" s="46" t="e">
        <f>+Dulieu!P11</f>
        <v>#VALUE!</v>
      </c>
      <c r="Q17" s="46" t="e">
        <f>+Dulieu!Q11</f>
        <v>#VALUE!</v>
      </c>
      <c r="R17" s="46" t="e">
        <f>+Dulieu!R11</f>
        <v>#VALUE!</v>
      </c>
      <c r="S17" s="46" t="e">
        <f>+Dulieu!S11</f>
        <v>#VALUE!</v>
      </c>
      <c r="T17" s="46" t="e">
        <f>+Dulieu!T11</f>
        <v>#VALUE!</v>
      </c>
      <c r="U17" s="46" t="e">
        <f>+Dulieu!U11</f>
        <v>#VALUE!</v>
      </c>
      <c r="V17" s="46" t="e">
        <f>+Dulieu!V11</f>
        <v>#VALUE!</v>
      </c>
      <c r="W17" s="46" t="e">
        <f>+Dulieu!W11</f>
        <v>#VALUE!</v>
      </c>
      <c r="X17" s="46" t="e">
        <f>+Dulieu!X11</f>
        <v>#VALUE!</v>
      </c>
      <c r="Y17" s="46" t="e">
        <f>+Dulieu!Y11</f>
        <v>#VALUE!</v>
      </c>
    </row>
    <row r="18" spans="1:25" s="32" customFormat="1" ht="12" x14ac:dyDescent="0.2">
      <c r="A18" s="42">
        <v>2</v>
      </c>
      <c r="B18" s="43" t="s">
        <v>14</v>
      </c>
      <c r="C18" s="44">
        <f>SUM(D18:Y18)</f>
        <v>0</v>
      </c>
      <c r="D18" s="44" t="str">
        <f>+Dulieu!D12</f>
        <v>${VHD.D2}</v>
      </c>
      <c r="E18" s="44" t="str">
        <f>+Dulieu!E12</f>
        <v>${VHD.D11}</v>
      </c>
      <c r="F18" s="44" t="str">
        <f>+Dulieu!F12</f>
        <v>${VHD.D4}</v>
      </c>
      <c r="G18" s="44" t="str">
        <f>+Dulieu!G12</f>
        <v>${VHD.D6}</v>
      </c>
      <c r="H18" s="44" t="str">
        <f>+Dulieu!H12</f>
        <v>${VHD.D8}</v>
      </c>
      <c r="I18" s="44" t="str">
        <f>+Dulieu!I12</f>
        <v>${VHD.D9}</v>
      </c>
      <c r="J18" s="44" t="str">
        <f>+Dulieu!J12</f>
        <v>${VHD.D3}</v>
      </c>
      <c r="K18" s="44" t="str">
        <f>+Dulieu!K12</f>
        <v>${VHD.D10}</v>
      </c>
      <c r="L18" s="44" t="str">
        <f>+Dulieu!L12</f>
        <v>${VHD.D5}</v>
      </c>
      <c r="M18" s="44" t="str">
        <f>+Dulieu!M12</f>
        <v>${VHD.D7}</v>
      </c>
      <c r="N18" s="44" t="str">
        <f>+Dulieu!N12</f>
        <v>${VHD.D12}</v>
      </c>
      <c r="O18" s="44" t="str">
        <f>+Dulieu!O12</f>
        <v>${VHD.D13}</v>
      </c>
      <c r="P18" s="44" t="str">
        <f>+Dulieu!P12</f>
        <v>${VHD.D14}</v>
      </c>
      <c r="Q18" s="44" t="str">
        <f>+Dulieu!Q12</f>
        <v>${VHD.D15}</v>
      </c>
      <c r="R18" s="44" t="str">
        <f>+Dulieu!R12</f>
        <v>${VHD.D16}</v>
      </c>
      <c r="S18" s="44" t="str">
        <f>+Dulieu!S12</f>
        <v>${VHD.D17}</v>
      </c>
      <c r="T18" s="44" t="str">
        <f>+Dulieu!T12</f>
        <v>${VHD.D18}</v>
      </c>
      <c r="U18" s="44" t="str">
        <f>+Dulieu!U12</f>
        <v>${VHD.D19}</v>
      </c>
      <c r="V18" s="44" t="str">
        <f>+Dulieu!V12</f>
        <v>${VHD.D20}</v>
      </c>
      <c r="W18" s="44" t="str">
        <f>+Dulieu!W12</f>
        <v>${VHD.D21}</v>
      </c>
      <c r="X18" s="44" t="str">
        <f>+Dulieu!X12</f>
        <v>${VHD.D22}</v>
      </c>
      <c r="Y18" s="44" t="str">
        <f>+Dulieu!Y12</f>
        <v>${VHD.D23}</v>
      </c>
    </row>
    <row r="19" spans="1:25" s="41" customFormat="1" ht="12" x14ac:dyDescent="0.2">
      <c r="A19" s="38"/>
      <c r="B19" s="39" t="s">
        <v>838</v>
      </c>
      <c r="C19" s="40" t="e">
        <f>SUM(D19:Y19)</f>
        <v>#VALUE!</v>
      </c>
      <c r="D19" s="40" t="e">
        <f>+D18-VLOOKUP(Dulieu!$C$12&amp;"_PRE_M",Dulieu!$C$88:$N$400,2,FALSE)</f>
        <v>#VALUE!</v>
      </c>
      <c r="E19" s="40" t="e">
        <f>+E18-VLOOKUP(Dulieu!$C$12&amp;"_PRE_M",Dulieu!$C$88:$N$400,3,FALSE)</f>
        <v>#VALUE!</v>
      </c>
      <c r="F19" s="40" t="e">
        <f>+F18-VLOOKUP(Dulieu!$C$12&amp;"_PRE_M",Dulieu!$C$88:$N$400,4,FALSE)</f>
        <v>#VALUE!</v>
      </c>
      <c r="G19" s="40" t="e">
        <f>+G18-VLOOKUP(Dulieu!$C$12&amp;"_PRE_M",Dulieu!$C$88:$N$400,5,FALSE)</f>
        <v>#VALUE!</v>
      </c>
      <c r="H19" s="40" t="e">
        <f>+H18-VLOOKUP(Dulieu!$C$12&amp;"_PRE_M",Dulieu!$C$88:$N$400,6,FALSE)</f>
        <v>#VALUE!</v>
      </c>
      <c r="I19" s="40" t="e">
        <f>+I18-VLOOKUP(Dulieu!$C$12&amp;"_PRE_M",Dulieu!$C$88:$N$400,7,FALSE)</f>
        <v>#VALUE!</v>
      </c>
      <c r="J19" s="40" t="e">
        <f>+J18-VLOOKUP(Dulieu!$C$12&amp;"_PRE_M",Dulieu!$C$88:$N$400,8,FALSE)</f>
        <v>#VALUE!</v>
      </c>
      <c r="K19" s="40" t="e">
        <f>+K18-VLOOKUP(Dulieu!$C$12&amp;"_PRE_M",Dulieu!$C$88:$N$400,9,FALSE)</f>
        <v>#VALUE!</v>
      </c>
      <c r="L19" s="40" t="e">
        <f>+L18-VLOOKUP(Dulieu!$C$12&amp;"_PRE_M",Dulieu!$C$88:$N$400,10,FALSE)</f>
        <v>#VALUE!</v>
      </c>
      <c r="M19" s="40" t="e">
        <f>+M18-VLOOKUP(Dulieu!$C$12&amp;"_PRE_M",Dulieu!$C$88:$N$400,11,FALSE)</f>
        <v>#VALUE!</v>
      </c>
      <c r="N19" s="40" t="e">
        <f>+N18-VLOOKUP(Dulieu!$C$12&amp;"_PRE_M",Dulieu!$C$88:$N$400,12,FALSE)</f>
        <v>#VALUE!</v>
      </c>
      <c r="O19" s="40" t="e">
        <f>+O18-VLOOKUP(Dulieu!$C$12&amp;"_PRE_M",Dulieu!$C$88:$Y$400,13,FALSE)</f>
        <v>#VALUE!</v>
      </c>
      <c r="P19" s="40" t="e">
        <f>+P18-VLOOKUP(Dulieu!$C$12&amp;"_PRE_M",Dulieu!$C$88:$Y$400,14,FALSE)</f>
        <v>#VALUE!</v>
      </c>
      <c r="Q19" s="40" t="e">
        <f>+Q18-VLOOKUP(Dulieu!$C$12&amp;"_PRE_M",Dulieu!$C$88:$Y$400,15,FALSE)</f>
        <v>#VALUE!</v>
      </c>
      <c r="R19" s="40" t="e">
        <f>+R18-VLOOKUP(Dulieu!$C$12&amp;"_PRE_M",Dulieu!$C$88:$Y$400,16,FALSE)</f>
        <v>#VALUE!</v>
      </c>
      <c r="S19" s="40" t="e">
        <f>+S18-VLOOKUP(Dulieu!$C$12&amp;"_PRE_M",Dulieu!$C$88:$Y$400,17,FALSE)</f>
        <v>#VALUE!</v>
      </c>
      <c r="T19" s="40" t="e">
        <f>+T18-VLOOKUP(Dulieu!$C$12&amp;"_PRE_M",Dulieu!$C$88:$Y$400,18,FALSE)</f>
        <v>#VALUE!</v>
      </c>
      <c r="U19" s="40" t="e">
        <f>+U18-VLOOKUP(Dulieu!$C$12&amp;"_PRE_M",Dulieu!$C$88:$Y$400,19,FALSE)</f>
        <v>#VALUE!</v>
      </c>
      <c r="V19" s="40" t="e">
        <f>+V18-VLOOKUP(Dulieu!$C$12&amp;"_PRE_M",Dulieu!$C$88:$Y$400,20,FALSE)</f>
        <v>#VALUE!</v>
      </c>
      <c r="W19" s="40" t="e">
        <f>+W18-VLOOKUP(Dulieu!$C$12&amp;"_PRE_M",Dulieu!$C$88:$Y$400,21,FALSE)</f>
        <v>#VALUE!</v>
      </c>
      <c r="X19" s="40" t="e">
        <f>+X18-VLOOKUP(Dulieu!$C$12&amp;"_PRE_M",Dulieu!$C$88:$Y$400,22,FALSE)</f>
        <v>#VALUE!</v>
      </c>
      <c r="Y19" s="40" t="e">
        <f>+Y18-VLOOKUP(Dulieu!$C$12&amp;"_PRE_M",Dulieu!$C$88:$Y$400,23,FALSE)</f>
        <v>#VALUE!</v>
      </c>
    </row>
    <row r="20" spans="1:25" s="41" customFormat="1" ht="12" x14ac:dyDescent="0.2">
      <c r="A20" s="38"/>
      <c r="B20" s="39" t="s">
        <v>839</v>
      </c>
      <c r="C20" s="40" t="e">
        <f>SUM(D20:Y20)</f>
        <v>#VALUE!</v>
      </c>
      <c r="D20" s="40" t="e">
        <f>+D18-VLOOKUP(Dulieu!$C$12&amp;"_PRE_Y",Dulieu!$C$88:$N$400,2,FALSE)</f>
        <v>#VALUE!</v>
      </c>
      <c r="E20" s="40" t="e">
        <f>+E18-VLOOKUP(Dulieu!$C$12&amp;"_PRE_Y",Dulieu!$C$88:$N$400,3,FALSE)</f>
        <v>#VALUE!</v>
      </c>
      <c r="F20" s="40" t="e">
        <f>+F18-VLOOKUP(Dulieu!$C$12&amp;"_PRE_Y",Dulieu!$C$88:$N$400,4,FALSE)</f>
        <v>#VALUE!</v>
      </c>
      <c r="G20" s="40" t="e">
        <f>+G18-VLOOKUP(Dulieu!$C$12&amp;"_PRE_Y",Dulieu!$C$88:$N$400,5,FALSE)</f>
        <v>#VALUE!</v>
      </c>
      <c r="H20" s="40" t="e">
        <f>+H18-VLOOKUP(Dulieu!$C$12&amp;"_PRE_Y",Dulieu!$C$88:$N$400,6,FALSE)</f>
        <v>#VALUE!</v>
      </c>
      <c r="I20" s="40" t="e">
        <f>+I18-VLOOKUP(Dulieu!$C$12&amp;"_PRE_Y",Dulieu!$C$88:$N$400,7,FALSE)</f>
        <v>#VALUE!</v>
      </c>
      <c r="J20" s="40" t="e">
        <f>+J18-VLOOKUP(Dulieu!$C$12&amp;"_PRE_Y",Dulieu!$C$88:$N$400,8,FALSE)</f>
        <v>#VALUE!</v>
      </c>
      <c r="K20" s="40" t="e">
        <f>+K18-VLOOKUP(Dulieu!$C$12&amp;"_PRE_Y",Dulieu!$C$88:$N$400,9,FALSE)</f>
        <v>#VALUE!</v>
      </c>
      <c r="L20" s="40" t="e">
        <f>+L18-VLOOKUP(Dulieu!$C$12&amp;"_PRE_Y",Dulieu!$C$88:$N$400,10,FALSE)</f>
        <v>#VALUE!</v>
      </c>
      <c r="M20" s="40" t="e">
        <f>+M18-VLOOKUP(Dulieu!$C$12&amp;"_PRE_Y",Dulieu!$C$88:$N$400,11,FALSE)</f>
        <v>#VALUE!</v>
      </c>
      <c r="N20" s="40" t="e">
        <f>+N18-VLOOKUP(Dulieu!$C$12&amp;"_PRE_Y",Dulieu!$C$88:$N$400,12,FALSE)</f>
        <v>#VALUE!</v>
      </c>
      <c r="O20" s="40" t="e">
        <f>+O18-VLOOKUP(Dulieu!$C$12&amp;"_PRE_Y",Dulieu!$C$88:$Y$400,13,FALSE)</f>
        <v>#VALUE!</v>
      </c>
      <c r="P20" s="40" t="e">
        <f>+P18-VLOOKUP(Dulieu!$C$12&amp;"_PRE_Y",Dulieu!$C$88:$Y$400,14,FALSE)</f>
        <v>#VALUE!</v>
      </c>
      <c r="Q20" s="40" t="e">
        <f>+Q18-VLOOKUP(Dulieu!$C$12&amp;"_PRE_Y",Dulieu!$C$88:$Y$400,15,FALSE)</f>
        <v>#VALUE!</v>
      </c>
      <c r="R20" s="40" t="e">
        <f>+R18-VLOOKUP(Dulieu!$C$12&amp;"_PRE_Y",Dulieu!$C$88:$Y$400,16,FALSE)</f>
        <v>#VALUE!</v>
      </c>
      <c r="S20" s="40" t="e">
        <f>+S18-VLOOKUP(Dulieu!$C$12&amp;"_PRE_Y",Dulieu!$C$88:$Y$400,17,FALSE)</f>
        <v>#VALUE!</v>
      </c>
      <c r="T20" s="40" t="e">
        <f>+T18-VLOOKUP(Dulieu!$C$12&amp;"_PRE_Y",Dulieu!$C$88:$Y$400,18,FALSE)</f>
        <v>#VALUE!</v>
      </c>
      <c r="U20" s="40" t="e">
        <f>+U18-VLOOKUP(Dulieu!$C$12&amp;"_PRE_Y",Dulieu!$C$88:$Y$400,19,FALSE)</f>
        <v>#VALUE!</v>
      </c>
      <c r="V20" s="40" t="e">
        <f>+V18-VLOOKUP(Dulieu!$C$12&amp;"_PRE_Y",Dulieu!$C$88:$Y$400,20,FALSE)</f>
        <v>#VALUE!</v>
      </c>
      <c r="W20" s="40" t="e">
        <f>+W18-VLOOKUP(Dulieu!$C$12&amp;"_PRE_Y",Dulieu!$C$88:$Y$400,21,FALSE)</f>
        <v>#VALUE!</v>
      </c>
      <c r="X20" s="40" t="e">
        <f>+X18-VLOOKUP(Dulieu!$C$12&amp;"_PRE_Y",Dulieu!$C$88:$Y$400,22,FALSE)</f>
        <v>#VALUE!</v>
      </c>
      <c r="Y20" s="40" t="e">
        <f>+Y18-VLOOKUP(Dulieu!$C$12&amp;"_PRE_Y",Dulieu!$C$88:$Y$400,23,FALSE)</f>
        <v>#VALUE!</v>
      </c>
    </row>
    <row r="21" spans="1:25" s="47" customFormat="1" ht="12" x14ac:dyDescent="0.2">
      <c r="A21" s="45"/>
      <c r="B21" s="46" t="s">
        <v>15</v>
      </c>
      <c r="C21" s="46" t="e">
        <f>+C18/C8</f>
        <v>#VALUE!</v>
      </c>
      <c r="D21" s="46" t="e">
        <f>+Dulieu!D13</f>
        <v>#VALUE!</v>
      </c>
      <c r="E21" s="46" t="e">
        <f>+Dulieu!E13</f>
        <v>#VALUE!</v>
      </c>
      <c r="F21" s="46" t="e">
        <f>+Dulieu!F13</f>
        <v>#VALUE!</v>
      </c>
      <c r="G21" s="46" t="e">
        <f>+Dulieu!G13</f>
        <v>#VALUE!</v>
      </c>
      <c r="H21" s="46" t="e">
        <f>+Dulieu!H13</f>
        <v>#VALUE!</v>
      </c>
      <c r="I21" s="46" t="e">
        <f>+Dulieu!I13</f>
        <v>#VALUE!</v>
      </c>
      <c r="J21" s="46" t="e">
        <f>+Dulieu!J13</f>
        <v>#VALUE!</v>
      </c>
      <c r="K21" s="46" t="e">
        <f>+Dulieu!K13</f>
        <v>#VALUE!</v>
      </c>
      <c r="L21" s="46" t="e">
        <f>+Dulieu!L13</f>
        <v>#VALUE!</v>
      </c>
      <c r="M21" s="46" t="e">
        <f>+Dulieu!M13</f>
        <v>#VALUE!</v>
      </c>
      <c r="N21" s="46" t="e">
        <f>+Dulieu!N13</f>
        <v>#VALUE!</v>
      </c>
      <c r="O21" s="46" t="e">
        <f>+Dulieu!O13</f>
        <v>#VALUE!</v>
      </c>
      <c r="P21" s="46" t="e">
        <f>+Dulieu!P13</f>
        <v>#VALUE!</v>
      </c>
      <c r="Q21" s="46" t="e">
        <f>+Dulieu!Q13</f>
        <v>#VALUE!</v>
      </c>
      <c r="R21" s="46" t="e">
        <f>+Dulieu!R13</f>
        <v>#VALUE!</v>
      </c>
      <c r="S21" s="46" t="e">
        <f>+Dulieu!S13</f>
        <v>#VALUE!</v>
      </c>
      <c r="T21" s="46" t="e">
        <f>+Dulieu!T13</f>
        <v>#VALUE!</v>
      </c>
      <c r="U21" s="46" t="e">
        <f>+Dulieu!U13</f>
        <v>#VALUE!</v>
      </c>
      <c r="V21" s="46" t="e">
        <f>+Dulieu!V13</f>
        <v>#VALUE!</v>
      </c>
      <c r="W21" s="46" t="e">
        <f>+Dulieu!W13</f>
        <v>#VALUE!</v>
      </c>
      <c r="X21" s="46" t="e">
        <f>+Dulieu!X13</f>
        <v>#VALUE!</v>
      </c>
      <c r="Y21" s="46" t="e">
        <f>+Dulieu!Y13</f>
        <v>#VALUE!</v>
      </c>
    </row>
    <row r="22" spans="1:25" s="32" customFormat="1" ht="12" x14ac:dyDescent="0.2">
      <c r="A22" s="48" t="s">
        <v>16</v>
      </c>
      <c r="B22" s="43" t="s">
        <v>17</v>
      </c>
      <c r="C22" s="44">
        <f t="shared" ref="C22:C36" si="13">SUM(D22:Y22)</f>
        <v>0</v>
      </c>
      <c r="D22" s="44" t="str">
        <f>+Dulieu!D14</f>
        <v>${VHD_TG.D2}</v>
      </c>
      <c r="E22" s="44" t="str">
        <f>+Dulieu!E14</f>
        <v>${VHD_TG.D11}</v>
      </c>
      <c r="F22" s="44" t="str">
        <f>+Dulieu!F14</f>
        <v>${VHD_TG.D4}</v>
      </c>
      <c r="G22" s="44" t="str">
        <f>+Dulieu!G14</f>
        <v>${VHD_TG.D6}</v>
      </c>
      <c r="H22" s="44" t="str">
        <f>+Dulieu!H14</f>
        <v>${VHD_TG.D8}</v>
      </c>
      <c r="I22" s="44" t="str">
        <f>+Dulieu!I14</f>
        <v>${VHD_TG.D9}</v>
      </c>
      <c r="J22" s="44" t="str">
        <f>+Dulieu!J14</f>
        <v>${VHD_TG.D3}</v>
      </c>
      <c r="K22" s="44" t="str">
        <f>+Dulieu!K14</f>
        <v>${VHD_TG.D10}</v>
      </c>
      <c r="L22" s="44" t="str">
        <f>+Dulieu!L14</f>
        <v>${VHD_TG.D5}</v>
      </c>
      <c r="M22" s="44" t="str">
        <f>+Dulieu!M14</f>
        <v>${VHD_TG.D7}</v>
      </c>
      <c r="N22" s="44" t="str">
        <f>+Dulieu!N14</f>
        <v>${VHD_TG.D12}</v>
      </c>
      <c r="O22" s="44" t="str">
        <f>+Dulieu!O14</f>
        <v>${VHD_TG.D13}</v>
      </c>
      <c r="P22" s="44" t="str">
        <f>+Dulieu!P14</f>
        <v>${VHD_TG.D14}</v>
      </c>
      <c r="Q22" s="44" t="str">
        <f>+Dulieu!Q14</f>
        <v>${VHD_TG.D15}</v>
      </c>
      <c r="R22" s="44" t="str">
        <f>+Dulieu!R14</f>
        <v>${VHD_TG.D16}</v>
      </c>
      <c r="S22" s="44" t="str">
        <f>+Dulieu!S14</f>
        <v>${VHD_TG.D17}</v>
      </c>
      <c r="T22" s="44" t="str">
        <f>+Dulieu!T14</f>
        <v>${VHD_TG.D18}</v>
      </c>
      <c r="U22" s="44" t="str">
        <f>+Dulieu!U14</f>
        <v>${VHD_TG.D19}</v>
      </c>
      <c r="V22" s="44" t="str">
        <f>+Dulieu!V14</f>
        <v>${VHD_TG.D20}</v>
      </c>
      <c r="W22" s="44" t="str">
        <f>+Dulieu!W14</f>
        <v>${VHD_TG.D21}</v>
      </c>
      <c r="X22" s="44" t="str">
        <f>+Dulieu!X14</f>
        <v>${VHD_TG.D22}</v>
      </c>
      <c r="Y22" s="44" t="str">
        <f>+Dulieu!Y14</f>
        <v>${VHD_TG.D23}</v>
      </c>
    </row>
    <row r="23" spans="1:25" s="41" customFormat="1" ht="12" x14ac:dyDescent="0.2">
      <c r="A23" s="38"/>
      <c r="B23" s="39" t="s">
        <v>838</v>
      </c>
      <c r="C23" s="40" t="e">
        <f t="shared" si="13"/>
        <v>#VALUE!</v>
      </c>
      <c r="D23" s="40" t="e">
        <f>+D22-VLOOKUP(Dulieu!$C$14&amp;"_PRE_M",Dulieu!$C$88:$N$400,2,FALSE)</f>
        <v>#VALUE!</v>
      </c>
      <c r="E23" s="40" t="e">
        <f>+E22-VLOOKUP(Dulieu!$C$14&amp;"_PRE_M",Dulieu!$C$88:$N$400,3,FALSE)</f>
        <v>#VALUE!</v>
      </c>
      <c r="F23" s="40" t="e">
        <f>+F22-VLOOKUP(Dulieu!$C$14&amp;"_PRE_M",Dulieu!$C$88:$N$400,4,FALSE)</f>
        <v>#VALUE!</v>
      </c>
      <c r="G23" s="40" t="e">
        <f>+G22-VLOOKUP(Dulieu!$C$14&amp;"_PRE_M",Dulieu!$C$88:$N$400,5,FALSE)</f>
        <v>#VALUE!</v>
      </c>
      <c r="H23" s="40" t="e">
        <f>+H22-VLOOKUP(Dulieu!$C$14&amp;"_PRE_M",Dulieu!$C$88:$N$400,6,FALSE)</f>
        <v>#VALUE!</v>
      </c>
      <c r="I23" s="40" t="e">
        <f>+I22-VLOOKUP(Dulieu!$C$14&amp;"_PRE_M",Dulieu!$C$88:$N$400,7,FALSE)</f>
        <v>#VALUE!</v>
      </c>
      <c r="J23" s="40" t="e">
        <f>+J22-VLOOKUP(Dulieu!$C$14&amp;"_PRE_M",Dulieu!$C$88:$N$400,8,FALSE)</f>
        <v>#VALUE!</v>
      </c>
      <c r="K23" s="40" t="e">
        <f>+K22-VLOOKUP(Dulieu!$C$14&amp;"_PRE_M",Dulieu!$C$88:$N$400,9,FALSE)</f>
        <v>#VALUE!</v>
      </c>
      <c r="L23" s="40" t="e">
        <f>+L22-VLOOKUP(Dulieu!$C$14&amp;"_PRE_M",Dulieu!$C$88:$N$400,10,FALSE)</f>
        <v>#VALUE!</v>
      </c>
      <c r="M23" s="40" t="e">
        <f>+M22-VLOOKUP(Dulieu!$C$14&amp;"_PRE_M",Dulieu!$C$88:$N$400,11,FALSE)</f>
        <v>#VALUE!</v>
      </c>
      <c r="N23" s="40" t="e">
        <f>+N22-VLOOKUP(Dulieu!$C$14&amp;"_PRE_M",Dulieu!$C$88:$N$400,12,FALSE)</f>
        <v>#VALUE!</v>
      </c>
      <c r="O23" s="40" t="e">
        <f>+O22-VLOOKUP(Dulieu!$C$14&amp;"_PRE_M",Dulieu!$C$88:$Y$400,13,FALSE)</f>
        <v>#VALUE!</v>
      </c>
      <c r="P23" s="40" t="e">
        <f>+P22-VLOOKUP(Dulieu!$C$14&amp;"_PRE_M",Dulieu!$C$88:$Y$400,14,FALSE)</f>
        <v>#VALUE!</v>
      </c>
      <c r="Q23" s="40" t="e">
        <f>+Q22-VLOOKUP(Dulieu!$C$14&amp;"_PRE_M",Dulieu!$C$88:$Y$400,15,FALSE)</f>
        <v>#VALUE!</v>
      </c>
      <c r="R23" s="40" t="e">
        <f>+R22-VLOOKUP(Dulieu!$C$14&amp;"_PRE_M",Dulieu!$C$88:$Y$400,16,FALSE)</f>
        <v>#VALUE!</v>
      </c>
      <c r="S23" s="40" t="e">
        <f>+S22-VLOOKUP(Dulieu!$C$14&amp;"_PRE_M",Dulieu!$C$88:$Y$400,17,FALSE)</f>
        <v>#VALUE!</v>
      </c>
      <c r="T23" s="40" t="e">
        <f>+T22-VLOOKUP(Dulieu!$C$14&amp;"_PRE_M",Dulieu!$C$88:$Y$400,18,FALSE)</f>
        <v>#VALUE!</v>
      </c>
      <c r="U23" s="40" t="e">
        <f>+U22-VLOOKUP(Dulieu!$C$14&amp;"_PRE_M",Dulieu!$C$88:$Y$400,19,FALSE)</f>
        <v>#VALUE!</v>
      </c>
      <c r="V23" s="40" t="e">
        <f>+V22-VLOOKUP(Dulieu!$C$14&amp;"_PRE_M",Dulieu!$C$88:$Y$400,20,FALSE)</f>
        <v>#VALUE!</v>
      </c>
      <c r="W23" s="40" t="e">
        <f>+W22-VLOOKUP(Dulieu!$C$14&amp;"_PRE_M",Dulieu!$C$88:$Y$400,21,FALSE)</f>
        <v>#VALUE!</v>
      </c>
      <c r="X23" s="40" t="e">
        <f>+X22-VLOOKUP(Dulieu!$C$14&amp;"_PRE_M",Dulieu!$C$88:$Y$400,22,FALSE)</f>
        <v>#VALUE!</v>
      </c>
      <c r="Y23" s="40" t="e">
        <f>+Y22-VLOOKUP(Dulieu!$C$14&amp;"_PRE_M",Dulieu!$C$88:$Y$400,23,FALSE)</f>
        <v>#VALUE!</v>
      </c>
    </row>
    <row r="24" spans="1:25" s="41" customFormat="1" ht="12" x14ac:dyDescent="0.2">
      <c r="A24" s="38"/>
      <c r="B24" s="39" t="s">
        <v>839</v>
      </c>
      <c r="C24" s="40" t="e">
        <f t="shared" si="13"/>
        <v>#VALUE!</v>
      </c>
      <c r="D24" s="40" t="e">
        <f>+D22-VLOOKUP(Dulieu!$C$14&amp;"_PRE_Y",Dulieu!$C$88:$N$400,2,FALSE)</f>
        <v>#VALUE!</v>
      </c>
      <c r="E24" s="40" t="e">
        <f>+E22-VLOOKUP(Dulieu!$C$14&amp;"_PRE_Y",Dulieu!$C$88:$N$400,3,FALSE)</f>
        <v>#VALUE!</v>
      </c>
      <c r="F24" s="40" t="e">
        <f>+F22-VLOOKUP(Dulieu!$C$14&amp;"_PRE_Y",Dulieu!$C$88:$N$400,4,FALSE)</f>
        <v>#VALUE!</v>
      </c>
      <c r="G24" s="40" t="e">
        <f>+G22-VLOOKUP(Dulieu!$C$14&amp;"_PRE_Y",Dulieu!$C$88:$N$400,5,FALSE)</f>
        <v>#VALUE!</v>
      </c>
      <c r="H24" s="40" t="e">
        <f>+H22-VLOOKUP(Dulieu!$C$14&amp;"_PRE_Y",Dulieu!$C$88:$N$400,6,FALSE)</f>
        <v>#VALUE!</v>
      </c>
      <c r="I24" s="40" t="e">
        <f>+I22-VLOOKUP(Dulieu!$C$14&amp;"_PRE_Y",Dulieu!$C$88:$N$400,7,FALSE)</f>
        <v>#VALUE!</v>
      </c>
      <c r="J24" s="40" t="e">
        <f>+J22-VLOOKUP(Dulieu!$C$14&amp;"_PRE_Y",Dulieu!$C$88:$N$400,8,FALSE)</f>
        <v>#VALUE!</v>
      </c>
      <c r="K24" s="40" t="e">
        <f>+K22-VLOOKUP(Dulieu!$C$14&amp;"_PRE_Y",Dulieu!$C$88:$N$400,9,FALSE)</f>
        <v>#VALUE!</v>
      </c>
      <c r="L24" s="40" t="e">
        <f>+L22-VLOOKUP(Dulieu!$C$14&amp;"_PRE_Y",Dulieu!$C$88:$N$400,10,FALSE)</f>
        <v>#VALUE!</v>
      </c>
      <c r="M24" s="40" t="e">
        <f>+M22-VLOOKUP(Dulieu!$C$14&amp;"_PRE_Y",Dulieu!$C$88:$N$400,11,FALSE)</f>
        <v>#VALUE!</v>
      </c>
      <c r="N24" s="40" t="e">
        <f>+N22-VLOOKUP(Dulieu!$C$14&amp;"_PRE_Y",Dulieu!$C$88:$N$400,12,FALSE)</f>
        <v>#VALUE!</v>
      </c>
      <c r="O24" s="40" t="e">
        <f>+O22-VLOOKUP(Dulieu!$C$14&amp;"_PRE_Y",Dulieu!$C$88:$Y$400,13,FALSE)</f>
        <v>#VALUE!</v>
      </c>
      <c r="P24" s="40" t="e">
        <f>+P22-VLOOKUP(Dulieu!$C$14&amp;"_PRE_Y",Dulieu!$C$88:$Y$400,14,FALSE)</f>
        <v>#VALUE!</v>
      </c>
      <c r="Q24" s="40" t="e">
        <f>+Q22-VLOOKUP(Dulieu!$C$14&amp;"_PRE_Y",Dulieu!$C$88:$Y$400,15,FALSE)</f>
        <v>#VALUE!</v>
      </c>
      <c r="R24" s="40" t="e">
        <f>+R22-VLOOKUP(Dulieu!$C$14&amp;"_PRE_Y",Dulieu!$C$88:$Y$400,16,FALSE)</f>
        <v>#VALUE!</v>
      </c>
      <c r="S24" s="40" t="e">
        <f>+S22-VLOOKUP(Dulieu!$C$14&amp;"_PRE_Y",Dulieu!$C$88:$Y$400,17,FALSE)</f>
        <v>#VALUE!</v>
      </c>
      <c r="T24" s="40" t="e">
        <f>+T22-VLOOKUP(Dulieu!$C$14&amp;"_PRE_Y",Dulieu!$C$88:$Y$400,18,FALSE)</f>
        <v>#VALUE!</v>
      </c>
      <c r="U24" s="40" t="e">
        <f>+U22-VLOOKUP(Dulieu!$C$14&amp;"_PRE_Y",Dulieu!$C$88:$Y$400,19,FALSE)</f>
        <v>#VALUE!</v>
      </c>
      <c r="V24" s="40" t="e">
        <f>+V22-VLOOKUP(Dulieu!$C$14&amp;"_PRE_Y",Dulieu!$C$88:$Y$400,20,FALSE)</f>
        <v>#VALUE!</v>
      </c>
      <c r="W24" s="40" t="e">
        <f>+W22-VLOOKUP(Dulieu!$C$14&amp;"_PRE_Y",Dulieu!$C$88:$Y$400,21,FALSE)</f>
        <v>#VALUE!</v>
      </c>
      <c r="X24" s="40" t="e">
        <f>+X22-VLOOKUP(Dulieu!$C$14&amp;"_PRE_Y",Dulieu!$C$88:$Y$400,22,FALSE)</f>
        <v>#VALUE!</v>
      </c>
      <c r="Y24" s="40" t="e">
        <f>+Y22-VLOOKUP(Dulieu!$C$14&amp;"_PRE_Y",Dulieu!$C$88:$Y$400,23,FALSE)</f>
        <v>#VALUE!</v>
      </c>
    </row>
    <row r="25" spans="1:25" s="32" customFormat="1" ht="12" x14ac:dyDescent="0.2">
      <c r="A25" s="48"/>
      <c r="B25" s="43" t="s">
        <v>18</v>
      </c>
      <c r="C25" s="44">
        <f t="shared" si="13"/>
        <v>0</v>
      </c>
      <c r="D25" s="44" t="str">
        <f>+Dulieu!D15</f>
        <v>${VHD_KQHQ.D2}</v>
      </c>
      <c r="E25" s="44" t="str">
        <f>+Dulieu!E15</f>
        <v>${VHD_KQHQ.D11}</v>
      </c>
      <c r="F25" s="44" t="str">
        <f>+Dulieu!F15</f>
        <v>${VHD_KQHQ.D4}</v>
      </c>
      <c r="G25" s="44" t="str">
        <f>+Dulieu!G15</f>
        <v>${VHD_KQHQ.D6}</v>
      </c>
      <c r="H25" s="44" t="str">
        <f>+Dulieu!H15</f>
        <v>${VHD_KQHQ.D8}</v>
      </c>
      <c r="I25" s="44" t="str">
        <f>+Dulieu!I15</f>
        <v>${VHD_KQHQ.D9}</v>
      </c>
      <c r="J25" s="44" t="str">
        <f>+Dulieu!J15</f>
        <v>${VHD_KQHQ.D3}</v>
      </c>
      <c r="K25" s="44" t="str">
        <f>+Dulieu!K15</f>
        <v>${VHD_KQHQ.D10}</v>
      </c>
      <c r="L25" s="44" t="str">
        <f>+Dulieu!L15</f>
        <v>${VHD_KQHQ.D5}</v>
      </c>
      <c r="M25" s="44" t="str">
        <f>+Dulieu!M15</f>
        <v>${VHD_KQHQ.D7}</v>
      </c>
      <c r="N25" s="44" t="str">
        <f>+Dulieu!N15</f>
        <v>${VHD_KQHQ.D12}</v>
      </c>
      <c r="O25" s="44" t="str">
        <f>+Dulieu!O15</f>
        <v>${VHD_KQHQ.D13}</v>
      </c>
      <c r="P25" s="44" t="str">
        <f>+Dulieu!P15</f>
        <v>${VHD_KQHQ.D14}</v>
      </c>
      <c r="Q25" s="44" t="str">
        <f>+Dulieu!Q15</f>
        <v>${VHD_KQHQ.D15}</v>
      </c>
      <c r="R25" s="44" t="str">
        <f>+Dulieu!R15</f>
        <v>${VHD_KQHQ.D16}</v>
      </c>
      <c r="S25" s="44" t="str">
        <f>+Dulieu!S15</f>
        <v>${VHD_KQHQ.D17}</v>
      </c>
      <c r="T25" s="44" t="str">
        <f>+Dulieu!T15</f>
        <v>${VHD_KQHQ.D18}</v>
      </c>
      <c r="U25" s="44" t="str">
        <f>+Dulieu!U15</f>
        <v>${VHD_KQHQ.D19}</v>
      </c>
      <c r="V25" s="44" t="str">
        <f>+Dulieu!V15</f>
        <v>${VHD_KQHQ.D20}</v>
      </c>
      <c r="W25" s="44" t="str">
        <f>+Dulieu!W15</f>
        <v>${VHD_KQHQ.D21}</v>
      </c>
      <c r="X25" s="44" t="str">
        <f>+Dulieu!X15</f>
        <v>${VHD_KQHQ.D22}</v>
      </c>
      <c r="Y25" s="44" t="str">
        <f>+Dulieu!Y15</f>
        <v>${VHD_KQHQ.D23}</v>
      </c>
    </row>
    <row r="26" spans="1:25" s="32" customFormat="1" ht="12" x14ac:dyDescent="0.2">
      <c r="A26" s="48"/>
      <c r="B26" s="43" t="s">
        <v>19</v>
      </c>
      <c r="C26" s="44">
        <f t="shared" si="13"/>
        <v>0</v>
      </c>
      <c r="D26" s="44" t="str">
        <f>+Dulieu!D16</f>
        <v>${VHD_NOXH.D2}</v>
      </c>
      <c r="E26" s="44" t="str">
        <f>+Dulieu!E16</f>
        <v>${VHD_NOXH.D11}</v>
      </c>
      <c r="F26" s="44" t="str">
        <f>+Dulieu!F16</f>
        <v>${VHD_NOXH.D4}</v>
      </c>
      <c r="G26" s="44" t="str">
        <f>+Dulieu!G16</f>
        <v>${VHD_NOXH.D6}</v>
      </c>
      <c r="H26" s="44" t="str">
        <f>+Dulieu!H16</f>
        <v>${VHD_NOXH.D8}</v>
      </c>
      <c r="I26" s="44" t="str">
        <f>+Dulieu!I16</f>
        <v>${VHD_NOXH.D9}</v>
      </c>
      <c r="J26" s="44" t="str">
        <f>+Dulieu!J16</f>
        <v>${VHD_NOXH.D3}</v>
      </c>
      <c r="K26" s="44" t="str">
        <f>+Dulieu!K16</f>
        <v>${VHD_NOXH.D10}</v>
      </c>
      <c r="L26" s="44" t="str">
        <f>+Dulieu!L16</f>
        <v>${VHD_NOXH.D5}</v>
      </c>
      <c r="M26" s="44" t="str">
        <f>+Dulieu!M16</f>
        <v>${VHD_NOXH.D7}</v>
      </c>
      <c r="N26" s="44" t="str">
        <f>+Dulieu!N16</f>
        <v>${VHD_NOXH.D12}</v>
      </c>
      <c r="O26" s="44" t="str">
        <f>+Dulieu!O16</f>
        <v>${VHD_NOXH.D13}</v>
      </c>
      <c r="P26" s="44" t="str">
        <f>+Dulieu!P16</f>
        <v>${VHD_NOXH.D14}</v>
      </c>
      <c r="Q26" s="44" t="str">
        <f>+Dulieu!Q16</f>
        <v>${VHD_NOXH.D15}</v>
      </c>
      <c r="R26" s="44" t="str">
        <f>+Dulieu!R16</f>
        <v>${VHD_NOXH.D16}</v>
      </c>
      <c r="S26" s="44" t="str">
        <f>+Dulieu!S16</f>
        <v>${VHD_NOXH.D17}</v>
      </c>
      <c r="T26" s="44" t="str">
        <f>+Dulieu!T16</f>
        <v>${VHD_NOXH.D18}</v>
      </c>
      <c r="U26" s="44" t="str">
        <f>+Dulieu!U16</f>
        <v>${VHD_NOXH.D19}</v>
      </c>
      <c r="V26" s="44" t="str">
        <f>+Dulieu!V16</f>
        <v>${VHD_NOXH.D20}</v>
      </c>
      <c r="W26" s="44" t="str">
        <f>+Dulieu!W16</f>
        <v>${VHD_NOXH.D21}</v>
      </c>
      <c r="X26" s="44" t="str">
        <f>+Dulieu!X16</f>
        <v>${VHD_NOXH.D22}</v>
      </c>
      <c r="Y26" s="44" t="str">
        <f>+Dulieu!Y16</f>
        <v>${VHD_NOXH.D23}</v>
      </c>
    </row>
    <row r="27" spans="1:25" s="32" customFormat="1" ht="12" x14ac:dyDescent="0.2">
      <c r="A27" s="48" t="s">
        <v>20</v>
      </c>
      <c r="B27" s="43" t="s">
        <v>21</v>
      </c>
      <c r="C27" s="44">
        <f t="shared" si="13"/>
        <v>0</v>
      </c>
      <c r="D27" s="44" t="str">
        <f>+Dulieu!D17</f>
        <v>${VHD_TKDC.D2}</v>
      </c>
      <c r="E27" s="44" t="str">
        <f>+Dulieu!E17</f>
        <v>${VHD_TKDC.D11}</v>
      </c>
      <c r="F27" s="44" t="str">
        <f>+Dulieu!F17</f>
        <v>${VHD_TKDC.D4}</v>
      </c>
      <c r="G27" s="44" t="str">
        <f>+Dulieu!G17</f>
        <v>${VHD_TKDC.D6}</v>
      </c>
      <c r="H27" s="44" t="str">
        <f>+Dulieu!H17</f>
        <v>${VHD_TKDC.D8}</v>
      </c>
      <c r="I27" s="44" t="str">
        <f>+Dulieu!I17</f>
        <v>${VHD_TKDC.D9}</v>
      </c>
      <c r="J27" s="44" t="str">
        <f>+Dulieu!J17</f>
        <v>${VHD_TKDC.D3}</v>
      </c>
      <c r="K27" s="44" t="str">
        <f>+Dulieu!K17</f>
        <v>${VHD_TKDC.D10}</v>
      </c>
      <c r="L27" s="44" t="str">
        <f>+Dulieu!L17</f>
        <v>${VHD_TKDC.D5}</v>
      </c>
      <c r="M27" s="44" t="str">
        <f>+Dulieu!M17</f>
        <v>${VHD_TKDC.D7}</v>
      </c>
      <c r="N27" s="44" t="str">
        <f>+Dulieu!N17</f>
        <v>${VHD_TKDC.D12}</v>
      </c>
      <c r="O27" s="44" t="str">
        <f>+Dulieu!O17</f>
        <v>${VHD_TKDC.D13}</v>
      </c>
      <c r="P27" s="44" t="str">
        <f>+Dulieu!P17</f>
        <v>${VHD_TKDC.D14}</v>
      </c>
      <c r="Q27" s="44" t="str">
        <f>+Dulieu!Q17</f>
        <v>${VHD_TKDC.D15}</v>
      </c>
      <c r="R27" s="44" t="str">
        <f>+Dulieu!R17</f>
        <v>${VHD_TKDC.D16}</v>
      </c>
      <c r="S27" s="44" t="str">
        <f>+Dulieu!S17</f>
        <v>${VHD_TKDC.D17}</v>
      </c>
      <c r="T27" s="44" t="str">
        <f>+Dulieu!T17</f>
        <v>${VHD_TKDC.D18}</v>
      </c>
      <c r="U27" s="44" t="str">
        <f>+Dulieu!U17</f>
        <v>${VHD_TKDC.D19}</v>
      </c>
      <c r="V27" s="44" t="str">
        <f>+Dulieu!V17</f>
        <v>${VHD_TKDC.D20}</v>
      </c>
      <c r="W27" s="44" t="str">
        <f>+Dulieu!W17</f>
        <v>${VHD_TKDC.D21}</v>
      </c>
      <c r="X27" s="44" t="str">
        <f>+Dulieu!X17</f>
        <v>${VHD_TKDC.D22}</v>
      </c>
      <c r="Y27" s="44" t="str">
        <f>+Dulieu!Y17</f>
        <v>${VHD_TKDC.D23}</v>
      </c>
    </row>
    <row r="28" spans="1:25" s="41" customFormat="1" ht="12" x14ac:dyDescent="0.2">
      <c r="A28" s="38"/>
      <c r="B28" s="39" t="s">
        <v>838</v>
      </c>
      <c r="C28" s="40" t="e">
        <f t="shared" si="13"/>
        <v>#VALUE!</v>
      </c>
      <c r="D28" s="40" t="e">
        <f>+D27-VLOOKUP(Dulieu!$C$17&amp;"_PRE_M",Dulieu!$C$88:$N$400,2,FALSE)</f>
        <v>#VALUE!</v>
      </c>
      <c r="E28" s="40" t="e">
        <f>+E27-VLOOKUP(Dulieu!$C$17&amp;"_PRE_M",Dulieu!$C$88:$N$400,3,FALSE)</f>
        <v>#VALUE!</v>
      </c>
      <c r="F28" s="40" t="e">
        <f>+F27-VLOOKUP(Dulieu!$C$17&amp;"_PRE_M",Dulieu!$C$88:$N$400,4,FALSE)</f>
        <v>#VALUE!</v>
      </c>
      <c r="G28" s="40" t="e">
        <f>+G27-VLOOKUP(Dulieu!$C$17&amp;"_PRE_M",Dulieu!$C$88:$N$400,5,FALSE)</f>
        <v>#VALUE!</v>
      </c>
      <c r="H28" s="40" t="e">
        <f>+H27-VLOOKUP(Dulieu!$C$17&amp;"_PRE_M",Dulieu!$C$88:$N$400,6,FALSE)</f>
        <v>#VALUE!</v>
      </c>
      <c r="I28" s="40" t="e">
        <f>+I27-VLOOKUP(Dulieu!$C$17&amp;"_PRE_M",Dulieu!$C$88:$N$400,7,FALSE)</f>
        <v>#VALUE!</v>
      </c>
      <c r="J28" s="40" t="e">
        <f>+J27-VLOOKUP(Dulieu!$C$17&amp;"_PRE_M",Dulieu!$C$88:$N$400,8,FALSE)</f>
        <v>#VALUE!</v>
      </c>
      <c r="K28" s="40" t="e">
        <f>+K27-VLOOKUP(Dulieu!$C$17&amp;"_PRE_M",Dulieu!$C$88:$N$400,9,FALSE)</f>
        <v>#VALUE!</v>
      </c>
      <c r="L28" s="40" t="e">
        <f>+L27-VLOOKUP(Dulieu!$C$17&amp;"_PRE_M",Dulieu!$C$88:$N$400,10,FALSE)</f>
        <v>#VALUE!</v>
      </c>
      <c r="M28" s="40" t="e">
        <f>+M27-VLOOKUP(Dulieu!$C$17&amp;"_PRE_M",Dulieu!$C$88:$N$400,11,FALSE)</f>
        <v>#VALUE!</v>
      </c>
      <c r="N28" s="40" t="e">
        <f>+N27-VLOOKUP(Dulieu!$C$17&amp;"_PRE_M",Dulieu!$C$88:$N$400,12,FALSE)</f>
        <v>#VALUE!</v>
      </c>
      <c r="O28" s="40" t="e">
        <f>+O27-VLOOKUP(Dulieu!$C$17&amp;"_PRE_M",Dulieu!$C$88:$Y$400,13,FALSE)</f>
        <v>#VALUE!</v>
      </c>
      <c r="P28" s="40" t="e">
        <f>+P27-VLOOKUP(Dulieu!$C$17&amp;"_PRE_M",Dulieu!$C$88:$Y$400,14,FALSE)</f>
        <v>#VALUE!</v>
      </c>
      <c r="Q28" s="40" t="e">
        <f>+Q27-VLOOKUP(Dulieu!$C$17&amp;"_PRE_M",Dulieu!$C$88:$Y$400,15,FALSE)</f>
        <v>#VALUE!</v>
      </c>
      <c r="R28" s="40" t="e">
        <f>+R27-VLOOKUP(Dulieu!$C$17&amp;"_PRE_M",Dulieu!$C$88:$Y$400,16,FALSE)</f>
        <v>#VALUE!</v>
      </c>
      <c r="S28" s="40" t="e">
        <f>+S27-VLOOKUP(Dulieu!$C$17&amp;"_PRE_M",Dulieu!$C$88:$Y$400,17,FALSE)</f>
        <v>#VALUE!</v>
      </c>
      <c r="T28" s="40" t="e">
        <f>+T27-VLOOKUP(Dulieu!$C$17&amp;"_PRE_M",Dulieu!$C$88:$Y$400,18,FALSE)</f>
        <v>#VALUE!</v>
      </c>
      <c r="U28" s="40" t="e">
        <f>+U27-VLOOKUP(Dulieu!$C$17&amp;"_PRE_M",Dulieu!$C$88:$Y$400,19,FALSE)</f>
        <v>#VALUE!</v>
      </c>
      <c r="V28" s="40" t="e">
        <f>+V27-VLOOKUP(Dulieu!$C$17&amp;"_PRE_M",Dulieu!$C$88:$Y$400,20,FALSE)</f>
        <v>#VALUE!</v>
      </c>
      <c r="W28" s="40" t="e">
        <f>+W27-VLOOKUP(Dulieu!$C$17&amp;"_PRE_M",Dulieu!$C$88:$Y$400,21,FALSE)</f>
        <v>#VALUE!</v>
      </c>
      <c r="X28" s="40" t="e">
        <f>+X27-VLOOKUP(Dulieu!$C$17&amp;"_PRE_M",Dulieu!$C$88:$Y$400,22,FALSE)</f>
        <v>#VALUE!</v>
      </c>
      <c r="Y28" s="40" t="e">
        <f>+Y27-VLOOKUP(Dulieu!$C$17&amp;"_PRE_M",Dulieu!$C$88:$Y$400,23,FALSE)</f>
        <v>#VALUE!</v>
      </c>
    </row>
    <row r="29" spans="1:25" s="41" customFormat="1" ht="12" x14ac:dyDescent="0.2">
      <c r="A29" s="38"/>
      <c r="B29" s="39" t="s">
        <v>839</v>
      </c>
      <c r="C29" s="40" t="e">
        <f t="shared" si="13"/>
        <v>#VALUE!</v>
      </c>
      <c r="D29" s="40" t="e">
        <f>+D27-VLOOKUP(Dulieu!$C$17&amp;"_PRE_Y",Dulieu!$C$88:$N$400,2,FALSE)</f>
        <v>#VALUE!</v>
      </c>
      <c r="E29" s="40" t="e">
        <f>+E27-VLOOKUP(Dulieu!$C$17&amp;"_PRE_Y",Dulieu!$C$88:$N$400,3,FALSE)</f>
        <v>#VALUE!</v>
      </c>
      <c r="F29" s="40" t="e">
        <f>+F27-VLOOKUP(Dulieu!$C$17&amp;"_PRE_Y",Dulieu!$C$88:$N$400,4,FALSE)</f>
        <v>#VALUE!</v>
      </c>
      <c r="G29" s="40" t="e">
        <f>+G27-VLOOKUP(Dulieu!$C$17&amp;"_PRE_Y",Dulieu!$C$88:$N$400,5,FALSE)</f>
        <v>#VALUE!</v>
      </c>
      <c r="H29" s="40" t="e">
        <f>+H27-VLOOKUP(Dulieu!$C$17&amp;"_PRE_Y",Dulieu!$C$88:$N$400,6,FALSE)</f>
        <v>#VALUE!</v>
      </c>
      <c r="I29" s="40" t="e">
        <f>+I27-VLOOKUP(Dulieu!$C$17&amp;"_PRE_Y",Dulieu!$C$88:$N$400,7,FALSE)</f>
        <v>#VALUE!</v>
      </c>
      <c r="J29" s="40" t="e">
        <f>+J27-VLOOKUP(Dulieu!$C$17&amp;"_PRE_Y",Dulieu!$C$88:$N$400,8,FALSE)</f>
        <v>#VALUE!</v>
      </c>
      <c r="K29" s="40" t="e">
        <f>+K27-VLOOKUP(Dulieu!$C$17&amp;"_PRE_Y",Dulieu!$C$88:$N$400,9,FALSE)</f>
        <v>#VALUE!</v>
      </c>
      <c r="L29" s="40" t="e">
        <f>+L27-VLOOKUP(Dulieu!$C$17&amp;"_PRE_Y",Dulieu!$C$88:$N$400,10,FALSE)</f>
        <v>#VALUE!</v>
      </c>
      <c r="M29" s="40" t="e">
        <f>+M27-VLOOKUP(Dulieu!$C$17&amp;"_PRE_Y",Dulieu!$C$88:$N$400,11,FALSE)</f>
        <v>#VALUE!</v>
      </c>
      <c r="N29" s="40" t="e">
        <f>+N27-VLOOKUP(Dulieu!$C$17&amp;"_PRE_Y",Dulieu!$C$88:$N$400,12,FALSE)</f>
        <v>#VALUE!</v>
      </c>
      <c r="O29" s="40" t="e">
        <f>+O27-VLOOKUP(Dulieu!$C$17&amp;"_PRE_Y",Dulieu!$C$88:$Y$400,13,FALSE)</f>
        <v>#VALUE!</v>
      </c>
      <c r="P29" s="40" t="e">
        <f>+P27-VLOOKUP(Dulieu!$C$17&amp;"_PRE_Y",Dulieu!$C$88:$Y$400,14,FALSE)</f>
        <v>#VALUE!</v>
      </c>
      <c r="Q29" s="40" t="e">
        <f>+Q27-VLOOKUP(Dulieu!$C$17&amp;"_PRE_Y",Dulieu!$C$88:$Y$400,15,FALSE)</f>
        <v>#VALUE!</v>
      </c>
      <c r="R29" s="40" t="e">
        <f>+R27-VLOOKUP(Dulieu!$C$17&amp;"_PRE_Y",Dulieu!$C$88:$Y$400,16,FALSE)</f>
        <v>#VALUE!</v>
      </c>
      <c r="S29" s="40" t="e">
        <f>+S27-VLOOKUP(Dulieu!$C$17&amp;"_PRE_Y",Dulieu!$C$88:$Y$400,17,FALSE)</f>
        <v>#VALUE!</v>
      </c>
      <c r="T29" s="40" t="e">
        <f>+T27-VLOOKUP(Dulieu!$C$17&amp;"_PRE_Y",Dulieu!$C$88:$Y$400,18,FALSE)</f>
        <v>#VALUE!</v>
      </c>
      <c r="U29" s="40" t="e">
        <f>+U27-VLOOKUP(Dulieu!$C$17&amp;"_PRE_Y",Dulieu!$C$88:$Y$400,19,FALSE)</f>
        <v>#VALUE!</v>
      </c>
      <c r="V29" s="40" t="e">
        <f>+V27-VLOOKUP(Dulieu!$C$17&amp;"_PRE_Y",Dulieu!$C$88:$Y$400,20,FALSE)</f>
        <v>#VALUE!</v>
      </c>
      <c r="W29" s="40" t="e">
        <f>+W27-VLOOKUP(Dulieu!$C$17&amp;"_PRE_Y",Dulieu!$C$88:$Y$400,21,FALSE)</f>
        <v>#VALUE!</v>
      </c>
      <c r="X29" s="40" t="e">
        <f>+X27-VLOOKUP(Dulieu!$C$17&amp;"_PRE_Y",Dulieu!$C$88:$Y$400,22,FALSE)</f>
        <v>#VALUE!</v>
      </c>
      <c r="Y29" s="40" t="e">
        <f>+Y27-VLOOKUP(Dulieu!$C$17&amp;"_PRE_Y",Dulieu!$C$88:$Y$400,23,FALSE)</f>
        <v>#VALUE!</v>
      </c>
    </row>
    <row r="30" spans="1:25" s="32" customFormat="1" ht="12" x14ac:dyDescent="0.2">
      <c r="A30" s="48" t="s">
        <v>22</v>
      </c>
      <c r="B30" s="43" t="s">
        <v>23</v>
      </c>
      <c r="C30" s="44">
        <f t="shared" si="13"/>
        <v>0</v>
      </c>
      <c r="D30" s="44" t="str">
        <f>+Dulieu!D18</f>
        <v>${VHD_TKXA.D2}</v>
      </c>
      <c r="E30" s="44" t="str">
        <f>+Dulieu!E18</f>
        <v>${VHD_TKXA.D11}</v>
      </c>
      <c r="F30" s="44" t="str">
        <f>+Dulieu!F18</f>
        <v>${VHD_TKXA.D4}</v>
      </c>
      <c r="G30" s="44" t="str">
        <f>+Dulieu!G18</f>
        <v>${VHD_TKXA.D6}</v>
      </c>
      <c r="H30" s="44" t="str">
        <f>+Dulieu!H18</f>
        <v>${VHD_TKXA.D8}</v>
      </c>
      <c r="I30" s="44" t="str">
        <f>+Dulieu!I18</f>
        <v>${VHD_TKXA.D9}</v>
      </c>
      <c r="J30" s="44" t="str">
        <f>+Dulieu!J18</f>
        <v>${VHD_TKXA.D3}</v>
      </c>
      <c r="K30" s="44" t="str">
        <f>+Dulieu!K18</f>
        <v>${VHD_TKXA.D10}</v>
      </c>
      <c r="L30" s="44" t="str">
        <f>+Dulieu!L18</f>
        <v>${VHD_TKXA.D5}</v>
      </c>
      <c r="M30" s="44" t="str">
        <f>+Dulieu!M18</f>
        <v>${VHD_TKXA.D7}</v>
      </c>
      <c r="N30" s="44" t="str">
        <f>+Dulieu!N18</f>
        <v>${VHD_TKXA.D12}</v>
      </c>
      <c r="O30" s="44" t="str">
        <f>+Dulieu!O18</f>
        <v>${VHD_TKXA.D13}</v>
      </c>
      <c r="P30" s="44" t="str">
        <f>+Dulieu!P18</f>
        <v>${VHD_TKXA.D14}</v>
      </c>
      <c r="Q30" s="44" t="str">
        <f>+Dulieu!Q18</f>
        <v>${VHD_TKXA.D15}</v>
      </c>
      <c r="R30" s="44" t="str">
        <f>+Dulieu!R18</f>
        <v>${VHD_TKXA.D16}</v>
      </c>
      <c r="S30" s="44" t="str">
        <f>+Dulieu!S18</f>
        <v>${VHD_TKXA.D17}</v>
      </c>
      <c r="T30" s="44" t="str">
        <f>+Dulieu!T18</f>
        <v>${VHD_TKXA.D18}</v>
      </c>
      <c r="U30" s="44" t="str">
        <f>+Dulieu!U18</f>
        <v>${VHD_TKXA.D19}</v>
      </c>
      <c r="V30" s="44" t="str">
        <f>+Dulieu!V18</f>
        <v>${VHD_TKXA.D20}</v>
      </c>
      <c r="W30" s="44" t="str">
        <f>+Dulieu!W18</f>
        <v>${VHD_TKXA.D21}</v>
      </c>
      <c r="X30" s="44" t="str">
        <f>+Dulieu!X18</f>
        <v>${VHD_TKXA.D22}</v>
      </c>
      <c r="Y30" s="44" t="str">
        <f>+Dulieu!Y18</f>
        <v>${VHD_TKXA.D23}</v>
      </c>
    </row>
    <row r="31" spans="1:25" s="41" customFormat="1" ht="12" x14ac:dyDescent="0.2">
      <c r="A31" s="38"/>
      <c r="B31" s="39" t="s">
        <v>838</v>
      </c>
      <c r="C31" s="40" t="e">
        <f t="shared" si="13"/>
        <v>#VALUE!</v>
      </c>
      <c r="D31" s="40" t="e">
        <f>+D30-VLOOKUP(Dulieu!$C$18&amp;"_PRE_M",Dulieu!$C$88:$N$400,2,FALSE)</f>
        <v>#VALUE!</v>
      </c>
      <c r="E31" s="40" t="e">
        <f>+E30-VLOOKUP(Dulieu!$C$18&amp;"_PRE_M",Dulieu!$C$88:$N$400,3,FALSE)</f>
        <v>#VALUE!</v>
      </c>
      <c r="F31" s="40" t="e">
        <f>+F30-VLOOKUP(Dulieu!$C$18&amp;"_PRE_M",Dulieu!$C$88:$N$400,4,FALSE)</f>
        <v>#VALUE!</v>
      </c>
      <c r="G31" s="40" t="e">
        <f>+G30-VLOOKUP(Dulieu!$C$18&amp;"_PRE_M",Dulieu!$C$88:$N$400,5,FALSE)</f>
        <v>#VALUE!</v>
      </c>
      <c r="H31" s="40" t="e">
        <f>+H30-VLOOKUP(Dulieu!$C$18&amp;"_PRE_M",Dulieu!$C$88:$N$400,6,FALSE)</f>
        <v>#VALUE!</v>
      </c>
      <c r="I31" s="40" t="e">
        <f>+I30-VLOOKUP(Dulieu!$C$18&amp;"_PRE_M",Dulieu!$C$88:$N$400,7,FALSE)</f>
        <v>#VALUE!</v>
      </c>
      <c r="J31" s="40" t="e">
        <f>+J30-VLOOKUP(Dulieu!$C$18&amp;"_PRE_M",Dulieu!$C$88:$N$400,8,FALSE)</f>
        <v>#VALUE!</v>
      </c>
      <c r="K31" s="40" t="e">
        <f>+K30-VLOOKUP(Dulieu!$C$18&amp;"_PRE_M",Dulieu!$C$88:$N$400,9,FALSE)</f>
        <v>#VALUE!</v>
      </c>
      <c r="L31" s="40" t="e">
        <f>+L30-VLOOKUP(Dulieu!$C$18&amp;"_PRE_M",Dulieu!$C$88:$N$400,10,FALSE)</f>
        <v>#VALUE!</v>
      </c>
      <c r="M31" s="40" t="e">
        <f>+M30-VLOOKUP(Dulieu!$C$18&amp;"_PRE_M",Dulieu!$C$88:$N$400,11,FALSE)</f>
        <v>#VALUE!</v>
      </c>
      <c r="N31" s="40" t="e">
        <f>+N30-VLOOKUP(Dulieu!$C$18&amp;"_PRE_M",Dulieu!$C$88:$N$400,12,FALSE)</f>
        <v>#VALUE!</v>
      </c>
      <c r="O31" s="40" t="e">
        <f>+O30-VLOOKUP(Dulieu!$C$18&amp;"_PRE_M",Dulieu!$C$88:$Y$400,13,FALSE)</f>
        <v>#VALUE!</v>
      </c>
      <c r="P31" s="40" t="e">
        <f>+P30-VLOOKUP(Dulieu!$C$18&amp;"_PRE_M",Dulieu!$C$88:$Y$400,14,FALSE)</f>
        <v>#VALUE!</v>
      </c>
      <c r="Q31" s="40" t="e">
        <f>+Q30-VLOOKUP(Dulieu!$C$18&amp;"_PRE_M",Dulieu!$C$88:$Y$400,15,FALSE)</f>
        <v>#VALUE!</v>
      </c>
      <c r="R31" s="40" t="e">
        <f>+R30-VLOOKUP(Dulieu!$C$18&amp;"_PRE_M",Dulieu!$C$88:$Y$400,16,FALSE)</f>
        <v>#VALUE!</v>
      </c>
      <c r="S31" s="40" t="e">
        <f>+S30-VLOOKUP(Dulieu!$C$18&amp;"_PRE_M",Dulieu!$C$88:$Y$400,17,FALSE)</f>
        <v>#VALUE!</v>
      </c>
      <c r="T31" s="40" t="e">
        <f>+T30-VLOOKUP(Dulieu!$C$18&amp;"_PRE_M",Dulieu!$C$88:$Y$400,18,FALSE)</f>
        <v>#VALUE!</v>
      </c>
      <c r="U31" s="40" t="e">
        <f>+U30-VLOOKUP(Dulieu!$C$18&amp;"_PRE_M",Dulieu!$C$88:$Y$400,19,FALSE)</f>
        <v>#VALUE!</v>
      </c>
      <c r="V31" s="40" t="e">
        <f>+V30-VLOOKUP(Dulieu!$C$18&amp;"_PRE_M",Dulieu!$C$88:$Y$400,20,FALSE)</f>
        <v>#VALUE!</v>
      </c>
      <c r="W31" s="40" t="e">
        <f>+W30-VLOOKUP(Dulieu!$C$18&amp;"_PRE_M",Dulieu!$C$88:$Y$400,21,FALSE)</f>
        <v>#VALUE!</v>
      </c>
      <c r="X31" s="40" t="e">
        <f>+X30-VLOOKUP(Dulieu!$C$18&amp;"_PRE_M",Dulieu!$C$88:$Y$400,22,FALSE)</f>
        <v>#VALUE!</v>
      </c>
      <c r="Y31" s="40" t="e">
        <f>+Y30-VLOOKUP(Dulieu!$C$18&amp;"_PRE_M",Dulieu!$C$88:$Y$400,23,FALSE)</f>
        <v>#VALUE!</v>
      </c>
    </row>
    <row r="32" spans="1:25" s="41" customFormat="1" ht="12" x14ac:dyDescent="0.2">
      <c r="A32" s="38"/>
      <c r="B32" s="39" t="s">
        <v>839</v>
      </c>
      <c r="C32" s="40" t="e">
        <f t="shared" si="13"/>
        <v>#VALUE!</v>
      </c>
      <c r="D32" s="40" t="e">
        <f>+D30-VLOOKUP(Dulieu!$C$18&amp;"_PRE_Y",Dulieu!$C$88:$N$400,2,FALSE)</f>
        <v>#VALUE!</v>
      </c>
      <c r="E32" s="40" t="e">
        <f>+E30-VLOOKUP(Dulieu!$C$18&amp;"_PRE_Y",Dulieu!$C$88:$N$400,3,FALSE)</f>
        <v>#VALUE!</v>
      </c>
      <c r="F32" s="40" t="e">
        <f>+F30-VLOOKUP(Dulieu!$C$18&amp;"_PRE_Y",Dulieu!$C$88:$N$400,4,FALSE)</f>
        <v>#VALUE!</v>
      </c>
      <c r="G32" s="40" t="e">
        <f>+G30-VLOOKUP(Dulieu!$C$18&amp;"_PRE_Y",Dulieu!$C$88:$N$400,5,FALSE)</f>
        <v>#VALUE!</v>
      </c>
      <c r="H32" s="40" t="e">
        <f>+H30-VLOOKUP(Dulieu!$C$18&amp;"_PRE_Y",Dulieu!$C$88:$N$400,6,FALSE)</f>
        <v>#VALUE!</v>
      </c>
      <c r="I32" s="40" t="e">
        <f>+I30-VLOOKUP(Dulieu!$C$18&amp;"_PRE_Y",Dulieu!$C$88:$N$400,7,FALSE)</f>
        <v>#VALUE!</v>
      </c>
      <c r="J32" s="40" t="e">
        <f>+J30-VLOOKUP(Dulieu!$C$18&amp;"_PRE_Y",Dulieu!$C$88:$N$400,8,FALSE)</f>
        <v>#VALUE!</v>
      </c>
      <c r="K32" s="40" t="e">
        <f>+K30-VLOOKUP(Dulieu!$C$18&amp;"_PRE_Y",Dulieu!$C$88:$N$400,9,FALSE)</f>
        <v>#VALUE!</v>
      </c>
      <c r="L32" s="40" t="e">
        <f>+L30-VLOOKUP(Dulieu!$C$18&amp;"_PRE_Y",Dulieu!$C$88:$N$400,10,FALSE)</f>
        <v>#VALUE!</v>
      </c>
      <c r="M32" s="40" t="e">
        <f>+M30-VLOOKUP(Dulieu!$C$18&amp;"_PRE_Y",Dulieu!$C$88:$N$400,11,FALSE)</f>
        <v>#VALUE!</v>
      </c>
      <c r="N32" s="40" t="e">
        <f>+N30-VLOOKUP(Dulieu!$C$18&amp;"_PRE_Y",Dulieu!$C$88:$N$400,12,FALSE)</f>
        <v>#VALUE!</v>
      </c>
      <c r="O32" s="40" t="e">
        <f>+O30-VLOOKUP(Dulieu!$C$18&amp;"_PRE_Y",Dulieu!$C$88:$Y$400,13,FALSE)</f>
        <v>#VALUE!</v>
      </c>
      <c r="P32" s="40" t="e">
        <f>+P30-VLOOKUP(Dulieu!$C$18&amp;"_PRE_Y",Dulieu!$C$88:$Y$400,14,FALSE)</f>
        <v>#VALUE!</v>
      </c>
      <c r="Q32" s="40" t="e">
        <f>+Q30-VLOOKUP(Dulieu!$C$18&amp;"_PRE_Y",Dulieu!$C$88:$Y$400,15,FALSE)</f>
        <v>#VALUE!</v>
      </c>
      <c r="R32" s="40" t="e">
        <f>+R30-VLOOKUP(Dulieu!$C$18&amp;"_PRE_Y",Dulieu!$C$88:$Y$400,16,FALSE)</f>
        <v>#VALUE!</v>
      </c>
      <c r="S32" s="40" t="e">
        <f>+S30-VLOOKUP(Dulieu!$C$18&amp;"_PRE_Y",Dulieu!$C$88:$Y$400,17,FALSE)</f>
        <v>#VALUE!</v>
      </c>
      <c r="T32" s="40" t="e">
        <f>+T30-VLOOKUP(Dulieu!$C$18&amp;"_PRE_Y",Dulieu!$C$88:$Y$400,18,FALSE)</f>
        <v>#VALUE!</v>
      </c>
      <c r="U32" s="40" t="e">
        <f>+U30-VLOOKUP(Dulieu!$C$18&amp;"_PRE_Y",Dulieu!$C$88:$Y$400,19,FALSE)</f>
        <v>#VALUE!</v>
      </c>
      <c r="V32" s="40" t="e">
        <f>+V30-VLOOKUP(Dulieu!$C$18&amp;"_PRE_Y",Dulieu!$C$88:$Y$400,20,FALSE)</f>
        <v>#VALUE!</v>
      </c>
      <c r="W32" s="40" t="e">
        <f>+W30-VLOOKUP(Dulieu!$C$18&amp;"_PRE_Y",Dulieu!$C$88:$Y$400,21,FALSE)</f>
        <v>#VALUE!</v>
      </c>
      <c r="X32" s="40" t="e">
        <f>+X30-VLOOKUP(Dulieu!$C$18&amp;"_PRE_Y",Dulieu!$C$88:$Y$400,22,FALSE)</f>
        <v>#VALUE!</v>
      </c>
      <c r="Y32" s="40" t="e">
        <f>+Y30-VLOOKUP(Dulieu!$C$18&amp;"_PRE_Y",Dulieu!$C$88:$Y$400,23,FALSE)</f>
        <v>#VALUE!</v>
      </c>
    </row>
    <row r="33" spans="1:25" s="32" customFormat="1" ht="12" x14ac:dyDescent="0.2">
      <c r="A33" s="48" t="s">
        <v>24</v>
      </c>
      <c r="B33" s="43" t="s">
        <v>25</v>
      </c>
      <c r="C33" s="44">
        <f t="shared" si="13"/>
        <v>0</v>
      </c>
      <c r="D33" s="44" t="str">
        <f>+Dulieu!D19</f>
        <v>${VHD_TKTO.D2}</v>
      </c>
      <c r="E33" s="44" t="str">
        <f>+Dulieu!E19</f>
        <v>${VHD_TKTO.D11}</v>
      </c>
      <c r="F33" s="44" t="str">
        <f>+Dulieu!F19</f>
        <v>${VHD_TKTO.D4}</v>
      </c>
      <c r="G33" s="44" t="str">
        <f>+Dulieu!G19</f>
        <v>${VHD_TKTO.D6}</v>
      </c>
      <c r="H33" s="44" t="str">
        <f>+Dulieu!H19</f>
        <v>${VHD_TKTO.D8}</v>
      </c>
      <c r="I33" s="44" t="str">
        <f>+Dulieu!I19</f>
        <v>${VHD_TKTO.D9}</v>
      </c>
      <c r="J33" s="44" t="str">
        <f>+Dulieu!J19</f>
        <v>${VHD_TKTO.D3}</v>
      </c>
      <c r="K33" s="44" t="str">
        <f>+Dulieu!K19</f>
        <v>${VHD_TKTO.D10}</v>
      </c>
      <c r="L33" s="44" t="str">
        <f>+Dulieu!L19</f>
        <v>${VHD_TKTO.D5}</v>
      </c>
      <c r="M33" s="44" t="str">
        <f>+Dulieu!M19</f>
        <v>${VHD_TKTO.D7}</v>
      </c>
      <c r="N33" s="44" t="str">
        <f>+Dulieu!N19</f>
        <v>${VHD_TKTO.D12}</v>
      </c>
      <c r="O33" s="44" t="str">
        <f>+Dulieu!O19</f>
        <v>${VHD_TKTO.D13}</v>
      </c>
      <c r="P33" s="44" t="str">
        <f>+Dulieu!P19</f>
        <v>${VHD_TKTO.D14}</v>
      </c>
      <c r="Q33" s="44" t="str">
        <f>+Dulieu!Q19</f>
        <v>${VHD_TKTO.D15}</v>
      </c>
      <c r="R33" s="44" t="str">
        <f>+Dulieu!R19</f>
        <v>${VHD_TKTO.D16}</v>
      </c>
      <c r="S33" s="44" t="str">
        <f>+Dulieu!S19</f>
        <v>${VHD_TKTO.D17}</v>
      </c>
      <c r="T33" s="44" t="str">
        <f>+Dulieu!T19</f>
        <v>${VHD_TKTO.D18}</v>
      </c>
      <c r="U33" s="44" t="str">
        <f>+Dulieu!U19</f>
        <v>${VHD_TKTO.D19}</v>
      </c>
      <c r="V33" s="44" t="str">
        <f>+Dulieu!V19</f>
        <v>${VHD_TKTO.D20}</v>
      </c>
      <c r="W33" s="44" t="str">
        <f>+Dulieu!W19</f>
        <v>${VHD_TKTO.D21}</v>
      </c>
      <c r="X33" s="44" t="str">
        <f>+Dulieu!X19</f>
        <v>${VHD_TKTO.D22}</v>
      </c>
      <c r="Y33" s="44" t="str">
        <f>+Dulieu!Y19</f>
        <v>${VHD_TKTO.D23}</v>
      </c>
    </row>
    <row r="34" spans="1:25" s="41" customFormat="1" ht="12" x14ac:dyDescent="0.2">
      <c r="A34" s="38"/>
      <c r="B34" s="39" t="s">
        <v>838</v>
      </c>
      <c r="C34" s="40" t="e">
        <f t="shared" si="13"/>
        <v>#VALUE!</v>
      </c>
      <c r="D34" s="40" t="e">
        <f>+D33-VLOOKUP(Dulieu!$C$19&amp;"_PRE_M",Dulieu!$C$88:$N$400,2,FALSE)</f>
        <v>#VALUE!</v>
      </c>
      <c r="E34" s="40" t="e">
        <f>+E33-VLOOKUP(Dulieu!$C$19&amp;"_PRE_M",Dulieu!$C$88:$N$400,3,FALSE)</f>
        <v>#VALUE!</v>
      </c>
      <c r="F34" s="40" t="e">
        <f>+F33-VLOOKUP(Dulieu!$C$19&amp;"_PRE_M",Dulieu!$C$88:$N$400,4,FALSE)</f>
        <v>#VALUE!</v>
      </c>
      <c r="G34" s="40" t="e">
        <f>+G33-VLOOKUP(Dulieu!$C$19&amp;"_PRE_M",Dulieu!$C$88:$N$400,5,FALSE)</f>
        <v>#VALUE!</v>
      </c>
      <c r="H34" s="40" t="e">
        <f>+H33-VLOOKUP(Dulieu!$C$19&amp;"_PRE_M",Dulieu!$C$88:$N$400,6,FALSE)</f>
        <v>#VALUE!</v>
      </c>
      <c r="I34" s="40" t="e">
        <f>+I33-VLOOKUP(Dulieu!$C$19&amp;"_PRE_M",Dulieu!$C$88:$N$400,7,FALSE)</f>
        <v>#VALUE!</v>
      </c>
      <c r="J34" s="40" t="e">
        <f>+J33-VLOOKUP(Dulieu!$C$19&amp;"_PRE_M",Dulieu!$C$88:$N$400,8,FALSE)</f>
        <v>#VALUE!</v>
      </c>
      <c r="K34" s="40" t="e">
        <f>+K33-VLOOKUP(Dulieu!$C$19&amp;"_PRE_M",Dulieu!$C$88:$N$400,9,FALSE)</f>
        <v>#VALUE!</v>
      </c>
      <c r="L34" s="40" t="e">
        <f>+L33-VLOOKUP(Dulieu!$C$19&amp;"_PRE_M",Dulieu!$C$88:$N$400,10,FALSE)</f>
        <v>#VALUE!</v>
      </c>
      <c r="M34" s="40" t="e">
        <f>+M33-VLOOKUP(Dulieu!$C$19&amp;"_PRE_M",Dulieu!$C$88:$N$400,11,FALSE)</f>
        <v>#VALUE!</v>
      </c>
      <c r="N34" s="40" t="e">
        <f>+N33-VLOOKUP(Dulieu!$C$19&amp;"_PRE_M",Dulieu!$C$88:$N$400,12,FALSE)</f>
        <v>#VALUE!</v>
      </c>
      <c r="O34" s="40" t="e">
        <f>+O33-VLOOKUP(Dulieu!$C$19&amp;"_PRE_M",Dulieu!$C$88:$Y$400,13,FALSE)</f>
        <v>#VALUE!</v>
      </c>
      <c r="P34" s="40" t="e">
        <f>+P33-VLOOKUP(Dulieu!$C$19&amp;"_PRE_M",Dulieu!$C$88:$Y$400,14,FALSE)</f>
        <v>#VALUE!</v>
      </c>
      <c r="Q34" s="40" t="e">
        <f>+Q33-VLOOKUP(Dulieu!$C$19&amp;"_PRE_M",Dulieu!$C$88:$Y$400,15,FALSE)</f>
        <v>#VALUE!</v>
      </c>
      <c r="R34" s="40" t="e">
        <f>+R33-VLOOKUP(Dulieu!$C$19&amp;"_PRE_M",Dulieu!$C$88:$Y$400,16,FALSE)</f>
        <v>#VALUE!</v>
      </c>
      <c r="S34" s="40" t="e">
        <f>+S33-VLOOKUP(Dulieu!$C$19&amp;"_PRE_M",Dulieu!$C$88:$Y$400,17,FALSE)</f>
        <v>#VALUE!</v>
      </c>
      <c r="T34" s="40" t="e">
        <f>+T33-VLOOKUP(Dulieu!$C$19&amp;"_PRE_M",Dulieu!$C$88:$Y$400,18,FALSE)</f>
        <v>#VALUE!</v>
      </c>
      <c r="U34" s="40" t="e">
        <f>+U33-VLOOKUP(Dulieu!$C$19&amp;"_PRE_M",Dulieu!$C$88:$Y$400,19,FALSE)</f>
        <v>#VALUE!</v>
      </c>
      <c r="V34" s="40" t="e">
        <f>+V33-VLOOKUP(Dulieu!$C$19&amp;"_PRE_M",Dulieu!$C$88:$Y$400,20,FALSE)</f>
        <v>#VALUE!</v>
      </c>
      <c r="W34" s="40" t="e">
        <f>+W33-VLOOKUP(Dulieu!$C$19&amp;"_PRE_M",Dulieu!$C$88:$Y$400,21,FALSE)</f>
        <v>#VALUE!</v>
      </c>
      <c r="X34" s="40" t="e">
        <f>+X33-VLOOKUP(Dulieu!$C$19&amp;"_PRE_M",Dulieu!$C$88:$Y$400,22,FALSE)</f>
        <v>#VALUE!</v>
      </c>
      <c r="Y34" s="40" t="e">
        <f>+Y33-VLOOKUP(Dulieu!$C$19&amp;"_PRE_M",Dulieu!$C$88:$Y$400,23,FALSE)</f>
        <v>#VALUE!</v>
      </c>
    </row>
    <row r="35" spans="1:25" s="41" customFormat="1" ht="12" x14ac:dyDescent="0.2">
      <c r="A35" s="38"/>
      <c r="B35" s="39" t="s">
        <v>839</v>
      </c>
      <c r="C35" s="40" t="e">
        <f t="shared" si="13"/>
        <v>#VALUE!</v>
      </c>
      <c r="D35" s="40" t="e">
        <f>+D33-VLOOKUP(Dulieu!$C$19&amp;"_PRE_Y",Dulieu!$C$88:$N$400,2,FALSE)</f>
        <v>#VALUE!</v>
      </c>
      <c r="E35" s="40" t="e">
        <f>+E33-VLOOKUP(Dulieu!$C$19&amp;"_PRE_Y",Dulieu!$C$88:$N$400,3,FALSE)</f>
        <v>#VALUE!</v>
      </c>
      <c r="F35" s="40" t="e">
        <f>+F33-VLOOKUP(Dulieu!$C$19&amp;"_PRE_Y",Dulieu!$C$88:$N$400,4,FALSE)</f>
        <v>#VALUE!</v>
      </c>
      <c r="G35" s="40" t="e">
        <f>+G33-VLOOKUP(Dulieu!$C$19&amp;"_PRE_Y",Dulieu!$C$88:$N$400,5,FALSE)</f>
        <v>#VALUE!</v>
      </c>
      <c r="H35" s="40" t="e">
        <f>+H33-VLOOKUP(Dulieu!$C$19&amp;"_PRE_Y",Dulieu!$C$88:$N$400,6,FALSE)</f>
        <v>#VALUE!</v>
      </c>
      <c r="I35" s="40" t="e">
        <f>+I33-VLOOKUP(Dulieu!$C$19&amp;"_PRE_Y",Dulieu!$C$88:$N$400,7,FALSE)</f>
        <v>#VALUE!</v>
      </c>
      <c r="J35" s="40" t="e">
        <f>+J33-VLOOKUP(Dulieu!$C$19&amp;"_PRE_Y",Dulieu!$C$88:$N$400,8,FALSE)</f>
        <v>#VALUE!</v>
      </c>
      <c r="K35" s="40" t="e">
        <f>+K33-VLOOKUP(Dulieu!$C$19&amp;"_PRE_Y",Dulieu!$C$88:$N$400,9,FALSE)</f>
        <v>#VALUE!</v>
      </c>
      <c r="L35" s="40" t="e">
        <f>+L33-VLOOKUP(Dulieu!$C$19&amp;"_PRE_Y",Dulieu!$C$88:$N$400,10,FALSE)</f>
        <v>#VALUE!</v>
      </c>
      <c r="M35" s="40" t="e">
        <f>+M33-VLOOKUP(Dulieu!$C$19&amp;"_PRE_Y",Dulieu!$C$88:$N$400,11,FALSE)</f>
        <v>#VALUE!</v>
      </c>
      <c r="N35" s="40" t="e">
        <f>+N33-VLOOKUP(Dulieu!$C$19&amp;"_PRE_Y",Dulieu!$C$88:$N$400,12,FALSE)</f>
        <v>#VALUE!</v>
      </c>
      <c r="O35" s="40" t="e">
        <f>+O33-VLOOKUP(Dulieu!$C$19&amp;"_PRE_Y",Dulieu!$C$88:$Y$400,13,FALSE)</f>
        <v>#VALUE!</v>
      </c>
      <c r="P35" s="40" t="e">
        <f>+P33-VLOOKUP(Dulieu!$C$19&amp;"_PRE_Y",Dulieu!$C$88:$Y$400,14,FALSE)</f>
        <v>#VALUE!</v>
      </c>
      <c r="Q35" s="40" t="e">
        <f>+Q33-VLOOKUP(Dulieu!$C$19&amp;"_PRE_Y",Dulieu!$C$88:$Y$400,15,FALSE)</f>
        <v>#VALUE!</v>
      </c>
      <c r="R35" s="40" t="e">
        <f>+R33-VLOOKUP(Dulieu!$C$19&amp;"_PRE_Y",Dulieu!$C$88:$Y$400,16,FALSE)</f>
        <v>#VALUE!</v>
      </c>
      <c r="S35" s="40" t="e">
        <f>+S33-VLOOKUP(Dulieu!$C$19&amp;"_PRE_Y",Dulieu!$C$88:$Y$400,17,FALSE)</f>
        <v>#VALUE!</v>
      </c>
      <c r="T35" s="40" t="e">
        <f>+T33-VLOOKUP(Dulieu!$C$19&amp;"_PRE_Y",Dulieu!$C$88:$Y$400,18,FALSE)</f>
        <v>#VALUE!</v>
      </c>
      <c r="U35" s="40" t="e">
        <f>+U33-VLOOKUP(Dulieu!$C$19&amp;"_PRE_Y",Dulieu!$C$88:$Y$400,19,FALSE)</f>
        <v>#VALUE!</v>
      </c>
      <c r="V35" s="40" t="e">
        <f>+V33-VLOOKUP(Dulieu!$C$19&amp;"_PRE_Y",Dulieu!$C$88:$Y$400,20,FALSE)</f>
        <v>#VALUE!</v>
      </c>
      <c r="W35" s="40" t="e">
        <f>+W33-VLOOKUP(Dulieu!$C$19&amp;"_PRE_Y",Dulieu!$C$88:$Y$400,21,FALSE)</f>
        <v>#VALUE!</v>
      </c>
      <c r="X35" s="40" t="e">
        <f>+X33-VLOOKUP(Dulieu!$C$19&amp;"_PRE_Y",Dulieu!$C$88:$Y$400,22,FALSE)</f>
        <v>#VALUE!</v>
      </c>
      <c r="Y35" s="40" t="e">
        <f>+Y33-VLOOKUP(Dulieu!$C$19&amp;"_PRE_Y",Dulieu!$C$88:$Y$400,23,FALSE)</f>
        <v>#VALUE!</v>
      </c>
    </row>
    <row r="36" spans="1:25" s="37" customFormat="1" ht="12" x14ac:dyDescent="0.2">
      <c r="A36" s="34" t="s">
        <v>26</v>
      </c>
      <c r="B36" s="35" t="s">
        <v>27</v>
      </c>
      <c r="C36" s="36" t="e">
        <f t="shared" si="13"/>
        <v>#VALUE!</v>
      </c>
      <c r="D36" s="36" t="e">
        <f>+Dulieu!D20</f>
        <v>#VALUE!</v>
      </c>
      <c r="E36" s="36" t="e">
        <f>+Dulieu!E20</f>
        <v>#VALUE!</v>
      </c>
      <c r="F36" s="36" t="e">
        <f>+Dulieu!F20</f>
        <v>#VALUE!</v>
      </c>
      <c r="G36" s="36" t="e">
        <f>+Dulieu!G20</f>
        <v>#VALUE!</v>
      </c>
      <c r="H36" s="36" t="e">
        <f>+Dulieu!H20</f>
        <v>#VALUE!</v>
      </c>
      <c r="I36" s="36" t="e">
        <f>+Dulieu!I20</f>
        <v>#VALUE!</v>
      </c>
      <c r="J36" s="36" t="e">
        <f>+Dulieu!J20</f>
        <v>#VALUE!</v>
      </c>
      <c r="K36" s="36" t="e">
        <f>+Dulieu!K20</f>
        <v>#VALUE!</v>
      </c>
      <c r="L36" s="36" t="e">
        <f>+Dulieu!L20</f>
        <v>#VALUE!</v>
      </c>
      <c r="M36" s="36" t="e">
        <f>+Dulieu!M20</f>
        <v>#VALUE!</v>
      </c>
      <c r="N36" s="36" t="e">
        <f>+Dulieu!N20</f>
        <v>#VALUE!</v>
      </c>
      <c r="O36" s="36" t="e">
        <f>+Dulieu!O20</f>
        <v>#VALUE!</v>
      </c>
      <c r="P36" s="36" t="e">
        <f>+Dulieu!P20</f>
        <v>#VALUE!</v>
      </c>
      <c r="Q36" s="36" t="e">
        <f>+Dulieu!Q20</f>
        <v>#VALUE!</v>
      </c>
      <c r="R36" s="36" t="e">
        <f>+Dulieu!R20</f>
        <v>#VALUE!</v>
      </c>
      <c r="S36" s="36" t="e">
        <f>+Dulieu!S20</f>
        <v>#VALUE!</v>
      </c>
      <c r="T36" s="36" t="e">
        <f>+Dulieu!T20</f>
        <v>#VALUE!</v>
      </c>
      <c r="U36" s="36" t="e">
        <f>+Dulieu!U20</f>
        <v>#VALUE!</v>
      </c>
      <c r="V36" s="36" t="e">
        <f>+Dulieu!V20</f>
        <v>#VALUE!</v>
      </c>
      <c r="W36" s="36" t="e">
        <f>+Dulieu!W20</f>
        <v>#VALUE!</v>
      </c>
      <c r="X36" s="36" t="e">
        <f>+Dulieu!X20</f>
        <v>#VALUE!</v>
      </c>
      <c r="Y36" s="36" t="e">
        <f>+Dulieu!Y20</f>
        <v>#VALUE!</v>
      </c>
    </row>
    <row r="37" spans="1:25" s="41" customFormat="1" ht="12" x14ac:dyDescent="0.2">
      <c r="A37" s="38"/>
      <c r="B37" s="39" t="s">
        <v>838</v>
      </c>
      <c r="C37" s="40" t="e">
        <f>+C41+C44</f>
        <v>#VALUE!</v>
      </c>
      <c r="D37" s="40" t="e">
        <f t="shared" ref="D37:N38" si="14">+D41+D44</f>
        <v>#VALUE!</v>
      </c>
      <c r="E37" s="40" t="e">
        <f t="shared" si="14"/>
        <v>#VALUE!</v>
      </c>
      <c r="F37" s="40" t="e">
        <f t="shared" si="14"/>
        <v>#VALUE!</v>
      </c>
      <c r="G37" s="40" t="e">
        <f t="shared" si="14"/>
        <v>#VALUE!</v>
      </c>
      <c r="H37" s="40" t="e">
        <f t="shared" si="14"/>
        <v>#VALUE!</v>
      </c>
      <c r="I37" s="40" t="e">
        <f t="shared" si="14"/>
        <v>#VALUE!</v>
      </c>
      <c r="J37" s="40" t="e">
        <f t="shared" si="14"/>
        <v>#VALUE!</v>
      </c>
      <c r="K37" s="40" t="e">
        <f t="shared" si="14"/>
        <v>#VALUE!</v>
      </c>
      <c r="L37" s="40" t="e">
        <f t="shared" si="14"/>
        <v>#VALUE!</v>
      </c>
      <c r="M37" s="40" t="e">
        <f t="shared" si="14"/>
        <v>#VALUE!</v>
      </c>
      <c r="N37" s="40" t="e">
        <f t="shared" si="14"/>
        <v>#VALUE!</v>
      </c>
      <c r="O37" s="40" t="e">
        <f t="shared" ref="O37:Y37" si="15">+O41+O44</f>
        <v>#VALUE!</v>
      </c>
      <c r="P37" s="40" t="e">
        <f t="shared" si="15"/>
        <v>#VALUE!</v>
      </c>
      <c r="Q37" s="40" t="e">
        <f t="shared" si="15"/>
        <v>#VALUE!</v>
      </c>
      <c r="R37" s="40" t="e">
        <f t="shared" si="15"/>
        <v>#VALUE!</v>
      </c>
      <c r="S37" s="40" t="e">
        <f t="shared" si="15"/>
        <v>#VALUE!</v>
      </c>
      <c r="T37" s="40" t="e">
        <f t="shared" si="15"/>
        <v>#VALUE!</v>
      </c>
      <c r="U37" s="40" t="e">
        <f t="shared" si="15"/>
        <v>#VALUE!</v>
      </c>
      <c r="V37" s="40" t="e">
        <f t="shared" si="15"/>
        <v>#VALUE!</v>
      </c>
      <c r="W37" s="40" t="e">
        <f t="shared" si="15"/>
        <v>#VALUE!</v>
      </c>
      <c r="X37" s="40" t="e">
        <f t="shared" si="15"/>
        <v>#VALUE!</v>
      </c>
      <c r="Y37" s="40" t="e">
        <f t="shared" si="15"/>
        <v>#VALUE!</v>
      </c>
    </row>
    <row r="38" spans="1:25" s="41" customFormat="1" ht="12" x14ac:dyDescent="0.2">
      <c r="A38" s="38"/>
      <c r="B38" s="39" t="s">
        <v>839</v>
      </c>
      <c r="C38" s="40" t="e">
        <f>+C42+C45</f>
        <v>#VALUE!</v>
      </c>
      <c r="D38" s="40" t="e">
        <f t="shared" si="14"/>
        <v>#VALUE!</v>
      </c>
      <c r="E38" s="40" t="e">
        <f t="shared" si="14"/>
        <v>#VALUE!</v>
      </c>
      <c r="F38" s="40" t="e">
        <f t="shared" si="14"/>
        <v>#VALUE!</v>
      </c>
      <c r="G38" s="40" t="e">
        <f t="shared" si="14"/>
        <v>#VALUE!</v>
      </c>
      <c r="H38" s="40" t="e">
        <f t="shared" si="14"/>
        <v>#VALUE!</v>
      </c>
      <c r="I38" s="40" t="e">
        <f t="shared" si="14"/>
        <v>#VALUE!</v>
      </c>
      <c r="J38" s="40" t="e">
        <f t="shared" si="14"/>
        <v>#VALUE!</v>
      </c>
      <c r="K38" s="40" t="e">
        <f t="shared" si="14"/>
        <v>#VALUE!</v>
      </c>
      <c r="L38" s="40" t="e">
        <f t="shared" si="14"/>
        <v>#VALUE!</v>
      </c>
      <c r="M38" s="40" t="e">
        <f t="shared" si="14"/>
        <v>#VALUE!</v>
      </c>
      <c r="N38" s="40" t="e">
        <f t="shared" si="14"/>
        <v>#VALUE!</v>
      </c>
      <c r="O38" s="40" t="e">
        <f t="shared" ref="O38:Y38" si="16">+O42+O45</f>
        <v>#VALUE!</v>
      </c>
      <c r="P38" s="40" t="e">
        <f t="shared" si="16"/>
        <v>#VALUE!</v>
      </c>
      <c r="Q38" s="40" t="e">
        <f t="shared" si="16"/>
        <v>#VALUE!</v>
      </c>
      <c r="R38" s="40" t="e">
        <f t="shared" si="16"/>
        <v>#VALUE!</v>
      </c>
      <c r="S38" s="40" t="e">
        <f t="shared" si="16"/>
        <v>#VALUE!</v>
      </c>
      <c r="T38" s="40" t="e">
        <f t="shared" si="16"/>
        <v>#VALUE!</v>
      </c>
      <c r="U38" s="40" t="e">
        <f t="shared" si="16"/>
        <v>#VALUE!</v>
      </c>
      <c r="V38" s="40" t="e">
        <f t="shared" si="16"/>
        <v>#VALUE!</v>
      </c>
      <c r="W38" s="40" t="e">
        <f t="shared" si="16"/>
        <v>#VALUE!</v>
      </c>
      <c r="X38" s="40" t="e">
        <f t="shared" si="16"/>
        <v>#VALUE!</v>
      </c>
      <c r="Y38" s="40" t="e">
        <f t="shared" si="16"/>
        <v>#VALUE!</v>
      </c>
    </row>
    <row r="39" spans="1:25" s="51" customFormat="1" ht="12" x14ac:dyDescent="0.2">
      <c r="A39" s="49"/>
      <c r="B39" s="50" t="s">
        <v>15</v>
      </c>
      <c r="C39" s="46" t="e">
        <f>+C36/C8</f>
        <v>#VALUE!</v>
      </c>
      <c r="D39" s="46" t="e">
        <f>+Dulieu!D21</f>
        <v>#VALUE!</v>
      </c>
      <c r="E39" s="46" t="e">
        <f>+Dulieu!E21</f>
        <v>#VALUE!</v>
      </c>
      <c r="F39" s="46" t="e">
        <f>+Dulieu!F21</f>
        <v>#VALUE!</v>
      </c>
      <c r="G39" s="46" t="e">
        <f>+Dulieu!G21</f>
        <v>#VALUE!</v>
      </c>
      <c r="H39" s="46" t="e">
        <f>+Dulieu!H21</f>
        <v>#VALUE!</v>
      </c>
      <c r="I39" s="46" t="e">
        <f>+Dulieu!I21</f>
        <v>#VALUE!</v>
      </c>
      <c r="J39" s="46" t="e">
        <f>+Dulieu!J21</f>
        <v>#VALUE!</v>
      </c>
      <c r="K39" s="46" t="e">
        <f>+Dulieu!K21</f>
        <v>#VALUE!</v>
      </c>
      <c r="L39" s="46" t="e">
        <f>+Dulieu!L21</f>
        <v>#VALUE!</v>
      </c>
      <c r="M39" s="46" t="e">
        <f>+Dulieu!M21</f>
        <v>#VALUE!</v>
      </c>
      <c r="N39" s="46" t="e">
        <f>+Dulieu!N21</f>
        <v>#VALUE!</v>
      </c>
      <c r="O39" s="46" t="e">
        <f>+Dulieu!O21</f>
        <v>#VALUE!</v>
      </c>
      <c r="P39" s="46" t="e">
        <f>+Dulieu!P21</f>
        <v>#VALUE!</v>
      </c>
      <c r="Q39" s="46" t="e">
        <f>+Dulieu!Q21</f>
        <v>#VALUE!</v>
      </c>
      <c r="R39" s="46" t="e">
        <f>+Dulieu!R21</f>
        <v>#VALUE!</v>
      </c>
      <c r="S39" s="46" t="e">
        <f>+Dulieu!S21</f>
        <v>#VALUE!</v>
      </c>
      <c r="T39" s="46" t="e">
        <f>+Dulieu!T21</f>
        <v>#VALUE!</v>
      </c>
      <c r="U39" s="46" t="e">
        <f>+Dulieu!U21</f>
        <v>#VALUE!</v>
      </c>
      <c r="V39" s="46" t="e">
        <f>+Dulieu!V21</f>
        <v>#VALUE!</v>
      </c>
      <c r="W39" s="46" t="e">
        <f>+Dulieu!W21</f>
        <v>#VALUE!</v>
      </c>
      <c r="X39" s="46" t="e">
        <f>+Dulieu!X21</f>
        <v>#VALUE!</v>
      </c>
      <c r="Y39" s="46" t="e">
        <f>+Dulieu!Y21</f>
        <v>#VALUE!</v>
      </c>
    </row>
    <row r="40" spans="1:25" s="32" customFormat="1" ht="12" x14ac:dyDescent="0.2">
      <c r="A40" s="42">
        <v>1</v>
      </c>
      <c r="B40" s="52" t="s">
        <v>28</v>
      </c>
      <c r="C40" s="44">
        <f t="shared" ref="C40:C58" si="17">SUM(D40:Y40)</f>
        <v>0</v>
      </c>
      <c r="D40" s="44" t="str">
        <f>+Dulieu!D22</f>
        <v>${VONDP_T.D2}</v>
      </c>
      <c r="E40" s="44" t="str">
        <f>+Dulieu!E22</f>
        <v>${VONDP_T.D11}</v>
      </c>
      <c r="F40" s="44" t="str">
        <f>+Dulieu!F22</f>
        <v>${VONDP_T.D4}</v>
      </c>
      <c r="G40" s="44" t="str">
        <f>+Dulieu!G22</f>
        <v>${VONDP_T.D6}</v>
      </c>
      <c r="H40" s="44" t="str">
        <f>+Dulieu!H22</f>
        <v>${VONDP_T.D8}</v>
      </c>
      <c r="I40" s="44" t="str">
        <f>+Dulieu!I22</f>
        <v>${VONDP_T.D9}</v>
      </c>
      <c r="J40" s="44" t="str">
        <f>+Dulieu!J22</f>
        <v>${VONDP_T.D3}</v>
      </c>
      <c r="K40" s="44" t="str">
        <f>+Dulieu!K22</f>
        <v>${VONDP_T.D10}</v>
      </c>
      <c r="L40" s="44" t="str">
        <f>+Dulieu!L22</f>
        <v>${VONDP_T.D5}</v>
      </c>
      <c r="M40" s="44" t="str">
        <f>+Dulieu!M22</f>
        <v>${VONDP_T.D7}</v>
      </c>
      <c r="N40" s="44" t="str">
        <f>+Dulieu!N22</f>
        <v>${VONDP_T.D12}</v>
      </c>
      <c r="O40" s="44" t="str">
        <f>+Dulieu!O22</f>
        <v>${VONDP_T.D13}</v>
      </c>
      <c r="P40" s="44" t="str">
        <f>+Dulieu!P22</f>
        <v>${VONDP_T.D14}</v>
      </c>
      <c r="Q40" s="44" t="str">
        <f>+Dulieu!Q22</f>
        <v>${VONDP_T.D15}</v>
      </c>
      <c r="R40" s="44" t="str">
        <f>+Dulieu!R22</f>
        <v>${VONDP_T.D16}</v>
      </c>
      <c r="S40" s="44" t="str">
        <f>+Dulieu!S22</f>
        <v>${VONDP_T.D17}</v>
      </c>
      <c r="T40" s="44" t="str">
        <f>+Dulieu!T22</f>
        <v>${VONDP_T.D18}</v>
      </c>
      <c r="U40" s="44" t="str">
        <f>+Dulieu!U22</f>
        <v>${VONDP_T.D19}</v>
      </c>
      <c r="V40" s="44" t="str">
        <f>+Dulieu!V22</f>
        <v>${VONDP_T.D20}</v>
      </c>
      <c r="W40" s="44" t="str">
        <f>+Dulieu!W22</f>
        <v>${VONDP_T.D21}</v>
      </c>
      <c r="X40" s="44" t="str">
        <f>+Dulieu!X22</f>
        <v>${VONDP_T.D22}</v>
      </c>
      <c r="Y40" s="44" t="str">
        <f>+Dulieu!Y22</f>
        <v>${VONDP_T.D23}</v>
      </c>
    </row>
    <row r="41" spans="1:25" s="41" customFormat="1" ht="12" x14ac:dyDescent="0.2">
      <c r="A41" s="38"/>
      <c r="B41" s="39" t="s">
        <v>838</v>
      </c>
      <c r="C41" s="40" t="e">
        <f t="shared" si="17"/>
        <v>#VALUE!</v>
      </c>
      <c r="D41" s="40" t="e">
        <f>+D40-VLOOKUP(Dulieu!$C$22&amp;"_PRE_M",Dulieu!$C$88:$N$400,2,FALSE)</f>
        <v>#VALUE!</v>
      </c>
      <c r="E41" s="40" t="e">
        <f>+E40-VLOOKUP(Dulieu!$C$22&amp;"_PRE_M",Dulieu!$C$88:$N$400,3,FALSE)</f>
        <v>#VALUE!</v>
      </c>
      <c r="F41" s="40" t="e">
        <f>+F40-VLOOKUP(Dulieu!$C$22&amp;"_PRE_M",Dulieu!$C$88:$N$400,4,FALSE)</f>
        <v>#VALUE!</v>
      </c>
      <c r="G41" s="40" t="e">
        <f>+G40-VLOOKUP(Dulieu!$C$22&amp;"_PRE_M",Dulieu!$C$88:$N$400,5,FALSE)</f>
        <v>#VALUE!</v>
      </c>
      <c r="H41" s="40" t="e">
        <f>+H40-VLOOKUP(Dulieu!$C$22&amp;"_PRE_M",Dulieu!$C$88:$N$400,6,FALSE)</f>
        <v>#VALUE!</v>
      </c>
      <c r="I41" s="40" t="e">
        <f>+I40-VLOOKUP(Dulieu!$C$22&amp;"_PRE_M",Dulieu!$C$88:$N$400,7,FALSE)</f>
        <v>#VALUE!</v>
      </c>
      <c r="J41" s="40" t="e">
        <f>+J40-VLOOKUP(Dulieu!$C$22&amp;"_PRE_M",Dulieu!$C$88:$N$400,8,FALSE)</f>
        <v>#VALUE!</v>
      </c>
      <c r="K41" s="40" t="e">
        <f>+K40-VLOOKUP(Dulieu!$C$22&amp;"_PRE_M",Dulieu!$C$88:$N$400,9,FALSE)</f>
        <v>#VALUE!</v>
      </c>
      <c r="L41" s="40" t="e">
        <f>+L40-VLOOKUP(Dulieu!$C$22&amp;"_PRE_M",Dulieu!$C$88:$N$400,10,FALSE)</f>
        <v>#VALUE!</v>
      </c>
      <c r="M41" s="40" t="e">
        <f>+M40-VLOOKUP(Dulieu!$C$22&amp;"_PRE_M",Dulieu!$C$88:$N$400,11,FALSE)</f>
        <v>#VALUE!</v>
      </c>
      <c r="N41" s="40" t="e">
        <f>+N40-VLOOKUP(Dulieu!$C$22&amp;"_PRE_M",Dulieu!$C$88:$N$400,12,FALSE)</f>
        <v>#VALUE!</v>
      </c>
      <c r="O41" s="40" t="e">
        <f>+O40-VLOOKUP(Dulieu!$C$22&amp;"_PRE_M",Dulieu!$C$88:$Y$400,13,FALSE)</f>
        <v>#VALUE!</v>
      </c>
      <c r="P41" s="40" t="e">
        <f>+P40-VLOOKUP(Dulieu!$C$22&amp;"_PRE_M",Dulieu!$C$88:$Y$400,14,FALSE)</f>
        <v>#VALUE!</v>
      </c>
      <c r="Q41" s="40" t="e">
        <f>+Q40-VLOOKUP(Dulieu!$C$22&amp;"_PRE_M",Dulieu!$C$88:$Y$400,15,FALSE)</f>
        <v>#VALUE!</v>
      </c>
      <c r="R41" s="40" t="e">
        <f>+R40-VLOOKUP(Dulieu!$C$22&amp;"_PRE_M",Dulieu!$C$88:$Y$400,16,FALSE)</f>
        <v>#VALUE!</v>
      </c>
      <c r="S41" s="40" t="e">
        <f>+S40-VLOOKUP(Dulieu!$C$22&amp;"_PRE_M",Dulieu!$C$88:$Y$400,17,FALSE)</f>
        <v>#VALUE!</v>
      </c>
      <c r="T41" s="40" t="e">
        <f>+T40-VLOOKUP(Dulieu!$C$22&amp;"_PRE_M",Dulieu!$C$88:$Y$400,18,FALSE)</f>
        <v>#VALUE!</v>
      </c>
      <c r="U41" s="40" t="e">
        <f>+U40-VLOOKUP(Dulieu!$C$22&amp;"_PRE_M",Dulieu!$C$88:$Y$400,19,FALSE)</f>
        <v>#VALUE!</v>
      </c>
      <c r="V41" s="40" t="e">
        <f>+V40-VLOOKUP(Dulieu!$C$22&amp;"_PRE_M",Dulieu!$C$88:$Y$400,20,FALSE)</f>
        <v>#VALUE!</v>
      </c>
      <c r="W41" s="40" t="e">
        <f>+W40-VLOOKUP(Dulieu!$C$22&amp;"_PRE_M",Dulieu!$C$88:$Y$400,21,FALSE)</f>
        <v>#VALUE!</v>
      </c>
      <c r="X41" s="40" t="e">
        <f>+X40-VLOOKUP(Dulieu!$C$22&amp;"_PRE_M",Dulieu!$C$88:$Y$400,22,FALSE)</f>
        <v>#VALUE!</v>
      </c>
      <c r="Y41" s="40" t="e">
        <f>+Y40-VLOOKUP(Dulieu!$C$22&amp;"_PRE_M",Dulieu!$C$88:$Y$400,23,FALSE)</f>
        <v>#VALUE!</v>
      </c>
    </row>
    <row r="42" spans="1:25" s="41" customFormat="1" ht="12" x14ac:dyDescent="0.2">
      <c r="A42" s="38"/>
      <c r="B42" s="39" t="s">
        <v>839</v>
      </c>
      <c r="C42" s="40" t="e">
        <f t="shared" si="17"/>
        <v>#VALUE!</v>
      </c>
      <c r="D42" s="40" t="e">
        <f>+D40-VLOOKUP(Dulieu!$C$22&amp;"_PRE_Y",Dulieu!$C$88:$N$400,2,FALSE)</f>
        <v>#VALUE!</v>
      </c>
      <c r="E42" s="40" t="e">
        <f>+E40-VLOOKUP(Dulieu!$C$22&amp;"_PRE_Y",Dulieu!$C$88:$N$400,3,FALSE)</f>
        <v>#VALUE!</v>
      </c>
      <c r="F42" s="40" t="e">
        <f>+F40-VLOOKUP(Dulieu!$C$22&amp;"_PRE_Y",Dulieu!$C$88:$N$400,4,FALSE)</f>
        <v>#VALUE!</v>
      </c>
      <c r="G42" s="40" t="e">
        <f>+G40-VLOOKUP(Dulieu!$C$22&amp;"_PRE_Y",Dulieu!$C$88:$N$400,5,FALSE)</f>
        <v>#VALUE!</v>
      </c>
      <c r="H42" s="40" t="e">
        <f>+H40-VLOOKUP(Dulieu!$C$22&amp;"_PRE_Y",Dulieu!$C$88:$N$400,6,FALSE)</f>
        <v>#VALUE!</v>
      </c>
      <c r="I42" s="40" t="e">
        <f>+I40-VLOOKUP(Dulieu!$C$22&amp;"_PRE_Y",Dulieu!$C$88:$N$400,7,FALSE)</f>
        <v>#VALUE!</v>
      </c>
      <c r="J42" s="40" t="e">
        <f>+J40-VLOOKUP(Dulieu!$C$22&amp;"_PRE_Y",Dulieu!$C$88:$N$400,8,FALSE)</f>
        <v>#VALUE!</v>
      </c>
      <c r="K42" s="40" t="e">
        <f>+K40-VLOOKUP(Dulieu!$C$22&amp;"_PRE_Y",Dulieu!$C$88:$N$400,9,FALSE)</f>
        <v>#VALUE!</v>
      </c>
      <c r="L42" s="40" t="e">
        <f>+L40-VLOOKUP(Dulieu!$C$22&amp;"_PRE_Y",Dulieu!$C$88:$N$400,10,FALSE)</f>
        <v>#VALUE!</v>
      </c>
      <c r="M42" s="40" t="e">
        <f>+M40-VLOOKUP(Dulieu!$C$22&amp;"_PRE_Y",Dulieu!$C$88:$N$400,11,FALSE)</f>
        <v>#VALUE!</v>
      </c>
      <c r="N42" s="40" t="e">
        <f>+N40-VLOOKUP(Dulieu!$C$22&amp;"_PRE_Y",Dulieu!$C$88:$N$400,12,FALSE)</f>
        <v>#VALUE!</v>
      </c>
      <c r="O42" s="40" t="e">
        <f>+O40-VLOOKUP(Dulieu!$C$22&amp;"_PRE_Y",Dulieu!$C$88:$Y$400,13,FALSE)</f>
        <v>#VALUE!</v>
      </c>
      <c r="P42" s="40" t="e">
        <f>+P40-VLOOKUP(Dulieu!$C$22&amp;"_PRE_Y",Dulieu!$C$88:$Y$400,14,FALSE)</f>
        <v>#VALUE!</v>
      </c>
      <c r="Q42" s="40" t="e">
        <f>+Q40-VLOOKUP(Dulieu!$C$22&amp;"_PRE_Y",Dulieu!$C$88:$Y$400,15,FALSE)</f>
        <v>#VALUE!</v>
      </c>
      <c r="R42" s="40" t="e">
        <f>+R40-VLOOKUP(Dulieu!$C$22&amp;"_PRE_Y",Dulieu!$C$88:$Y$400,16,FALSE)</f>
        <v>#VALUE!</v>
      </c>
      <c r="S42" s="40" t="e">
        <f>+S40-VLOOKUP(Dulieu!$C$22&amp;"_PRE_Y",Dulieu!$C$88:$Y$400,17,FALSE)</f>
        <v>#VALUE!</v>
      </c>
      <c r="T42" s="40" t="e">
        <f>+T40-VLOOKUP(Dulieu!$C$22&amp;"_PRE_Y",Dulieu!$C$88:$Y$400,18,FALSE)</f>
        <v>#VALUE!</v>
      </c>
      <c r="U42" s="40" t="e">
        <f>+U40-VLOOKUP(Dulieu!$C$22&amp;"_PRE_Y",Dulieu!$C$88:$Y$400,19,FALSE)</f>
        <v>#VALUE!</v>
      </c>
      <c r="V42" s="40" t="e">
        <f>+V40-VLOOKUP(Dulieu!$C$22&amp;"_PRE_Y",Dulieu!$C$88:$Y$400,20,FALSE)</f>
        <v>#VALUE!</v>
      </c>
      <c r="W42" s="40" t="e">
        <f>+W40-VLOOKUP(Dulieu!$C$22&amp;"_PRE_Y",Dulieu!$C$88:$Y$400,21,FALSE)</f>
        <v>#VALUE!</v>
      </c>
      <c r="X42" s="40" t="e">
        <f>+X40-VLOOKUP(Dulieu!$C$22&amp;"_PRE_Y",Dulieu!$C$88:$Y$400,22,FALSE)</f>
        <v>#VALUE!</v>
      </c>
      <c r="Y42" s="40" t="e">
        <f>+Y40-VLOOKUP(Dulieu!$C$22&amp;"_PRE_Y",Dulieu!$C$88:$Y$400,23,FALSE)</f>
        <v>#VALUE!</v>
      </c>
    </row>
    <row r="43" spans="1:25" s="32" customFormat="1" ht="12" x14ac:dyDescent="0.2">
      <c r="A43" s="42">
        <v>2</v>
      </c>
      <c r="B43" s="52" t="s">
        <v>29</v>
      </c>
      <c r="C43" s="44">
        <f t="shared" si="17"/>
        <v>0</v>
      </c>
      <c r="D43" s="44">
        <f>+Dulieu!D23</f>
        <v>0</v>
      </c>
      <c r="E43" s="44">
        <f>+Dulieu!E23</f>
        <v>0</v>
      </c>
      <c r="F43" s="44">
        <f>+Dulieu!F23</f>
        <v>0</v>
      </c>
      <c r="G43" s="44">
        <f>+Dulieu!G23</f>
        <v>0</v>
      </c>
      <c r="H43" s="44">
        <f>+Dulieu!H23</f>
        <v>0</v>
      </c>
      <c r="I43" s="44">
        <f>+Dulieu!I23</f>
        <v>0</v>
      </c>
      <c r="J43" s="44">
        <f>+Dulieu!J23</f>
        <v>0</v>
      </c>
      <c r="K43" s="44">
        <f>+Dulieu!K23</f>
        <v>0</v>
      </c>
      <c r="L43" s="44">
        <f>+Dulieu!L23</f>
        <v>0</v>
      </c>
      <c r="M43" s="44">
        <f>+Dulieu!M23</f>
        <v>0</v>
      </c>
      <c r="N43" s="44">
        <f>+Dulieu!N23</f>
        <v>0</v>
      </c>
      <c r="O43" s="44">
        <f>+Dulieu!O23</f>
        <v>0</v>
      </c>
      <c r="P43" s="44">
        <f>+Dulieu!P23</f>
        <v>0</v>
      </c>
      <c r="Q43" s="44">
        <f>+Dulieu!Q23</f>
        <v>0</v>
      </c>
      <c r="R43" s="44">
        <f>+Dulieu!R23</f>
        <v>0</v>
      </c>
      <c r="S43" s="44">
        <f>+Dulieu!S23</f>
        <v>0</v>
      </c>
      <c r="T43" s="44">
        <f>+Dulieu!T23</f>
        <v>0</v>
      </c>
      <c r="U43" s="44">
        <f>+Dulieu!U23</f>
        <v>0</v>
      </c>
      <c r="V43" s="44">
        <f>+Dulieu!V23</f>
        <v>0</v>
      </c>
      <c r="W43" s="44">
        <f>+Dulieu!W23</f>
        <v>0</v>
      </c>
      <c r="X43" s="44">
        <f>+Dulieu!X23</f>
        <v>0</v>
      </c>
      <c r="Y43" s="44">
        <f>+Dulieu!Y23</f>
        <v>0</v>
      </c>
    </row>
    <row r="44" spans="1:25" s="41" customFormat="1" ht="12" x14ac:dyDescent="0.2">
      <c r="A44" s="38"/>
      <c r="B44" s="39" t="s">
        <v>838</v>
      </c>
      <c r="C44" s="40">
        <f t="shared" si="17"/>
        <v>0</v>
      </c>
      <c r="D44" s="40">
        <f>+D43-IFERROR(VLOOKUP(Dulieu!$C$23&amp;"_PRE_M",Dulieu!$C$88:$N$400,2,FALSE),0)</f>
        <v>0</v>
      </c>
      <c r="E44" s="40">
        <f>+E43-IFERROR(VLOOKUP(Dulieu!$C$23&amp;"_PRE_M",Dulieu!$C$88:$N$400,3,FALSE),0)</f>
        <v>0</v>
      </c>
      <c r="F44" s="40">
        <f>+F43-IFERROR(VLOOKUP(Dulieu!$C$23&amp;"_PRE_M",Dulieu!$C$88:$N$400,4,FALSE),0)</f>
        <v>0</v>
      </c>
      <c r="G44" s="40">
        <f>+G43-IFERROR(VLOOKUP(Dulieu!$C$23&amp;"_PRE_M",Dulieu!$C$88:$N$400,5,FALSE),0)</f>
        <v>0</v>
      </c>
      <c r="H44" s="40">
        <f>+H43-IFERROR(VLOOKUP(Dulieu!$C$23&amp;"_PRE_M",Dulieu!$C$88:$N$400,6,FALSE),0)</f>
        <v>0</v>
      </c>
      <c r="I44" s="40">
        <f>+I43-IFERROR(VLOOKUP(Dulieu!$C$23&amp;"_PRE_M",Dulieu!$C$88:$N$400,7,FALSE),0)</f>
        <v>0</v>
      </c>
      <c r="J44" s="40">
        <f>+J43-IFERROR(VLOOKUP(Dulieu!$C$23&amp;"_PRE_M",Dulieu!$C$88:$N$400,8,FALSE),0)</f>
        <v>0</v>
      </c>
      <c r="K44" s="40">
        <f>+K43-IFERROR(VLOOKUP(Dulieu!$C$23&amp;"_PRE_M",Dulieu!$C$88:$N$400,9,FALSE),0)</f>
        <v>0</v>
      </c>
      <c r="L44" s="40">
        <f>+L43-IFERROR(VLOOKUP(Dulieu!$C$23&amp;"_PRE_M",Dulieu!$C$88:$N$400,10,FALSE),0)</f>
        <v>0</v>
      </c>
      <c r="M44" s="40">
        <f>+M43-IFERROR(VLOOKUP(Dulieu!$C$23&amp;"_PRE_M",Dulieu!$C$88:$N$400,11,FALSE),0)</f>
        <v>0</v>
      </c>
      <c r="N44" s="40">
        <f>+N43-IFERROR(VLOOKUP(Dulieu!$C$23&amp;"_PRE_M",Dulieu!$C$88:$N$400,12,FALSE),0)</f>
        <v>0</v>
      </c>
      <c r="O44" s="40">
        <f>+O43-IFERROR(VLOOKUP(Dulieu!$C$23&amp;"_PRE_M",Dulieu!$C$88:$Y$400,13,FALSE),0)</f>
        <v>0</v>
      </c>
      <c r="P44" s="40">
        <f>+P43-IFERROR(VLOOKUP(Dulieu!$C$23&amp;"_PRE_M",Dulieu!$C$88:$Y$400,14,FALSE),0)</f>
        <v>0</v>
      </c>
      <c r="Q44" s="40">
        <f>+Q43-IFERROR(VLOOKUP(Dulieu!$C$23&amp;"_PRE_M",Dulieu!$C$88:$Y$400,15,FALSE),0)</f>
        <v>0</v>
      </c>
      <c r="R44" s="40">
        <f>+R43-IFERROR(VLOOKUP(Dulieu!$C$23&amp;"_PRE_M",Dulieu!$C$88:$Y$400,16,FALSE),0)</f>
        <v>0</v>
      </c>
      <c r="S44" s="40">
        <f>+S43-IFERROR(VLOOKUP(Dulieu!$C$23&amp;"_PRE_M",Dulieu!$C$88:$Y$400,17,FALSE),0)</f>
        <v>0</v>
      </c>
      <c r="T44" s="40">
        <f>+T43-IFERROR(VLOOKUP(Dulieu!$C$23&amp;"_PRE_M",Dulieu!$C$88:$Y$400,18,FALSE),0)</f>
        <v>0</v>
      </c>
      <c r="U44" s="40">
        <f>+U43-IFERROR(VLOOKUP(Dulieu!$C$23&amp;"_PRE_M",Dulieu!$C$88:$Y$400,19,FALSE),0)</f>
        <v>0</v>
      </c>
      <c r="V44" s="40">
        <f>+V43-IFERROR(VLOOKUP(Dulieu!$C$23&amp;"_PRE_M",Dulieu!$C$88:$Y$400,20,FALSE),0)</f>
        <v>0</v>
      </c>
      <c r="W44" s="40">
        <f>+W43-IFERROR(VLOOKUP(Dulieu!$C$23&amp;"_PRE_M",Dulieu!$C$88:$Y$400,21,FALSE),0)</f>
        <v>0</v>
      </c>
      <c r="X44" s="40">
        <f>+X43-IFERROR(VLOOKUP(Dulieu!$C$23&amp;"_PRE_M",Dulieu!$C$88:$Y$400,22,FALSE),0)</f>
        <v>0</v>
      </c>
      <c r="Y44" s="40">
        <f>+Y43-IFERROR(VLOOKUP(Dulieu!$C$23&amp;"_PRE_M",Dulieu!$C$88:$Y$400,23,FALSE),0)</f>
        <v>0</v>
      </c>
    </row>
    <row r="45" spans="1:25" s="41" customFormat="1" ht="12" x14ac:dyDescent="0.2">
      <c r="A45" s="38"/>
      <c r="B45" s="39" t="s">
        <v>839</v>
      </c>
      <c r="C45" s="40" t="e">
        <f t="shared" si="17"/>
        <v>#N/A</v>
      </c>
      <c r="D45" s="40" t="e">
        <f>+D43-VLOOKUP(Dulieu!$C$23&amp;"_PRE_Y",Dulieu!$C$88:$N$400,2,FALSE)</f>
        <v>#N/A</v>
      </c>
      <c r="E45" s="40" t="e">
        <f>+E43-VLOOKUP(Dulieu!$C$23&amp;"_PRE_Y",Dulieu!$C$88:$N$400,3,FALSE)</f>
        <v>#N/A</v>
      </c>
      <c r="F45" s="40" t="e">
        <f>+F43-VLOOKUP(Dulieu!$C$23&amp;"_PRE_Y",Dulieu!$C$88:$N$400,4,FALSE)</f>
        <v>#N/A</v>
      </c>
      <c r="G45" s="40" t="e">
        <f>+G43-VLOOKUP(Dulieu!$C$23&amp;"_PRE_Y",Dulieu!$C$88:$N$400,5,FALSE)</f>
        <v>#N/A</v>
      </c>
      <c r="H45" s="40" t="e">
        <f>+H43-VLOOKUP(Dulieu!$C$23&amp;"_PRE_Y",Dulieu!$C$88:$N$400,6,FALSE)</f>
        <v>#N/A</v>
      </c>
      <c r="I45" s="40" t="e">
        <f>+I43-VLOOKUP(Dulieu!$C$23&amp;"_PRE_Y",Dulieu!$C$88:$N$400,7,FALSE)</f>
        <v>#N/A</v>
      </c>
      <c r="J45" s="40" t="e">
        <f>+J43-VLOOKUP(Dulieu!$C$23&amp;"_PRE_Y",Dulieu!$C$88:$N$400,8,FALSE)</f>
        <v>#N/A</v>
      </c>
      <c r="K45" s="40" t="e">
        <f>+K43-VLOOKUP(Dulieu!$C$23&amp;"_PRE_Y",Dulieu!$C$88:$N$400,9,FALSE)</f>
        <v>#N/A</v>
      </c>
      <c r="L45" s="40" t="e">
        <f>+L43-VLOOKUP(Dulieu!$C$23&amp;"_PRE_Y",Dulieu!$C$88:$N$400,10,FALSE)</f>
        <v>#N/A</v>
      </c>
      <c r="M45" s="40" t="e">
        <f>+M43-VLOOKUP(Dulieu!$C$23&amp;"_PRE_Y",Dulieu!$C$88:$N$400,11,FALSE)</f>
        <v>#N/A</v>
      </c>
      <c r="N45" s="40" t="e">
        <f>+N43-VLOOKUP(Dulieu!$C$23&amp;"_PRE_Y",Dulieu!$C$88:$N$400,12,FALSE)</f>
        <v>#N/A</v>
      </c>
      <c r="O45" s="40" t="e">
        <f>+O43-VLOOKUP(Dulieu!$C$23&amp;"_PRE_Y",Dulieu!$C$88:$Y$400,13,FALSE)</f>
        <v>#N/A</v>
      </c>
      <c r="P45" s="40" t="e">
        <f>+P43-VLOOKUP(Dulieu!$C$23&amp;"_PRE_Y",Dulieu!$C$88:$Y$400,14,FALSE)</f>
        <v>#N/A</v>
      </c>
      <c r="Q45" s="40" t="e">
        <f>+Q43-VLOOKUP(Dulieu!$C$23&amp;"_PRE_Y",Dulieu!$C$88:$Y$400,15,FALSE)</f>
        <v>#N/A</v>
      </c>
      <c r="R45" s="40" t="e">
        <f>+R43-VLOOKUP(Dulieu!$C$23&amp;"_PRE_Y",Dulieu!$C$88:$Y$400,16,FALSE)</f>
        <v>#N/A</v>
      </c>
      <c r="S45" s="40" t="e">
        <f>+S43-VLOOKUP(Dulieu!$C$23&amp;"_PRE_Y",Dulieu!$C$88:$Y$400,17,FALSE)</f>
        <v>#N/A</v>
      </c>
      <c r="T45" s="40" t="e">
        <f>+T43-VLOOKUP(Dulieu!$C$23&amp;"_PRE_Y",Dulieu!$C$88:$Y$400,18,FALSE)</f>
        <v>#N/A</v>
      </c>
      <c r="U45" s="40" t="e">
        <f>+U43-VLOOKUP(Dulieu!$C$23&amp;"_PRE_Y",Dulieu!$C$88:$Y$400,19,FALSE)</f>
        <v>#N/A</v>
      </c>
      <c r="V45" s="40" t="e">
        <f>+V43-VLOOKUP(Dulieu!$C$23&amp;"_PRE_Y",Dulieu!$C$88:$Y$400,20,FALSE)</f>
        <v>#N/A</v>
      </c>
      <c r="W45" s="40" t="e">
        <f>+W43-VLOOKUP(Dulieu!$C$23&amp;"_PRE_Y",Dulieu!$C$88:$Y$400,21,FALSE)</f>
        <v>#N/A</v>
      </c>
      <c r="X45" s="40" t="e">
        <f>+X43-VLOOKUP(Dulieu!$C$23&amp;"_PRE_Y",Dulieu!$C$88:$Y$400,22,FALSE)</f>
        <v>#N/A</v>
      </c>
      <c r="Y45" s="40" t="e">
        <f>+Y43-VLOOKUP(Dulieu!$C$23&amp;"_PRE_Y",Dulieu!$C$88:$Y$400,23,FALSE)</f>
        <v>#N/A</v>
      </c>
    </row>
    <row r="46" spans="1:25" s="37" customFormat="1" ht="12" x14ac:dyDescent="0.2">
      <c r="A46" s="34" t="s">
        <v>30</v>
      </c>
      <c r="B46" s="53" t="s">
        <v>31</v>
      </c>
      <c r="C46" s="36">
        <f t="shared" si="17"/>
        <v>0</v>
      </c>
      <c r="D46" s="36">
        <f>+Dulieu!D24</f>
        <v>0</v>
      </c>
      <c r="E46" s="36">
        <f>+Dulieu!E24</f>
        <v>0</v>
      </c>
      <c r="F46" s="36">
        <f>+Dulieu!F24</f>
        <v>0</v>
      </c>
      <c r="G46" s="36">
        <f>+Dulieu!G24</f>
        <v>0</v>
      </c>
      <c r="H46" s="36">
        <f>+Dulieu!H24</f>
        <v>0</v>
      </c>
      <c r="I46" s="36">
        <f>+Dulieu!I24</f>
        <v>0</v>
      </c>
      <c r="J46" s="36">
        <f>+Dulieu!J24</f>
        <v>0</v>
      </c>
      <c r="K46" s="36">
        <f>+Dulieu!K24</f>
        <v>0</v>
      </c>
      <c r="L46" s="36">
        <f>+Dulieu!L24</f>
        <v>0</v>
      </c>
      <c r="M46" s="36">
        <f>+Dulieu!M24</f>
        <v>0</v>
      </c>
      <c r="N46" s="36">
        <f>+Dulieu!N24</f>
        <v>0</v>
      </c>
      <c r="O46" s="36">
        <f>+Dulieu!O24</f>
        <v>0</v>
      </c>
      <c r="P46" s="36">
        <f>+Dulieu!P24</f>
        <v>0</v>
      </c>
      <c r="Q46" s="36">
        <f>+Dulieu!Q24</f>
        <v>0</v>
      </c>
      <c r="R46" s="36">
        <f>+Dulieu!R24</f>
        <v>0</v>
      </c>
      <c r="S46" s="36">
        <f>+Dulieu!S24</f>
        <v>0</v>
      </c>
      <c r="T46" s="36">
        <f>+Dulieu!T24</f>
        <v>0</v>
      </c>
      <c r="U46" s="36">
        <f>+Dulieu!U24</f>
        <v>0</v>
      </c>
      <c r="V46" s="36">
        <f>+Dulieu!V24</f>
        <v>0</v>
      </c>
      <c r="W46" s="36">
        <f>+Dulieu!W24</f>
        <v>0</v>
      </c>
      <c r="X46" s="36">
        <f>+Dulieu!X24</f>
        <v>0</v>
      </c>
      <c r="Y46" s="36">
        <f>+Dulieu!Y24</f>
        <v>0</v>
      </c>
    </row>
    <row r="47" spans="1:25" s="37" customFormat="1" ht="12" x14ac:dyDescent="0.2">
      <c r="A47" s="34" t="s">
        <v>32</v>
      </c>
      <c r="B47" s="35" t="s">
        <v>33</v>
      </c>
      <c r="C47" s="36" t="e">
        <f t="shared" si="17"/>
        <v>#VALUE!</v>
      </c>
      <c r="D47" s="36" t="e">
        <f>+Dulieu!D25</f>
        <v>#VALUE!</v>
      </c>
      <c r="E47" s="36" t="e">
        <f>+Dulieu!E25</f>
        <v>#VALUE!</v>
      </c>
      <c r="F47" s="36" t="e">
        <f>+Dulieu!F25</f>
        <v>#VALUE!</v>
      </c>
      <c r="G47" s="36" t="e">
        <f>+Dulieu!G25</f>
        <v>#VALUE!</v>
      </c>
      <c r="H47" s="36" t="e">
        <f>+Dulieu!H25</f>
        <v>#VALUE!</v>
      </c>
      <c r="I47" s="36" t="e">
        <f>+Dulieu!I25</f>
        <v>#VALUE!</v>
      </c>
      <c r="J47" s="36" t="e">
        <f>+Dulieu!J25</f>
        <v>#VALUE!</v>
      </c>
      <c r="K47" s="36" t="e">
        <f>+Dulieu!K25</f>
        <v>#VALUE!</v>
      </c>
      <c r="L47" s="36" t="e">
        <f>+Dulieu!L25</f>
        <v>#VALUE!</v>
      </c>
      <c r="M47" s="36" t="e">
        <f>+Dulieu!M25</f>
        <v>#VALUE!</v>
      </c>
      <c r="N47" s="36" t="e">
        <f>+Dulieu!N25</f>
        <v>#VALUE!</v>
      </c>
      <c r="O47" s="36" t="e">
        <f>+Dulieu!O25</f>
        <v>#VALUE!</v>
      </c>
      <c r="P47" s="36" t="e">
        <f>+Dulieu!P25</f>
        <v>#VALUE!</v>
      </c>
      <c r="Q47" s="36" t="e">
        <f>+Dulieu!Q25</f>
        <v>#VALUE!</v>
      </c>
      <c r="R47" s="36" t="e">
        <f>+Dulieu!R25</f>
        <v>#VALUE!</v>
      </c>
      <c r="S47" s="36" t="e">
        <f>+Dulieu!S25</f>
        <v>#VALUE!</v>
      </c>
      <c r="T47" s="36" t="e">
        <f>+Dulieu!T25</f>
        <v>#VALUE!</v>
      </c>
      <c r="U47" s="36" t="e">
        <f>+Dulieu!U25</f>
        <v>#VALUE!</v>
      </c>
      <c r="V47" s="36" t="e">
        <f>+Dulieu!V25</f>
        <v>#VALUE!</v>
      </c>
      <c r="W47" s="36" t="e">
        <f>+Dulieu!W25</f>
        <v>#VALUE!</v>
      </c>
      <c r="X47" s="36" t="e">
        <f>+Dulieu!X25</f>
        <v>#VALUE!</v>
      </c>
      <c r="Y47" s="36" t="e">
        <f>+Dulieu!Y25</f>
        <v>#VALUE!</v>
      </c>
    </row>
    <row r="48" spans="1:25" s="41" customFormat="1" ht="12" x14ac:dyDescent="0.2">
      <c r="A48" s="38"/>
      <c r="B48" s="39" t="s">
        <v>838</v>
      </c>
      <c r="C48" s="40" t="e">
        <f t="shared" si="17"/>
        <v>#VALUE!</v>
      </c>
      <c r="D48" s="40" t="e">
        <f t="shared" ref="D48:Y48" si="18">+D51+D173</f>
        <v>#VALUE!</v>
      </c>
      <c r="E48" s="40" t="e">
        <f t="shared" si="18"/>
        <v>#VALUE!</v>
      </c>
      <c r="F48" s="40" t="e">
        <f t="shared" si="18"/>
        <v>#VALUE!</v>
      </c>
      <c r="G48" s="40" t="e">
        <f t="shared" si="18"/>
        <v>#VALUE!</v>
      </c>
      <c r="H48" s="40" t="e">
        <f t="shared" si="18"/>
        <v>#VALUE!</v>
      </c>
      <c r="I48" s="40" t="e">
        <f t="shared" si="18"/>
        <v>#VALUE!</v>
      </c>
      <c r="J48" s="40" t="e">
        <f t="shared" si="18"/>
        <v>#VALUE!</v>
      </c>
      <c r="K48" s="40" t="e">
        <f t="shared" si="18"/>
        <v>#VALUE!</v>
      </c>
      <c r="L48" s="40" t="e">
        <f t="shared" si="18"/>
        <v>#VALUE!</v>
      </c>
      <c r="M48" s="40" t="e">
        <f t="shared" si="18"/>
        <v>#VALUE!</v>
      </c>
      <c r="N48" s="40" t="e">
        <f t="shared" si="18"/>
        <v>#VALUE!</v>
      </c>
      <c r="O48" s="40" t="e">
        <f t="shared" si="18"/>
        <v>#VALUE!</v>
      </c>
      <c r="P48" s="40" t="e">
        <f t="shared" si="18"/>
        <v>#VALUE!</v>
      </c>
      <c r="Q48" s="40" t="e">
        <f t="shared" si="18"/>
        <v>#VALUE!</v>
      </c>
      <c r="R48" s="40" t="e">
        <f t="shared" si="18"/>
        <v>#VALUE!</v>
      </c>
      <c r="S48" s="40" t="e">
        <f t="shared" si="18"/>
        <v>#VALUE!</v>
      </c>
      <c r="T48" s="40" t="e">
        <f t="shared" si="18"/>
        <v>#VALUE!</v>
      </c>
      <c r="U48" s="40" t="e">
        <f t="shared" si="18"/>
        <v>#VALUE!</v>
      </c>
      <c r="V48" s="40" t="e">
        <f t="shared" si="18"/>
        <v>#VALUE!</v>
      </c>
      <c r="W48" s="40" t="e">
        <f t="shared" si="18"/>
        <v>#VALUE!</v>
      </c>
      <c r="X48" s="40" t="e">
        <f t="shared" si="18"/>
        <v>#VALUE!</v>
      </c>
      <c r="Y48" s="40" t="e">
        <f t="shared" si="18"/>
        <v>#VALUE!</v>
      </c>
    </row>
    <row r="49" spans="1:25" s="41" customFormat="1" ht="12" x14ac:dyDescent="0.2">
      <c r="A49" s="38"/>
      <c r="B49" s="39" t="s">
        <v>839</v>
      </c>
      <c r="C49" s="40" t="e">
        <f t="shared" si="17"/>
        <v>#VALUE!</v>
      </c>
      <c r="D49" s="40" t="e">
        <f t="shared" ref="D49:Y49" si="19">+D52+D174</f>
        <v>#VALUE!</v>
      </c>
      <c r="E49" s="40" t="e">
        <f t="shared" si="19"/>
        <v>#VALUE!</v>
      </c>
      <c r="F49" s="40" t="e">
        <f t="shared" si="19"/>
        <v>#VALUE!</v>
      </c>
      <c r="G49" s="40" t="e">
        <f t="shared" si="19"/>
        <v>#VALUE!</v>
      </c>
      <c r="H49" s="40" t="e">
        <f t="shared" si="19"/>
        <v>#VALUE!</v>
      </c>
      <c r="I49" s="40" t="e">
        <f t="shared" si="19"/>
        <v>#VALUE!</v>
      </c>
      <c r="J49" s="40" t="e">
        <f t="shared" si="19"/>
        <v>#VALUE!</v>
      </c>
      <c r="K49" s="40" t="e">
        <f t="shared" si="19"/>
        <v>#VALUE!</v>
      </c>
      <c r="L49" s="40" t="e">
        <f t="shared" si="19"/>
        <v>#VALUE!</v>
      </c>
      <c r="M49" s="40" t="e">
        <f t="shared" si="19"/>
        <v>#VALUE!</v>
      </c>
      <c r="N49" s="40" t="e">
        <f t="shared" si="19"/>
        <v>#VALUE!</v>
      </c>
      <c r="O49" s="40" t="e">
        <f t="shared" si="19"/>
        <v>#VALUE!</v>
      </c>
      <c r="P49" s="40" t="e">
        <f t="shared" si="19"/>
        <v>#VALUE!</v>
      </c>
      <c r="Q49" s="40" t="e">
        <f t="shared" si="19"/>
        <v>#VALUE!</v>
      </c>
      <c r="R49" s="40" t="e">
        <f t="shared" si="19"/>
        <v>#VALUE!</v>
      </c>
      <c r="S49" s="40" t="e">
        <f t="shared" si="19"/>
        <v>#VALUE!</v>
      </c>
      <c r="T49" s="40" t="e">
        <f t="shared" si="19"/>
        <v>#VALUE!</v>
      </c>
      <c r="U49" s="40" t="e">
        <f t="shared" si="19"/>
        <v>#VALUE!</v>
      </c>
      <c r="V49" s="40" t="e">
        <f t="shared" si="19"/>
        <v>#VALUE!</v>
      </c>
      <c r="W49" s="40" t="e">
        <f t="shared" si="19"/>
        <v>#VALUE!</v>
      </c>
      <c r="X49" s="40" t="e">
        <f t="shared" si="19"/>
        <v>#VALUE!</v>
      </c>
      <c r="Y49" s="40" t="e">
        <f t="shared" si="19"/>
        <v>#VALUE!</v>
      </c>
    </row>
    <row r="50" spans="1:25" s="37" customFormat="1" ht="12" x14ac:dyDescent="0.2">
      <c r="A50" s="34" t="s">
        <v>34</v>
      </c>
      <c r="B50" s="35" t="s">
        <v>35</v>
      </c>
      <c r="C50" s="36" t="e">
        <f t="shared" si="17"/>
        <v>#VALUE!</v>
      </c>
      <c r="D50" s="36" t="e">
        <f>+Dulieu!D26</f>
        <v>#VALUE!</v>
      </c>
      <c r="E50" s="36" t="e">
        <f>+Dulieu!E26</f>
        <v>#VALUE!</v>
      </c>
      <c r="F50" s="36" t="e">
        <f>+Dulieu!F26</f>
        <v>#VALUE!</v>
      </c>
      <c r="G50" s="36" t="e">
        <f>+Dulieu!G26</f>
        <v>#VALUE!</v>
      </c>
      <c r="H50" s="36" t="e">
        <f>+Dulieu!H26</f>
        <v>#VALUE!</v>
      </c>
      <c r="I50" s="36" t="e">
        <f>+Dulieu!I26</f>
        <v>#VALUE!</v>
      </c>
      <c r="J50" s="36" t="e">
        <f>+Dulieu!J26</f>
        <v>#VALUE!</v>
      </c>
      <c r="K50" s="36" t="e">
        <f>+Dulieu!K26</f>
        <v>#VALUE!</v>
      </c>
      <c r="L50" s="36" t="e">
        <f>+Dulieu!L26</f>
        <v>#VALUE!</v>
      </c>
      <c r="M50" s="36" t="e">
        <f>+Dulieu!M26</f>
        <v>#VALUE!</v>
      </c>
      <c r="N50" s="36" t="e">
        <f>+Dulieu!N26</f>
        <v>#VALUE!</v>
      </c>
      <c r="O50" s="36" t="e">
        <f>+Dulieu!O26</f>
        <v>#VALUE!</v>
      </c>
      <c r="P50" s="36" t="e">
        <f>+Dulieu!P26</f>
        <v>#VALUE!</v>
      </c>
      <c r="Q50" s="36" t="e">
        <f>+Dulieu!Q26</f>
        <v>#VALUE!</v>
      </c>
      <c r="R50" s="36" t="e">
        <f>+Dulieu!R26</f>
        <v>#VALUE!</v>
      </c>
      <c r="S50" s="36" t="e">
        <f>+Dulieu!S26</f>
        <v>#VALUE!</v>
      </c>
      <c r="T50" s="36" t="e">
        <f>+Dulieu!T26</f>
        <v>#VALUE!</v>
      </c>
      <c r="U50" s="36" t="e">
        <f>+Dulieu!U26</f>
        <v>#VALUE!</v>
      </c>
      <c r="V50" s="36" t="e">
        <f>+Dulieu!V26</f>
        <v>#VALUE!</v>
      </c>
      <c r="W50" s="36" t="e">
        <f>+Dulieu!W26</f>
        <v>#VALUE!</v>
      </c>
      <c r="X50" s="36" t="e">
        <f>+Dulieu!X26</f>
        <v>#VALUE!</v>
      </c>
      <c r="Y50" s="36" t="e">
        <f>+Dulieu!Y26</f>
        <v>#VALUE!</v>
      </c>
    </row>
    <row r="51" spans="1:25" s="41" customFormat="1" ht="12" x14ac:dyDescent="0.2">
      <c r="A51" s="38"/>
      <c r="B51" s="39" t="s">
        <v>838</v>
      </c>
      <c r="C51" s="40" t="e">
        <f t="shared" si="17"/>
        <v>#VALUE!</v>
      </c>
      <c r="D51" s="40" t="e">
        <f>+D54+D61</f>
        <v>#VALUE!</v>
      </c>
      <c r="E51" s="40" t="e">
        <f t="shared" ref="E51:N51" si="20">+E54+E61</f>
        <v>#VALUE!</v>
      </c>
      <c r="F51" s="40" t="e">
        <f t="shared" si="20"/>
        <v>#VALUE!</v>
      </c>
      <c r="G51" s="40" t="e">
        <f t="shared" si="20"/>
        <v>#VALUE!</v>
      </c>
      <c r="H51" s="40" t="e">
        <f t="shared" si="20"/>
        <v>#VALUE!</v>
      </c>
      <c r="I51" s="40" t="e">
        <f t="shared" si="20"/>
        <v>#VALUE!</v>
      </c>
      <c r="J51" s="40" t="e">
        <f t="shared" si="20"/>
        <v>#VALUE!</v>
      </c>
      <c r="K51" s="40" t="e">
        <f t="shared" si="20"/>
        <v>#VALUE!</v>
      </c>
      <c r="L51" s="40" t="e">
        <f t="shared" si="20"/>
        <v>#VALUE!</v>
      </c>
      <c r="M51" s="40" t="e">
        <f t="shared" si="20"/>
        <v>#VALUE!</v>
      </c>
      <c r="N51" s="40" t="e">
        <f t="shared" si="20"/>
        <v>#VALUE!</v>
      </c>
      <c r="O51" s="40" t="e">
        <f t="shared" ref="O51:Y51" si="21">+O54+O61</f>
        <v>#VALUE!</v>
      </c>
      <c r="P51" s="40" t="e">
        <f t="shared" si="21"/>
        <v>#VALUE!</v>
      </c>
      <c r="Q51" s="40" t="e">
        <f t="shared" si="21"/>
        <v>#VALUE!</v>
      </c>
      <c r="R51" s="40" t="e">
        <f t="shared" si="21"/>
        <v>#VALUE!</v>
      </c>
      <c r="S51" s="40" t="e">
        <f t="shared" si="21"/>
        <v>#VALUE!</v>
      </c>
      <c r="T51" s="40" t="e">
        <f t="shared" si="21"/>
        <v>#VALUE!</v>
      </c>
      <c r="U51" s="40" t="e">
        <f t="shared" si="21"/>
        <v>#VALUE!</v>
      </c>
      <c r="V51" s="40" t="e">
        <f t="shared" si="21"/>
        <v>#VALUE!</v>
      </c>
      <c r="W51" s="40" t="e">
        <f t="shared" si="21"/>
        <v>#VALUE!</v>
      </c>
      <c r="X51" s="40" t="e">
        <f t="shared" si="21"/>
        <v>#VALUE!</v>
      </c>
      <c r="Y51" s="40" t="e">
        <f t="shared" si="21"/>
        <v>#VALUE!</v>
      </c>
    </row>
    <row r="52" spans="1:25" s="41" customFormat="1" ht="12" x14ac:dyDescent="0.2">
      <c r="A52" s="38"/>
      <c r="B52" s="39" t="s">
        <v>839</v>
      </c>
      <c r="C52" s="40" t="e">
        <f t="shared" si="17"/>
        <v>#VALUE!</v>
      </c>
      <c r="D52" s="40" t="e">
        <f>+D55+D62</f>
        <v>#VALUE!</v>
      </c>
      <c r="E52" s="40" t="e">
        <f t="shared" ref="E52:N52" si="22">+E55+E62</f>
        <v>#VALUE!</v>
      </c>
      <c r="F52" s="40" t="e">
        <f t="shared" si="22"/>
        <v>#VALUE!</v>
      </c>
      <c r="G52" s="40" t="e">
        <f t="shared" si="22"/>
        <v>#VALUE!</v>
      </c>
      <c r="H52" s="40" t="e">
        <f t="shared" si="22"/>
        <v>#VALUE!</v>
      </c>
      <c r="I52" s="40" t="e">
        <f t="shared" si="22"/>
        <v>#VALUE!</v>
      </c>
      <c r="J52" s="40" t="e">
        <f t="shared" si="22"/>
        <v>#VALUE!</v>
      </c>
      <c r="K52" s="40" t="e">
        <f t="shared" si="22"/>
        <v>#VALUE!</v>
      </c>
      <c r="L52" s="40" t="e">
        <f t="shared" si="22"/>
        <v>#VALUE!</v>
      </c>
      <c r="M52" s="40" t="e">
        <f t="shared" si="22"/>
        <v>#VALUE!</v>
      </c>
      <c r="N52" s="40" t="e">
        <f t="shared" si="22"/>
        <v>#VALUE!</v>
      </c>
      <c r="O52" s="40" t="e">
        <f t="shared" ref="O52:Y52" si="23">+O55+O62</f>
        <v>#VALUE!</v>
      </c>
      <c r="P52" s="40" t="e">
        <f t="shared" si="23"/>
        <v>#VALUE!</v>
      </c>
      <c r="Q52" s="40" t="e">
        <f t="shared" si="23"/>
        <v>#VALUE!</v>
      </c>
      <c r="R52" s="40" t="e">
        <f t="shared" si="23"/>
        <v>#VALUE!</v>
      </c>
      <c r="S52" s="40" t="e">
        <f t="shared" si="23"/>
        <v>#VALUE!</v>
      </c>
      <c r="T52" s="40" t="e">
        <f t="shared" si="23"/>
        <v>#VALUE!</v>
      </c>
      <c r="U52" s="40" t="e">
        <f t="shared" si="23"/>
        <v>#VALUE!</v>
      </c>
      <c r="V52" s="40" t="e">
        <f t="shared" si="23"/>
        <v>#VALUE!</v>
      </c>
      <c r="W52" s="40" t="e">
        <f t="shared" si="23"/>
        <v>#VALUE!</v>
      </c>
      <c r="X52" s="40" t="e">
        <f t="shared" si="23"/>
        <v>#VALUE!</v>
      </c>
      <c r="Y52" s="40" t="e">
        <f t="shared" si="23"/>
        <v>#VALUE!</v>
      </c>
    </row>
    <row r="53" spans="1:25" s="37" customFormat="1" ht="12" x14ac:dyDescent="0.2">
      <c r="A53" s="34" t="s">
        <v>10</v>
      </c>
      <c r="B53" s="35" t="s">
        <v>36</v>
      </c>
      <c r="C53" s="36">
        <f t="shared" si="17"/>
        <v>0</v>
      </c>
      <c r="D53" s="36" t="str">
        <f>+Dulieu!D29</f>
        <v>${DN_NV1.D2}</v>
      </c>
      <c r="E53" s="36" t="str">
        <f>+Dulieu!E29</f>
        <v>${DN_NV1.D11}</v>
      </c>
      <c r="F53" s="36" t="str">
        <f>+Dulieu!F29</f>
        <v>${DN_NV1.D4}</v>
      </c>
      <c r="G53" s="36" t="str">
        <f>+Dulieu!G29</f>
        <v>${DN_NV1.D6}</v>
      </c>
      <c r="H53" s="36" t="str">
        <f>+Dulieu!H29</f>
        <v>${DN_NV1.D8}</v>
      </c>
      <c r="I53" s="36" t="str">
        <f>+Dulieu!I29</f>
        <v>${DN_NV1.D9}</v>
      </c>
      <c r="J53" s="36" t="str">
        <f>+Dulieu!J29</f>
        <v>${DN_NV1.D3}</v>
      </c>
      <c r="K53" s="36" t="str">
        <f>+Dulieu!K29</f>
        <v>${DN_NV1.D10}</v>
      </c>
      <c r="L53" s="36" t="str">
        <f>+Dulieu!L29</f>
        <v>${DN_NV1.D5}</v>
      </c>
      <c r="M53" s="36" t="str">
        <f>+Dulieu!M29</f>
        <v>${DN_NV1.D7}</v>
      </c>
      <c r="N53" s="36" t="str">
        <f>+Dulieu!N29</f>
        <v>${DN_NV1.D12}</v>
      </c>
      <c r="O53" s="36" t="str">
        <f>+Dulieu!O29</f>
        <v>${DN_NV1.D13}</v>
      </c>
      <c r="P53" s="36" t="str">
        <f>+Dulieu!P29</f>
        <v>${DN_NV1.D14}</v>
      </c>
      <c r="Q53" s="36" t="str">
        <f>+Dulieu!Q29</f>
        <v>${DN_NV1.D15}</v>
      </c>
      <c r="R53" s="36" t="str">
        <f>+Dulieu!R29</f>
        <v>${DN_NV1.D16}</v>
      </c>
      <c r="S53" s="36" t="str">
        <f>+Dulieu!S29</f>
        <v>${DN_NV1.D17}</v>
      </c>
      <c r="T53" s="36" t="str">
        <f>+Dulieu!T29</f>
        <v>${DN_NV1.D18}</v>
      </c>
      <c r="U53" s="36" t="str">
        <f>+Dulieu!U29</f>
        <v>${DN_NV1.D19}</v>
      </c>
      <c r="V53" s="36" t="str">
        <f>+Dulieu!V29</f>
        <v>${DN_NV1.D20}</v>
      </c>
      <c r="W53" s="36" t="str">
        <f>+Dulieu!W29</f>
        <v>${DN_NV1.D21}</v>
      </c>
      <c r="X53" s="36" t="str">
        <f>+Dulieu!X29</f>
        <v>${DN_NV1.D22}</v>
      </c>
      <c r="Y53" s="36" t="str">
        <f>+Dulieu!Y29</f>
        <v>${DN_NV1.D23}</v>
      </c>
    </row>
    <row r="54" spans="1:25" s="41" customFormat="1" ht="12" x14ac:dyDescent="0.2">
      <c r="A54" s="38"/>
      <c r="B54" s="39" t="s">
        <v>838</v>
      </c>
      <c r="C54" s="40">
        <f t="shared" si="17"/>
        <v>0</v>
      </c>
      <c r="D54" s="40" t="str">
        <f>+Dulieu!D30</f>
        <v>${DN_NV1_PRE_M.D2}</v>
      </c>
      <c r="E54" s="40" t="str">
        <f>+Dulieu!E30</f>
        <v>${DN_NV1_PRE_M.D11}</v>
      </c>
      <c r="F54" s="40" t="str">
        <f>+Dulieu!F30</f>
        <v>${DN_NV1_PRE_M.D4}</v>
      </c>
      <c r="G54" s="40" t="str">
        <f>+Dulieu!G30</f>
        <v>${DN_NV1_PRE_M.D6}</v>
      </c>
      <c r="H54" s="40" t="str">
        <f>+Dulieu!H30</f>
        <v>${DN_NV1_PRE_M.D8}</v>
      </c>
      <c r="I54" s="40" t="str">
        <f>+Dulieu!I30</f>
        <v>${DN_NV1_PRE_M.D9}</v>
      </c>
      <c r="J54" s="40" t="str">
        <f>+Dulieu!J30</f>
        <v>${DN_NV1_PRE_M.D3}</v>
      </c>
      <c r="K54" s="40" t="str">
        <f>+Dulieu!K30</f>
        <v>${DN_NV1_PRE_M.D10}</v>
      </c>
      <c r="L54" s="40" t="str">
        <f>+Dulieu!L30</f>
        <v>${DN_NV1_PRE_M.D5}</v>
      </c>
      <c r="M54" s="40" t="str">
        <f>+Dulieu!M30</f>
        <v>${DN_NV1_PRE_M.D7}</v>
      </c>
      <c r="N54" s="40" t="str">
        <f>+Dulieu!N30</f>
        <v>${DN_NV1_PRE_M.D12}</v>
      </c>
      <c r="O54" s="40" t="str">
        <f>+Dulieu!O30</f>
        <v>${DN_NV1_PRE_M.D13}</v>
      </c>
      <c r="P54" s="40" t="str">
        <f>+Dulieu!P30</f>
        <v>${DN_NV1_PRE_M.D14}</v>
      </c>
      <c r="Q54" s="40" t="str">
        <f>+Dulieu!Q30</f>
        <v>${DN_NV1_PRE_M.D15}</v>
      </c>
      <c r="R54" s="40" t="str">
        <f>+Dulieu!R30</f>
        <v>${DN_NV1_PRE_M.D16}</v>
      </c>
      <c r="S54" s="40" t="str">
        <f>+Dulieu!S30</f>
        <v>${DN_NV1_PRE_M.D17}</v>
      </c>
      <c r="T54" s="40" t="str">
        <f>+Dulieu!T30</f>
        <v>${DN_NV1_PRE_M.D18}</v>
      </c>
      <c r="U54" s="40" t="str">
        <f>+Dulieu!U30</f>
        <v>${DN_NV1_PRE_M.D19}</v>
      </c>
      <c r="V54" s="40" t="str">
        <f>+Dulieu!V30</f>
        <v>${DN_NV1_PRE_M.D20}</v>
      </c>
      <c r="W54" s="40" t="str">
        <f>+Dulieu!W30</f>
        <v>${DN_NV1_PRE_M.D21}</v>
      </c>
      <c r="X54" s="40" t="str">
        <f>+Dulieu!X30</f>
        <v>${DN_NV1_PRE_M.D22}</v>
      </c>
      <c r="Y54" s="40" t="str">
        <f>+Dulieu!Y30</f>
        <v>${DN_NV1_PRE_M.D23}</v>
      </c>
    </row>
    <row r="55" spans="1:25" s="41" customFormat="1" ht="12" x14ac:dyDescent="0.2">
      <c r="A55" s="38"/>
      <c r="B55" s="39" t="s">
        <v>839</v>
      </c>
      <c r="C55" s="40">
        <f t="shared" si="17"/>
        <v>0</v>
      </c>
      <c r="D55" s="40" t="str">
        <f>+Dulieu!D31</f>
        <v>${DN_NV1_PRE_Y.D2}</v>
      </c>
      <c r="E55" s="40" t="str">
        <f>+Dulieu!E31</f>
        <v>${DN_NV1_PRE_Y.D11}</v>
      </c>
      <c r="F55" s="40" t="str">
        <f>+Dulieu!F31</f>
        <v>${DN_NV1_PRE_Y.D4}</v>
      </c>
      <c r="G55" s="40" t="str">
        <f>+Dulieu!G31</f>
        <v>${DN_NV1_PRE_Y.D6}</v>
      </c>
      <c r="H55" s="40" t="str">
        <f>+Dulieu!H31</f>
        <v>${DN_NV1_PRE_Y.D8}</v>
      </c>
      <c r="I55" s="40" t="str">
        <f>+Dulieu!I31</f>
        <v>${DN_NV1_PRE_Y.D9}</v>
      </c>
      <c r="J55" s="40" t="str">
        <f>+Dulieu!J31</f>
        <v>${DN_NV1_PRE_Y.D3}</v>
      </c>
      <c r="K55" s="40" t="str">
        <f>+Dulieu!K31</f>
        <v>${DN_NV1_PRE_Y.D10}</v>
      </c>
      <c r="L55" s="40" t="str">
        <f>+Dulieu!L31</f>
        <v>${DN_NV1_PRE_Y.D5}</v>
      </c>
      <c r="M55" s="40" t="str">
        <f>+Dulieu!M31</f>
        <v>${DN_NV1_PRE_Y.D7}</v>
      </c>
      <c r="N55" s="40" t="str">
        <f>+Dulieu!N31</f>
        <v>${DN_NV1_PRE_Y.D12}</v>
      </c>
      <c r="O55" s="40" t="str">
        <f>+Dulieu!O31</f>
        <v>${DN_NV1_PRE_Y.D13}</v>
      </c>
      <c r="P55" s="40" t="str">
        <f>+Dulieu!P31</f>
        <v>${DN_NV1_PRE_Y.D14}</v>
      </c>
      <c r="Q55" s="40" t="str">
        <f>+Dulieu!Q31</f>
        <v>${DN_NV1_PRE_Y.D15}</v>
      </c>
      <c r="R55" s="40" t="str">
        <f>+Dulieu!R31</f>
        <v>${DN_NV1_PRE_Y.D16}</v>
      </c>
      <c r="S55" s="40" t="str">
        <f>+Dulieu!S31</f>
        <v>${DN_NV1_PRE_Y.D17}</v>
      </c>
      <c r="T55" s="40" t="str">
        <f>+Dulieu!T31</f>
        <v>${DN_NV1_PRE_Y.D18}</v>
      </c>
      <c r="U55" s="40" t="str">
        <f>+Dulieu!U31</f>
        <v>${DN_NV1_PRE_Y.D19}</v>
      </c>
      <c r="V55" s="40" t="str">
        <f>+Dulieu!V31</f>
        <v>${DN_NV1_PRE_Y.D20}</v>
      </c>
      <c r="W55" s="40" t="str">
        <f>+Dulieu!W31</f>
        <v>${DN_NV1_PRE_Y.D21}</v>
      </c>
      <c r="X55" s="40" t="str">
        <f>+Dulieu!X31</f>
        <v>${DN_NV1_PRE_Y.D22}</v>
      </c>
      <c r="Y55" s="40" t="str">
        <f>+Dulieu!Y31</f>
        <v>${DN_NV1_PRE_Y.D23}</v>
      </c>
    </row>
    <row r="56" spans="1:25" s="32" customFormat="1" ht="12" x14ac:dyDescent="0.2">
      <c r="A56" s="42"/>
      <c r="B56" s="43" t="s">
        <v>37</v>
      </c>
      <c r="C56" s="44">
        <f t="shared" si="17"/>
        <v>0</v>
      </c>
      <c r="D56" s="44" t="str">
        <f>+Dulieu!D32</f>
        <v>${DN_NV1_QH.D2}</v>
      </c>
      <c r="E56" s="44" t="str">
        <f>+Dulieu!E32</f>
        <v>${DN_NV1_QH.D11}</v>
      </c>
      <c r="F56" s="44" t="str">
        <f>+Dulieu!F32</f>
        <v>${DN_NV1_QH.D4}</v>
      </c>
      <c r="G56" s="44" t="str">
        <f>+Dulieu!G32</f>
        <v>${DN_NV1_QH.D6}</v>
      </c>
      <c r="H56" s="44" t="str">
        <f>+Dulieu!H32</f>
        <v>${DN_NV1_QH.D8}</v>
      </c>
      <c r="I56" s="44" t="str">
        <f>+Dulieu!I32</f>
        <v>${DN_NV1_QH.D9}</v>
      </c>
      <c r="J56" s="44" t="str">
        <f>+Dulieu!J32</f>
        <v>${DN_NV1_QH.D3}</v>
      </c>
      <c r="K56" s="44" t="str">
        <f>+Dulieu!K32</f>
        <v>${DN_NV1_QH.D10}</v>
      </c>
      <c r="L56" s="44" t="str">
        <f>+Dulieu!L32</f>
        <v>${DN_NV1_QH.D5}</v>
      </c>
      <c r="M56" s="44" t="str">
        <f>+Dulieu!M32</f>
        <v>${DN_NV1_QH.D7}</v>
      </c>
      <c r="N56" s="44" t="str">
        <f>+Dulieu!N32</f>
        <v>${DN_NV1_QH.D12}</v>
      </c>
      <c r="O56" s="44" t="str">
        <f>+Dulieu!O32</f>
        <v>${DN_NV1_QH.D13}</v>
      </c>
      <c r="P56" s="44" t="str">
        <f>+Dulieu!P32</f>
        <v>${DN_NV1_QH.D14}</v>
      </c>
      <c r="Q56" s="44" t="str">
        <f>+Dulieu!Q32</f>
        <v>${DN_NV1_QH.D15}</v>
      </c>
      <c r="R56" s="44" t="str">
        <f>+Dulieu!R32</f>
        <v>${DN_NV1_QH.D16}</v>
      </c>
      <c r="S56" s="44" t="str">
        <f>+Dulieu!S32</f>
        <v>${DN_NV1_QH.D17}</v>
      </c>
      <c r="T56" s="44" t="str">
        <f>+Dulieu!T32</f>
        <v>${DN_NV1_QH.D18}</v>
      </c>
      <c r="U56" s="44" t="str">
        <f>+Dulieu!U32</f>
        <v>${DN_NV1_QH.D19}</v>
      </c>
      <c r="V56" s="44" t="str">
        <f>+Dulieu!V32</f>
        <v>${DN_NV1_QH.D20}</v>
      </c>
      <c r="W56" s="44" t="str">
        <f>+Dulieu!W32</f>
        <v>${DN_NV1_QH.D21}</v>
      </c>
      <c r="X56" s="44" t="str">
        <f>+Dulieu!X32</f>
        <v>${DN_NV1_QH.D22}</v>
      </c>
      <c r="Y56" s="44" t="str">
        <f>+Dulieu!Y32</f>
        <v>${DN_NV1_QH.D23}</v>
      </c>
    </row>
    <row r="57" spans="1:25" s="41" customFormat="1" ht="12" x14ac:dyDescent="0.2">
      <c r="A57" s="38"/>
      <c r="B57" s="39" t="s">
        <v>838</v>
      </c>
      <c r="C57" s="40">
        <f t="shared" si="17"/>
        <v>0</v>
      </c>
      <c r="D57" s="40" t="str">
        <f>+Dulieu!D33</f>
        <v>${DN_NV1_QH_PRE_M.D2}</v>
      </c>
      <c r="E57" s="40" t="str">
        <f>+Dulieu!E33</f>
        <v>${DN_NV1_QH_PRE_M.D11}</v>
      </c>
      <c r="F57" s="40" t="str">
        <f>+Dulieu!F33</f>
        <v>${DN_NV1_QH_PRE_M.D4}</v>
      </c>
      <c r="G57" s="40" t="str">
        <f>+Dulieu!G33</f>
        <v>${DN_NV1_QH_PRE_M.D6}</v>
      </c>
      <c r="H57" s="40" t="str">
        <f>+Dulieu!H33</f>
        <v>${DN_NV1_QH_PRE_M.D8}</v>
      </c>
      <c r="I57" s="40" t="str">
        <f>+Dulieu!I33</f>
        <v>${DN_NV1_QH_PRE_M.D9}</v>
      </c>
      <c r="J57" s="40" t="str">
        <f>+Dulieu!J33</f>
        <v>${DN_NV1_QH_PRE_M.D3}</v>
      </c>
      <c r="K57" s="40" t="str">
        <f>+Dulieu!K33</f>
        <v>${DN_NV1_QH_PRE_M.D10}</v>
      </c>
      <c r="L57" s="40" t="str">
        <f>+Dulieu!L33</f>
        <v>${DN_NV1_QH_PRE_M.D5}</v>
      </c>
      <c r="M57" s="40" t="str">
        <f>+Dulieu!M33</f>
        <v>${DN_NV1_QH_PRE_M.D7}</v>
      </c>
      <c r="N57" s="40" t="str">
        <f>+Dulieu!N33</f>
        <v>${DN_NV1_QH_PRE_M.D12}</v>
      </c>
      <c r="O57" s="40" t="str">
        <f>+Dulieu!O33</f>
        <v>${DN_NV1_QH_PRE_M.D13}</v>
      </c>
      <c r="P57" s="40" t="str">
        <f>+Dulieu!P33</f>
        <v>${DN_NV1_QH_PRE_M.D14}</v>
      </c>
      <c r="Q57" s="40" t="str">
        <f>+Dulieu!Q33</f>
        <v>${DN_NV1_QH_PRE_M.D15}</v>
      </c>
      <c r="R57" s="40" t="str">
        <f>+Dulieu!R33</f>
        <v>${DN_NV1_QH_PRE_M.D16}</v>
      </c>
      <c r="S57" s="40" t="str">
        <f>+Dulieu!S33</f>
        <v>${DN_NV1_QH_PRE_M.D17}</v>
      </c>
      <c r="T57" s="40" t="str">
        <f>+Dulieu!T33</f>
        <v>${DN_NV1_QH_PRE_M.D18}</v>
      </c>
      <c r="U57" s="40" t="str">
        <f>+Dulieu!U33</f>
        <v>${DN_NV1_QH_PRE_M.D19}</v>
      </c>
      <c r="V57" s="40" t="str">
        <f>+Dulieu!V33</f>
        <v>${DN_NV1_QH_PRE_M.D20}</v>
      </c>
      <c r="W57" s="40" t="str">
        <f>+Dulieu!W33</f>
        <v>${DN_NV1_QH_PRE_M.D21}</v>
      </c>
      <c r="X57" s="40" t="str">
        <f>+Dulieu!X33</f>
        <v>${DN_NV1_QH_PRE_M.D22}</v>
      </c>
      <c r="Y57" s="40" t="str">
        <f>+Dulieu!Y33</f>
        <v>${DN_NV1_QH_PRE_M.D23}</v>
      </c>
    </row>
    <row r="58" spans="1:25" s="41" customFormat="1" ht="12" x14ac:dyDescent="0.2">
      <c r="A58" s="38"/>
      <c r="B58" s="39" t="s">
        <v>839</v>
      </c>
      <c r="C58" s="40">
        <f t="shared" si="17"/>
        <v>0</v>
      </c>
      <c r="D58" s="40" t="str">
        <f>+Dulieu!D34</f>
        <v>${DN_NV1_QH_PRE_Y.D2}</v>
      </c>
      <c r="E58" s="40" t="str">
        <f>+Dulieu!E34</f>
        <v>${DN_NV1_QH_PRE_Y.D11}</v>
      </c>
      <c r="F58" s="40" t="str">
        <f>+Dulieu!F34</f>
        <v>${DN_NV1_QH_PRE_Y.D4}</v>
      </c>
      <c r="G58" s="40" t="str">
        <f>+Dulieu!G34</f>
        <v>${DN_NV1_QH_PRE_Y.D6}</v>
      </c>
      <c r="H58" s="40" t="str">
        <f>+Dulieu!H34</f>
        <v>${DN_NV1_QH_PRE_Y.D8}</v>
      </c>
      <c r="I58" s="40" t="str">
        <f>+Dulieu!I34</f>
        <v>${DN_NV1_QH_PRE_Y.D9}</v>
      </c>
      <c r="J58" s="40" t="str">
        <f>+Dulieu!J34</f>
        <v>${DN_NV1_QH_PRE_Y.D3}</v>
      </c>
      <c r="K58" s="40" t="str">
        <f>+Dulieu!K34</f>
        <v>${DN_NV1_QH_PRE_Y.D10}</v>
      </c>
      <c r="L58" s="40" t="str">
        <f>+Dulieu!L34</f>
        <v>${DN_NV1_QH_PRE_Y.D5}</v>
      </c>
      <c r="M58" s="40" t="str">
        <f>+Dulieu!M34</f>
        <v>${DN_NV1_QH_PRE_Y.D7}</v>
      </c>
      <c r="N58" s="40" t="str">
        <f>+Dulieu!N34</f>
        <v>${DN_NV1_QH_PRE_Y.D12}</v>
      </c>
      <c r="O58" s="40" t="str">
        <f>+Dulieu!O34</f>
        <v>${DN_NV1_QH_PRE_Y.D13}</v>
      </c>
      <c r="P58" s="40" t="str">
        <f>+Dulieu!P34</f>
        <v>${DN_NV1_QH_PRE_Y.D14}</v>
      </c>
      <c r="Q58" s="40" t="str">
        <f>+Dulieu!Q34</f>
        <v>${DN_NV1_QH_PRE_Y.D15}</v>
      </c>
      <c r="R58" s="40" t="str">
        <f>+Dulieu!R34</f>
        <v>${DN_NV1_QH_PRE_Y.D16}</v>
      </c>
      <c r="S58" s="40" t="str">
        <f>+Dulieu!S34</f>
        <v>${DN_NV1_QH_PRE_Y.D17}</v>
      </c>
      <c r="T58" s="40" t="str">
        <f>+Dulieu!T34</f>
        <v>${DN_NV1_QH_PRE_Y.D18}</v>
      </c>
      <c r="U58" s="40" t="str">
        <f>+Dulieu!U34</f>
        <v>${DN_NV1_QH_PRE_Y.D19}</v>
      </c>
      <c r="V58" s="40" t="str">
        <f>+Dulieu!V34</f>
        <v>${DN_NV1_QH_PRE_Y.D20}</v>
      </c>
      <c r="W58" s="40" t="str">
        <f>+Dulieu!W34</f>
        <v>${DN_NV1_QH_PRE_Y.D21}</v>
      </c>
      <c r="X58" s="40" t="str">
        <f>+Dulieu!X34</f>
        <v>${DN_NV1_QH_PRE_Y.D22}</v>
      </c>
      <c r="Y58" s="40" t="str">
        <f>+Dulieu!Y34</f>
        <v>${DN_NV1_QH_PRE_Y.D23}</v>
      </c>
    </row>
    <row r="59" spans="1:25" s="51" customFormat="1" ht="12" x14ac:dyDescent="0.2">
      <c r="A59" s="54"/>
      <c r="B59" s="50" t="s">
        <v>38</v>
      </c>
      <c r="C59" s="50" t="e">
        <f>+C56/C53</f>
        <v>#DIV/0!</v>
      </c>
      <c r="D59" s="50" t="e">
        <f>+Dulieu!D35</f>
        <v>#VALUE!</v>
      </c>
      <c r="E59" s="50" t="e">
        <f>+Dulieu!E35</f>
        <v>#VALUE!</v>
      </c>
      <c r="F59" s="50" t="e">
        <f>+Dulieu!F35</f>
        <v>#VALUE!</v>
      </c>
      <c r="G59" s="50" t="e">
        <f>+Dulieu!G35</f>
        <v>#VALUE!</v>
      </c>
      <c r="H59" s="50" t="e">
        <f>+Dulieu!H35</f>
        <v>#VALUE!</v>
      </c>
      <c r="I59" s="50" t="e">
        <f>+Dulieu!I35</f>
        <v>#VALUE!</v>
      </c>
      <c r="J59" s="50" t="e">
        <f>+Dulieu!J35</f>
        <v>#VALUE!</v>
      </c>
      <c r="K59" s="50" t="e">
        <f>+Dulieu!K35</f>
        <v>#VALUE!</v>
      </c>
      <c r="L59" s="50" t="e">
        <f>+Dulieu!L35</f>
        <v>#VALUE!</v>
      </c>
      <c r="M59" s="50" t="e">
        <f>+Dulieu!M35</f>
        <v>#VALUE!</v>
      </c>
      <c r="N59" s="50" t="e">
        <f>+Dulieu!N35</f>
        <v>#VALUE!</v>
      </c>
      <c r="O59" s="50" t="e">
        <f>+Dulieu!O35</f>
        <v>#VALUE!</v>
      </c>
      <c r="P59" s="50" t="e">
        <f>+Dulieu!P35</f>
        <v>#VALUE!</v>
      </c>
      <c r="Q59" s="50" t="e">
        <f>+Dulieu!Q35</f>
        <v>#VALUE!</v>
      </c>
      <c r="R59" s="50" t="e">
        <f>+Dulieu!R35</f>
        <v>#VALUE!</v>
      </c>
      <c r="S59" s="50" t="e">
        <f>+Dulieu!S35</f>
        <v>#VALUE!</v>
      </c>
      <c r="T59" s="50" t="e">
        <f>+Dulieu!T35</f>
        <v>#VALUE!</v>
      </c>
      <c r="U59" s="50" t="e">
        <f>+Dulieu!U35</f>
        <v>#VALUE!</v>
      </c>
      <c r="V59" s="50" t="e">
        <f>+Dulieu!V35</f>
        <v>#VALUE!</v>
      </c>
      <c r="W59" s="50" t="e">
        <f>+Dulieu!W35</f>
        <v>#VALUE!</v>
      </c>
      <c r="X59" s="50" t="e">
        <f>+Dulieu!X35</f>
        <v>#VALUE!</v>
      </c>
      <c r="Y59" s="50" t="e">
        <f>+Dulieu!Y35</f>
        <v>#VALUE!</v>
      </c>
    </row>
    <row r="60" spans="1:25" s="37" customFormat="1" ht="12" x14ac:dyDescent="0.2">
      <c r="A60" s="34" t="s">
        <v>26</v>
      </c>
      <c r="B60" s="35" t="s">
        <v>39</v>
      </c>
      <c r="C60" s="36">
        <f t="shared" ref="C60:C65" si="24">SUM(D60:Y60)</f>
        <v>0</v>
      </c>
      <c r="D60" s="36" t="str">
        <f>+Dulieu!D36</f>
        <v>${DN_NV2.D2}</v>
      </c>
      <c r="E60" s="36" t="str">
        <f>+Dulieu!E36</f>
        <v>${DN_NV2.D11}</v>
      </c>
      <c r="F60" s="36" t="str">
        <f>+Dulieu!F36</f>
        <v>${DN_NV2.D4}</v>
      </c>
      <c r="G60" s="36" t="str">
        <f>+Dulieu!G36</f>
        <v>${DN_NV2.D6}</v>
      </c>
      <c r="H60" s="36" t="str">
        <f>+Dulieu!H36</f>
        <v>${DN_NV2.D8}</v>
      </c>
      <c r="I60" s="36" t="str">
        <f>+Dulieu!I36</f>
        <v>${DN_NV2.D9}</v>
      </c>
      <c r="J60" s="36" t="str">
        <f>+Dulieu!J36</f>
        <v>${DN_NV2.D3}</v>
      </c>
      <c r="K60" s="36" t="str">
        <f>+Dulieu!K36</f>
        <v>${DN_NV2.D10}</v>
      </c>
      <c r="L60" s="36" t="str">
        <f>+Dulieu!L36</f>
        <v>${DN_NV2.D5}</v>
      </c>
      <c r="M60" s="36" t="str">
        <f>+Dulieu!M36</f>
        <v>${DN_NV2.D7}</v>
      </c>
      <c r="N60" s="36" t="str">
        <f>+Dulieu!N36</f>
        <v>${DN_NV2.D12}</v>
      </c>
      <c r="O60" s="36" t="str">
        <f>+Dulieu!O36</f>
        <v>${DN_NV2.D13}</v>
      </c>
      <c r="P60" s="36" t="str">
        <f>+Dulieu!P36</f>
        <v>${DN_NV2.D14}</v>
      </c>
      <c r="Q60" s="36" t="str">
        <f>+Dulieu!Q36</f>
        <v>${DN_NV2.D15}</v>
      </c>
      <c r="R60" s="36" t="str">
        <f>+Dulieu!R36</f>
        <v>${DN_NV2.D16}</v>
      </c>
      <c r="S60" s="36" t="str">
        <f>+Dulieu!S36</f>
        <v>${DN_NV2.D17}</v>
      </c>
      <c r="T60" s="36" t="str">
        <f>+Dulieu!T36</f>
        <v>${DN_NV2.D18}</v>
      </c>
      <c r="U60" s="36" t="str">
        <f>+Dulieu!U36</f>
        <v>${DN_NV2.D19}</v>
      </c>
      <c r="V60" s="36" t="str">
        <f>+Dulieu!V36</f>
        <v>${DN_NV2.D20}</v>
      </c>
      <c r="W60" s="36" t="str">
        <f>+Dulieu!W36</f>
        <v>${DN_NV2.D21}</v>
      </c>
      <c r="X60" s="36" t="str">
        <f>+Dulieu!X36</f>
        <v>${DN_NV2.D22}</v>
      </c>
      <c r="Y60" s="36" t="str">
        <f>+Dulieu!Y36</f>
        <v>${DN_NV2.D23}</v>
      </c>
    </row>
    <row r="61" spans="1:25" s="41" customFormat="1" ht="12" x14ac:dyDescent="0.2">
      <c r="A61" s="38"/>
      <c r="B61" s="39" t="s">
        <v>838</v>
      </c>
      <c r="C61" s="40">
        <f t="shared" si="24"/>
        <v>0</v>
      </c>
      <c r="D61" s="40" t="str">
        <f>+Dulieu!D37</f>
        <v>${DN_NV2_PRE_M.D2}</v>
      </c>
      <c r="E61" s="40" t="str">
        <f>+Dulieu!E37</f>
        <v>${DN_NV2_PRE_M.D11}</v>
      </c>
      <c r="F61" s="40" t="str">
        <f>+Dulieu!F37</f>
        <v>${DN_NV2_PRE_M.D4}</v>
      </c>
      <c r="G61" s="40" t="str">
        <f>+Dulieu!G37</f>
        <v>${DN_NV2_PRE_M.D6}</v>
      </c>
      <c r="H61" s="40" t="str">
        <f>+Dulieu!H37</f>
        <v>${DN_NV2_PRE_M.D8}</v>
      </c>
      <c r="I61" s="40" t="str">
        <f>+Dulieu!I37</f>
        <v>${DN_NV2_PRE_M.D9}</v>
      </c>
      <c r="J61" s="40" t="str">
        <f>+Dulieu!J37</f>
        <v>${DN_NV2_PRE_M.D3}</v>
      </c>
      <c r="K61" s="40" t="str">
        <f>+Dulieu!K37</f>
        <v>${DN_NV2_PRE_M.D10}</v>
      </c>
      <c r="L61" s="40" t="str">
        <f>+Dulieu!L37</f>
        <v>${DN_NV2_PRE_M.D5}</v>
      </c>
      <c r="M61" s="40" t="str">
        <f>+Dulieu!M37</f>
        <v>${DN_NV2_PRE_M.D7}</v>
      </c>
      <c r="N61" s="40" t="str">
        <f>+Dulieu!N37</f>
        <v>${DN_NV2_PRE_M.D12}</v>
      </c>
      <c r="O61" s="40" t="str">
        <f>+Dulieu!O37</f>
        <v>${DN_NV2_PRE_M.D13}</v>
      </c>
      <c r="P61" s="40" t="str">
        <f>+Dulieu!P37</f>
        <v>${DN_NV2_PRE_M.D14}</v>
      </c>
      <c r="Q61" s="40" t="str">
        <f>+Dulieu!Q37</f>
        <v>${DN_NV2_PRE_M.D15}</v>
      </c>
      <c r="R61" s="40" t="str">
        <f>+Dulieu!R37</f>
        <v>${DN_NV2_PRE_M.D16}</v>
      </c>
      <c r="S61" s="40" t="str">
        <f>+Dulieu!S37</f>
        <v>${DN_NV2_PRE_M.D17}</v>
      </c>
      <c r="T61" s="40" t="str">
        <f>+Dulieu!T37</f>
        <v>${DN_NV2_PRE_M.D18}</v>
      </c>
      <c r="U61" s="40" t="str">
        <f>+Dulieu!U37</f>
        <v>${DN_NV2_PRE_M.D19}</v>
      </c>
      <c r="V61" s="40" t="str">
        <f>+Dulieu!V37</f>
        <v>${DN_NV2_PRE_M.D20}</v>
      </c>
      <c r="W61" s="40" t="str">
        <f>+Dulieu!W37</f>
        <v>${DN_NV2_PRE_M.D21}</v>
      </c>
      <c r="X61" s="40" t="str">
        <f>+Dulieu!X37</f>
        <v>${DN_NV2_PRE_M.D22}</v>
      </c>
      <c r="Y61" s="40" t="str">
        <f>+Dulieu!Y37</f>
        <v>${DN_NV2_PRE_M.D23}</v>
      </c>
    </row>
    <row r="62" spans="1:25" s="41" customFormat="1" ht="12" x14ac:dyDescent="0.2">
      <c r="A62" s="38"/>
      <c r="B62" s="39" t="s">
        <v>839</v>
      </c>
      <c r="C62" s="40">
        <f t="shared" si="24"/>
        <v>0</v>
      </c>
      <c r="D62" s="40" t="str">
        <f>+Dulieu!D38</f>
        <v>${DN_NV2_PRE_Y.D2}</v>
      </c>
      <c r="E62" s="40" t="str">
        <f>+Dulieu!E38</f>
        <v>${DN_NV2_PRE_Y.D11}</v>
      </c>
      <c r="F62" s="40" t="str">
        <f>+Dulieu!F38</f>
        <v>${DN_NV2_PRE_Y.D4}</v>
      </c>
      <c r="G62" s="40" t="str">
        <f>+Dulieu!G38</f>
        <v>${DN_NV2_PRE_Y.D6}</v>
      </c>
      <c r="H62" s="40" t="str">
        <f>+Dulieu!H38</f>
        <v>${DN_NV2_PRE_Y.D8}</v>
      </c>
      <c r="I62" s="40" t="str">
        <f>+Dulieu!I38</f>
        <v>${DN_NV2_PRE_Y.D9}</v>
      </c>
      <c r="J62" s="40" t="str">
        <f>+Dulieu!J38</f>
        <v>${DN_NV2_PRE_Y.D3}</v>
      </c>
      <c r="K62" s="40" t="str">
        <f>+Dulieu!K38</f>
        <v>${DN_NV2_PRE_Y.D10}</v>
      </c>
      <c r="L62" s="40" t="str">
        <f>+Dulieu!L38</f>
        <v>${DN_NV2_PRE_Y.D5}</v>
      </c>
      <c r="M62" s="40" t="str">
        <f>+Dulieu!M38</f>
        <v>${DN_NV2_PRE_Y.D7}</v>
      </c>
      <c r="N62" s="40" t="str">
        <f>+Dulieu!N38</f>
        <v>${DN_NV2_PRE_Y.D12}</v>
      </c>
      <c r="O62" s="40" t="str">
        <f>+Dulieu!O38</f>
        <v>${DN_NV2_PRE_Y.D13}</v>
      </c>
      <c r="P62" s="40" t="str">
        <f>+Dulieu!P38</f>
        <v>${DN_NV2_PRE_Y.D14}</v>
      </c>
      <c r="Q62" s="40" t="str">
        <f>+Dulieu!Q38</f>
        <v>${DN_NV2_PRE_Y.D15}</v>
      </c>
      <c r="R62" s="40" t="str">
        <f>+Dulieu!R38</f>
        <v>${DN_NV2_PRE_Y.D16}</v>
      </c>
      <c r="S62" s="40" t="str">
        <f>+Dulieu!S38</f>
        <v>${DN_NV2_PRE_Y.D17}</v>
      </c>
      <c r="T62" s="40" t="str">
        <f>+Dulieu!T38</f>
        <v>${DN_NV2_PRE_Y.D18}</v>
      </c>
      <c r="U62" s="40" t="str">
        <f>+Dulieu!U38</f>
        <v>${DN_NV2_PRE_Y.D19}</v>
      </c>
      <c r="V62" s="40" t="str">
        <f>+Dulieu!V38</f>
        <v>${DN_NV2_PRE_Y.D20}</v>
      </c>
      <c r="W62" s="40" t="str">
        <f>+Dulieu!W38</f>
        <v>${DN_NV2_PRE_Y.D21}</v>
      </c>
      <c r="X62" s="40" t="str">
        <f>+Dulieu!X38</f>
        <v>${DN_NV2_PRE_Y.D22}</v>
      </c>
      <c r="Y62" s="40" t="str">
        <f>+Dulieu!Y38</f>
        <v>${DN_NV2_PRE_Y.D23}</v>
      </c>
    </row>
    <row r="63" spans="1:25" s="32" customFormat="1" ht="12" x14ac:dyDescent="0.2">
      <c r="A63" s="42"/>
      <c r="B63" s="43" t="s">
        <v>37</v>
      </c>
      <c r="C63" s="44">
        <f t="shared" si="24"/>
        <v>0</v>
      </c>
      <c r="D63" s="44" t="str">
        <f>+Dulieu!D39</f>
        <v>${DN_NV2_QH.D2}</v>
      </c>
      <c r="E63" s="44" t="str">
        <f>+Dulieu!E39</f>
        <v>${DN_NV2_QH.D11}</v>
      </c>
      <c r="F63" s="44" t="str">
        <f>+Dulieu!F39</f>
        <v>${DN_NV2_QH.D4}</v>
      </c>
      <c r="G63" s="44" t="str">
        <f>+Dulieu!G39</f>
        <v>${DN_NV2_QH.D6}</v>
      </c>
      <c r="H63" s="44" t="str">
        <f>+Dulieu!H39</f>
        <v>${DN_NV2_QH.D8}</v>
      </c>
      <c r="I63" s="44" t="str">
        <f>+Dulieu!I39</f>
        <v>${DN_NV2_QH.D9}</v>
      </c>
      <c r="J63" s="44" t="str">
        <f>+Dulieu!J39</f>
        <v>${DN_NV2_QH.D3}</v>
      </c>
      <c r="K63" s="44" t="str">
        <f>+Dulieu!K39</f>
        <v>${DN_NV2_QH.D10}</v>
      </c>
      <c r="L63" s="44" t="str">
        <f>+Dulieu!L39</f>
        <v>${DN_NV2_QH.D5}</v>
      </c>
      <c r="M63" s="44" t="str">
        <f>+Dulieu!M39</f>
        <v>${DN_NV2_QH.D7}</v>
      </c>
      <c r="N63" s="44" t="str">
        <f>+Dulieu!N39</f>
        <v>${DN_NV2_QH.D12}</v>
      </c>
      <c r="O63" s="44" t="str">
        <f>+Dulieu!O39</f>
        <v>${DN_NV2_QH.D13}</v>
      </c>
      <c r="P63" s="44" t="str">
        <f>+Dulieu!P39</f>
        <v>${DN_NV2_QH.D14}</v>
      </c>
      <c r="Q63" s="44" t="str">
        <f>+Dulieu!Q39</f>
        <v>${DN_NV2_QH.D15}</v>
      </c>
      <c r="R63" s="44" t="str">
        <f>+Dulieu!R39</f>
        <v>${DN_NV2_QH.D16}</v>
      </c>
      <c r="S63" s="44" t="str">
        <f>+Dulieu!S39</f>
        <v>${DN_NV2_QH.D17}</v>
      </c>
      <c r="T63" s="44" t="str">
        <f>+Dulieu!T39</f>
        <v>${DN_NV2_QH.D18}</v>
      </c>
      <c r="U63" s="44" t="str">
        <f>+Dulieu!U39</f>
        <v>${DN_NV2_QH.D19}</v>
      </c>
      <c r="V63" s="44" t="str">
        <f>+Dulieu!V39</f>
        <v>${DN_NV2_QH.D20}</v>
      </c>
      <c r="W63" s="44" t="str">
        <f>+Dulieu!W39</f>
        <v>${DN_NV2_QH.D21}</v>
      </c>
      <c r="X63" s="44" t="str">
        <f>+Dulieu!X39</f>
        <v>${DN_NV2_QH.D22}</v>
      </c>
      <c r="Y63" s="44" t="str">
        <f>+Dulieu!Y39</f>
        <v>${DN_NV2_QH.D23}</v>
      </c>
    </row>
    <row r="64" spans="1:25" s="41" customFormat="1" ht="12" x14ac:dyDescent="0.2">
      <c r="A64" s="38"/>
      <c r="B64" s="39" t="s">
        <v>838</v>
      </c>
      <c r="C64" s="40">
        <f t="shared" si="24"/>
        <v>0</v>
      </c>
      <c r="D64" s="40" t="str">
        <f>+Dulieu!D40</f>
        <v>${DN_NV2_QH_PRE_M.D2}</v>
      </c>
      <c r="E64" s="40" t="str">
        <f>+Dulieu!E40</f>
        <v>${DN_NV2_QH_PRE_M.D11}</v>
      </c>
      <c r="F64" s="40" t="str">
        <f>+Dulieu!F40</f>
        <v>${DN_NV2_QH_PRE_M.D4}</v>
      </c>
      <c r="G64" s="40" t="str">
        <f>+Dulieu!G40</f>
        <v>${DN_NV2_QH_PRE_M.D6}</v>
      </c>
      <c r="H64" s="40" t="str">
        <f>+Dulieu!H40</f>
        <v>${DN_NV2_QH_PRE_M.D8}</v>
      </c>
      <c r="I64" s="40" t="str">
        <f>+Dulieu!I40</f>
        <v>${DN_NV2_QH_PRE_M.D9}</v>
      </c>
      <c r="J64" s="40" t="str">
        <f>+Dulieu!J40</f>
        <v>${DN_NV2_QH_PRE_M.D3}</v>
      </c>
      <c r="K64" s="40" t="str">
        <f>+Dulieu!K40</f>
        <v>${DN_NV2_QH_PRE_M.D10}</v>
      </c>
      <c r="L64" s="40" t="str">
        <f>+Dulieu!L40</f>
        <v>${DN_NV2_QH_PRE_M.D5}</v>
      </c>
      <c r="M64" s="40" t="str">
        <f>+Dulieu!M40</f>
        <v>${DN_NV2_QH_PRE_M.D7}</v>
      </c>
      <c r="N64" s="40" t="str">
        <f>+Dulieu!N40</f>
        <v>${DN_NV2_QH_PRE_M.D12}</v>
      </c>
      <c r="O64" s="40" t="str">
        <f>+Dulieu!O40</f>
        <v>${DN_NV2_QH_PRE_M.D13}</v>
      </c>
      <c r="P64" s="40" t="str">
        <f>+Dulieu!P40</f>
        <v>${DN_NV2_QH_PRE_M.D14}</v>
      </c>
      <c r="Q64" s="40" t="str">
        <f>+Dulieu!Q40</f>
        <v>${DN_NV2_QH_PRE_M.D15}</v>
      </c>
      <c r="R64" s="40" t="str">
        <f>+Dulieu!R40</f>
        <v>${DN_NV2_QH_PRE_M.D16}</v>
      </c>
      <c r="S64" s="40" t="str">
        <f>+Dulieu!S40</f>
        <v>${DN_NV2_QH_PRE_M.D17}</v>
      </c>
      <c r="T64" s="40" t="str">
        <f>+Dulieu!T40</f>
        <v>${DN_NV2_QH_PRE_M.D18}</v>
      </c>
      <c r="U64" s="40" t="str">
        <f>+Dulieu!U40</f>
        <v>${DN_NV2_QH_PRE_M.D19}</v>
      </c>
      <c r="V64" s="40" t="str">
        <f>+Dulieu!V40</f>
        <v>${DN_NV2_QH_PRE_M.D20}</v>
      </c>
      <c r="W64" s="40" t="str">
        <f>+Dulieu!W40</f>
        <v>${DN_NV2_QH_PRE_M.D21}</v>
      </c>
      <c r="X64" s="40" t="str">
        <f>+Dulieu!X40</f>
        <v>${DN_NV2_QH_PRE_M.D22}</v>
      </c>
      <c r="Y64" s="40" t="str">
        <f>+Dulieu!Y40</f>
        <v>${DN_NV2_QH_PRE_M.D23}</v>
      </c>
    </row>
    <row r="65" spans="1:25" s="41" customFormat="1" ht="12" x14ac:dyDescent="0.2">
      <c r="A65" s="38"/>
      <c r="B65" s="39" t="s">
        <v>839</v>
      </c>
      <c r="C65" s="40">
        <f t="shared" si="24"/>
        <v>0</v>
      </c>
      <c r="D65" s="40" t="str">
        <f>+Dulieu!D41</f>
        <v>${DN_NV2_QH_PRE_Y.D2}</v>
      </c>
      <c r="E65" s="40" t="str">
        <f>+Dulieu!E41</f>
        <v>${DN_NV2_QH_PRE_Y.D11}</v>
      </c>
      <c r="F65" s="40" t="str">
        <f>+Dulieu!F41</f>
        <v>${DN_NV2_QH_PRE_Y.D4}</v>
      </c>
      <c r="G65" s="40" t="str">
        <f>+Dulieu!G41</f>
        <v>${DN_NV2_QH_PRE_Y.D6}</v>
      </c>
      <c r="H65" s="40" t="str">
        <f>+Dulieu!H41</f>
        <v>${DN_NV2_QH_PRE_Y.D8}</v>
      </c>
      <c r="I65" s="40" t="str">
        <f>+Dulieu!I41</f>
        <v>${DN_NV2_QH_PRE_Y.D9}</v>
      </c>
      <c r="J65" s="40" t="str">
        <f>+Dulieu!J41</f>
        <v>${DN_NV2_QH_PRE_Y.D3}</v>
      </c>
      <c r="K65" s="40" t="str">
        <f>+Dulieu!K41</f>
        <v>${DN_NV2_QH_PRE_Y.D10}</v>
      </c>
      <c r="L65" s="40" t="str">
        <f>+Dulieu!L41</f>
        <v>${DN_NV2_QH_PRE_Y.D5}</v>
      </c>
      <c r="M65" s="40" t="str">
        <f>+Dulieu!M41</f>
        <v>${DN_NV2_QH_PRE_Y.D7}</v>
      </c>
      <c r="N65" s="40" t="str">
        <f>+Dulieu!N41</f>
        <v>${DN_NV2_QH_PRE_Y.D12}</v>
      </c>
      <c r="O65" s="40" t="str">
        <f>+Dulieu!O41</f>
        <v>${DN_NV2_QH_PRE_Y.D13}</v>
      </c>
      <c r="P65" s="40" t="str">
        <f>+Dulieu!P41</f>
        <v>${DN_NV2_QH_PRE_Y.D14}</v>
      </c>
      <c r="Q65" s="40" t="str">
        <f>+Dulieu!Q41</f>
        <v>${DN_NV2_QH_PRE_Y.D15}</v>
      </c>
      <c r="R65" s="40" t="str">
        <f>+Dulieu!R41</f>
        <v>${DN_NV2_QH_PRE_Y.D16}</v>
      </c>
      <c r="S65" s="40" t="str">
        <f>+Dulieu!S41</f>
        <v>${DN_NV2_QH_PRE_Y.D17}</v>
      </c>
      <c r="T65" s="40" t="str">
        <f>+Dulieu!T41</f>
        <v>${DN_NV2_QH_PRE_Y.D18}</v>
      </c>
      <c r="U65" s="40" t="str">
        <f>+Dulieu!U41</f>
        <v>${DN_NV2_QH_PRE_Y.D19}</v>
      </c>
      <c r="V65" s="40" t="str">
        <f>+Dulieu!V41</f>
        <v>${DN_NV2_QH_PRE_Y.D20}</v>
      </c>
      <c r="W65" s="40" t="str">
        <f>+Dulieu!W41</f>
        <v>${DN_NV2_QH_PRE_Y.D21}</v>
      </c>
      <c r="X65" s="40" t="str">
        <f>+Dulieu!X41</f>
        <v>${DN_NV2_QH_PRE_Y.D22}</v>
      </c>
      <c r="Y65" s="40" t="str">
        <f>+Dulieu!Y41</f>
        <v>${DN_NV2_QH_PRE_Y.D23}</v>
      </c>
    </row>
    <row r="66" spans="1:25" s="51" customFormat="1" ht="12" x14ac:dyDescent="0.2">
      <c r="A66" s="54"/>
      <c r="B66" s="50" t="s">
        <v>38</v>
      </c>
      <c r="C66" s="50" t="e">
        <f>+C63/C60</f>
        <v>#DIV/0!</v>
      </c>
      <c r="D66" s="50" t="e">
        <f>+Dulieu!D42</f>
        <v>#VALUE!</v>
      </c>
      <c r="E66" s="50" t="e">
        <f>+Dulieu!E42</f>
        <v>#VALUE!</v>
      </c>
      <c r="F66" s="50" t="e">
        <f>+Dulieu!F42</f>
        <v>#VALUE!</v>
      </c>
      <c r="G66" s="50" t="e">
        <f>+Dulieu!G42</f>
        <v>#VALUE!</v>
      </c>
      <c r="H66" s="50" t="e">
        <f>+Dulieu!H42</f>
        <v>#VALUE!</v>
      </c>
      <c r="I66" s="50" t="e">
        <f>+Dulieu!I42</f>
        <v>#VALUE!</v>
      </c>
      <c r="J66" s="50" t="e">
        <f>+Dulieu!J42</f>
        <v>#VALUE!</v>
      </c>
      <c r="K66" s="50" t="e">
        <f>+Dulieu!K42</f>
        <v>#VALUE!</v>
      </c>
      <c r="L66" s="50" t="e">
        <f>+Dulieu!L42</f>
        <v>#VALUE!</v>
      </c>
      <c r="M66" s="50" t="e">
        <f>+Dulieu!M42</f>
        <v>#VALUE!</v>
      </c>
      <c r="N66" s="50" t="e">
        <f>+Dulieu!N42</f>
        <v>#VALUE!</v>
      </c>
      <c r="O66" s="50" t="e">
        <f>+Dulieu!O42</f>
        <v>#VALUE!</v>
      </c>
      <c r="P66" s="50" t="e">
        <f>+Dulieu!P42</f>
        <v>#VALUE!</v>
      </c>
      <c r="Q66" s="50" t="e">
        <f>+Dulieu!Q42</f>
        <v>#VALUE!</v>
      </c>
      <c r="R66" s="50" t="e">
        <f>+Dulieu!R42</f>
        <v>#VALUE!</v>
      </c>
      <c r="S66" s="50" t="e">
        <f>+Dulieu!S42</f>
        <v>#VALUE!</v>
      </c>
      <c r="T66" s="50" t="e">
        <f>+Dulieu!T42</f>
        <v>#VALUE!</v>
      </c>
      <c r="U66" s="50" t="e">
        <f>+Dulieu!U42</f>
        <v>#VALUE!</v>
      </c>
      <c r="V66" s="50" t="e">
        <f>+Dulieu!V42</f>
        <v>#VALUE!</v>
      </c>
      <c r="W66" s="50" t="e">
        <f>+Dulieu!W42</f>
        <v>#VALUE!</v>
      </c>
      <c r="X66" s="50" t="e">
        <f>+Dulieu!X42</f>
        <v>#VALUE!</v>
      </c>
      <c r="Y66" s="50" t="e">
        <f>+Dulieu!Y42</f>
        <v>#VALUE!</v>
      </c>
    </row>
    <row r="67" spans="1:25" s="37" customFormat="1" ht="12" x14ac:dyDescent="0.2">
      <c r="A67" s="34" t="s">
        <v>30</v>
      </c>
      <c r="B67" s="35" t="s">
        <v>40</v>
      </c>
      <c r="C67" s="36" t="e">
        <f t="shared" ref="C67:C98" si="25">SUM(D67:Y67)</f>
        <v>#VALUE!</v>
      </c>
      <c r="D67" s="36" t="e">
        <f>+Dulieu!D43 + IFERROR(VLOOKUP(LEFT(Dulieu!$C$81,12)&amp;"32",Dulieu!$C$88:$N$400,2,FALSE),0)+IFERROR(VLOOKUP(LEFT(Dulieu!$C$44,10)&amp;"0233",Dulieu!$C$88:$N$400,2,FALSE),0)</f>
        <v>#VALUE!</v>
      </c>
      <c r="E67" s="36" t="e">
        <f>+Dulieu!E43 + IFERROR(VLOOKUP(LEFT(Dulieu!$C$81,12)&amp;"32",Dulieu!$C$88:$N$400,3,FALSE),0)+IFERROR(VLOOKUP(LEFT(Dulieu!$C$44,10)&amp;"0233",Dulieu!$C$88:$N$400,3,FALSE),0)</f>
        <v>#VALUE!</v>
      </c>
      <c r="F67" s="36" t="e">
        <f>+Dulieu!F43 + IFERROR(VLOOKUP(LEFT(Dulieu!$C$81,12)&amp;"32",Dulieu!$C$88:$N$400,4,FALSE),0)+IFERROR(VLOOKUP(LEFT(Dulieu!$C$44,10)&amp;"0233",Dulieu!$C$88:$N$400,4,FALSE),0)</f>
        <v>#VALUE!</v>
      </c>
      <c r="G67" s="36" t="e">
        <f>+Dulieu!G43 + IFERROR(VLOOKUP(LEFT(Dulieu!$C$81,12)&amp;"32",Dulieu!$C$88:$N$400,5,FALSE),0)+IFERROR(VLOOKUP(LEFT(Dulieu!$C$44,10)&amp;"0233",Dulieu!$C$88:$N$400,5,FALSE),0)</f>
        <v>#VALUE!</v>
      </c>
      <c r="H67" s="36" t="e">
        <f>+Dulieu!H43 + IFERROR(VLOOKUP(LEFT(Dulieu!$C$81,12)&amp;"32",Dulieu!$C$88:$N$400,6,FALSE),0)+IFERROR(VLOOKUP(LEFT(Dulieu!$C$44,10)&amp;"0233",Dulieu!$C$88:$N$400,6,FALSE),0)</f>
        <v>#VALUE!</v>
      </c>
      <c r="I67" s="36" t="e">
        <f>+Dulieu!I43 + IFERROR(VLOOKUP(LEFT(Dulieu!$C$81,12)&amp;"32",Dulieu!$C$88:$N$400,7,FALSE),0)+IFERROR(VLOOKUP(LEFT(Dulieu!$C$44,10)&amp;"0233",Dulieu!$C$88:$N$400,7,FALSE),0)</f>
        <v>#VALUE!</v>
      </c>
      <c r="J67" s="36" t="e">
        <f>+Dulieu!J43 + IFERROR(VLOOKUP(LEFT(Dulieu!$C$81,12)&amp;"32",Dulieu!$C$88:$N$400,8,FALSE),0)+IFERROR(VLOOKUP(LEFT(Dulieu!$C$44,10)&amp;"0233",Dulieu!$C$88:$N$400,8,FALSE),0)</f>
        <v>#VALUE!</v>
      </c>
      <c r="K67" s="36" t="e">
        <f>+Dulieu!K43 + IFERROR(VLOOKUP(LEFT(Dulieu!$C$81,12)&amp;"32",Dulieu!$C$88:$N$400,9,FALSE),0)+IFERROR(VLOOKUP(LEFT(Dulieu!$C$44,10)&amp;"0233",Dulieu!$C$88:$N$400,9,FALSE),0)</f>
        <v>#VALUE!</v>
      </c>
      <c r="L67" s="36" t="e">
        <f>+Dulieu!L43 + IFERROR(VLOOKUP(LEFT(Dulieu!$C$81,12)&amp;"32",Dulieu!$C$88:$N$400,10,FALSE),0)+IFERROR(VLOOKUP(LEFT(Dulieu!$C$44,10)&amp;"0233",Dulieu!$C$88:$N$400,10,FALSE),0)</f>
        <v>#VALUE!</v>
      </c>
      <c r="M67" s="36" t="e">
        <f>+Dulieu!M43 + IFERROR(VLOOKUP(LEFT(Dulieu!$C$81,12)&amp;"32",Dulieu!$C$88:$N$400,11,FALSE),0)+IFERROR(VLOOKUP(LEFT(Dulieu!$C$44,10)&amp;"0233",Dulieu!$C$88:$N$400,11,FALSE),0)</f>
        <v>#VALUE!</v>
      </c>
      <c r="N67" s="36" t="e">
        <f>+Dulieu!N43 + IFERROR(VLOOKUP(LEFT(Dulieu!$C$81,12)&amp;"32",Dulieu!$C$88:$N$400,12,FALSE),0)+IFERROR(VLOOKUP(LEFT(Dulieu!$C$44,10)&amp;"0233",Dulieu!$C$88:$N$400,12,FALSE),0)</f>
        <v>#VALUE!</v>
      </c>
      <c r="O67" s="36" t="e">
        <f>+Dulieu!O43 + IFERROR(VLOOKUP(LEFT(Dulieu!$C$81,12)&amp;"32",Dulieu!$C$88:$Y$400,13,FALSE),0)+IFERROR(VLOOKUP(LEFT(Dulieu!$C$44,10)&amp;"0233",Dulieu!$C$88:$Y$400,13,FALSE),0)</f>
        <v>#VALUE!</v>
      </c>
      <c r="P67" s="36" t="e">
        <f>+Dulieu!P43 + IFERROR(VLOOKUP(LEFT(Dulieu!$C$81,12)&amp;"32",Dulieu!$C$88:$Y$400,14,FALSE),0)+IFERROR(VLOOKUP(LEFT(Dulieu!$C$44,10)&amp;"0233",Dulieu!$C$88:$Y$400,14,FALSE),0)</f>
        <v>#VALUE!</v>
      </c>
      <c r="Q67" s="36" t="e">
        <f>+Dulieu!Q43 + IFERROR(VLOOKUP(LEFT(Dulieu!$C$81,12)&amp;"32",Dulieu!$C$88:$Y$400,15,FALSE),0)+IFERROR(VLOOKUP(LEFT(Dulieu!$C$44,10)&amp;"0233",Dulieu!$C$88:$Y$400,15,FALSE),0)</f>
        <v>#VALUE!</v>
      </c>
      <c r="R67" s="36" t="e">
        <f>+Dulieu!R43 + IFERROR(VLOOKUP(LEFT(Dulieu!$C$81,12)&amp;"32",Dulieu!$C$88:$Y$400,16,FALSE),0)+IFERROR(VLOOKUP(LEFT(Dulieu!$C$44,10)&amp;"0233",Dulieu!$C$88:$Y$400,16,FALSE),0)</f>
        <v>#VALUE!</v>
      </c>
      <c r="S67" s="36" t="e">
        <f>+Dulieu!S43 + IFERROR(VLOOKUP(LEFT(Dulieu!$C$81,12)&amp;"32",Dulieu!$C$88:$Y$400,17,FALSE),0)+IFERROR(VLOOKUP(LEFT(Dulieu!$C$44,10)&amp;"0233",Dulieu!$C$88:$Y$400,17,FALSE),0)</f>
        <v>#VALUE!</v>
      </c>
      <c r="T67" s="36" t="e">
        <f>+Dulieu!T43 + IFERROR(VLOOKUP(LEFT(Dulieu!$C$81,12)&amp;"32",Dulieu!$C$88:$Y$400,18,FALSE),0)+IFERROR(VLOOKUP(LEFT(Dulieu!$C$44,10)&amp;"0233",Dulieu!$C$88:$Y$400,18,FALSE),0)</f>
        <v>#VALUE!</v>
      </c>
      <c r="U67" s="36" t="e">
        <f>+Dulieu!U43 + IFERROR(VLOOKUP(LEFT(Dulieu!$C$81,12)&amp;"32",Dulieu!$C$88:$Y$400,19,FALSE),0)+IFERROR(VLOOKUP(LEFT(Dulieu!$C$44,10)&amp;"0233",Dulieu!$C$88:$Y$400,19,FALSE),0)</f>
        <v>#VALUE!</v>
      </c>
      <c r="V67" s="36" t="e">
        <f>+Dulieu!V43 + IFERROR(VLOOKUP(LEFT(Dulieu!$C$81,12)&amp;"32",Dulieu!$C$88:$Y$400,20,FALSE),0)+IFERROR(VLOOKUP(LEFT(Dulieu!$C$44,10)&amp;"0233",Dulieu!$C$88:$Y$400,20,FALSE),0)</f>
        <v>#VALUE!</v>
      </c>
      <c r="W67" s="36" t="e">
        <f>+Dulieu!W43 + IFERROR(VLOOKUP(LEFT(Dulieu!$C$81,12)&amp;"32",Dulieu!$C$88:$Y$400,21,FALSE),0)+IFERROR(VLOOKUP(LEFT(Dulieu!$C$44,10)&amp;"0233",Dulieu!$C$88:$Y$400,21,FALSE),0)</f>
        <v>#VALUE!</v>
      </c>
      <c r="X67" s="36" t="e">
        <f>+Dulieu!X43 + IFERROR(VLOOKUP(LEFT(Dulieu!$C$81,12)&amp;"32",Dulieu!$C$88:$Y$400,22,FALSE),0)+IFERROR(VLOOKUP(LEFT(Dulieu!$C$44,10)&amp;"0233",Dulieu!$C$88:$Y$400,22,FALSE),0)</f>
        <v>#VALUE!</v>
      </c>
      <c r="Y67" s="36" t="e">
        <f>+Dulieu!Y43 + IFERROR(VLOOKUP(LEFT(Dulieu!$C$81,12)&amp;"32",Dulieu!$C$88:$Y$400,23,FALSE),0)+IFERROR(VLOOKUP(LEFT(Dulieu!$C$44,10)&amp;"0233",Dulieu!$C$88:$Y$400,23,FALSE),0)</f>
        <v>#VALUE!</v>
      </c>
    </row>
    <row r="68" spans="1:25" s="37" customFormat="1" ht="12" x14ac:dyDescent="0.2">
      <c r="A68" s="34">
        <v>1</v>
      </c>
      <c r="B68" s="35" t="s">
        <v>41</v>
      </c>
      <c r="C68" s="36">
        <f t="shared" si="25"/>
        <v>0</v>
      </c>
      <c r="D68" s="36" t="str">
        <f>+Dulieu!D44</f>
        <v>${DN_CTR_QD_0101.D2}</v>
      </c>
      <c r="E68" s="36" t="str">
        <f>+Dulieu!E44</f>
        <v>${DN_CTR_QD_0101.D11}</v>
      </c>
      <c r="F68" s="36" t="str">
        <f>+Dulieu!F44</f>
        <v>${DN_CTR_QD_0101.D4}</v>
      </c>
      <c r="G68" s="36" t="str">
        <f>+Dulieu!G44</f>
        <v>${DN_CTR_QD_0101.D6}</v>
      </c>
      <c r="H68" s="36" t="str">
        <f>+Dulieu!H44</f>
        <v>${DN_CTR_QD_0101.D8}</v>
      </c>
      <c r="I68" s="36" t="str">
        <f>+Dulieu!I44</f>
        <v>${DN_CTR_QD_0101.D9}</v>
      </c>
      <c r="J68" s="36" t="str">
        <f>+Dulieu!J44</f>
        <v>${DN_CTR_QD_0101.D3}</v>
      </c>
      <c r="K68" s="36" t="str">
        <f>+Dulieu!K44</f>
        <v>${DN_CTR_QD_0101.D10}</v>
      </c>
      <c r="L68" s="36" t="str">
        <f>+Dulieu!L44</f>
        <v>${DN_CTR_QD_0101.D5}</v>
      </c>
      <c r="M68" s="36" t="str">
        <f>+Dulieu!M44</f>
        <v>${DN_CTR_QD_0101.D7}</v>
      </c>
      <c r="N68" s="36" t="str">
        <f>+Dulieu!N44</f>
        <v>${DN_CTR_QD_0101.D12}</v>
      </c>
      <c r="O68" s="36" t="str">
        <f>+Dulieu!O44</f>
        <v>${DN_CTR_QD_0101.D13}</v>
      </c>
      <c r="P68" s="36" t="str">
        <f>+Dulieu!P44</f>
        <v>${DN_CTR_QD_0101.D14}</v>
      </c>
      <c r="Q68" s="36" t="str">
        <f>+Dulieu!Q44</f>
        <v>${DN_CTR_QD_0101.D15}</v>
      </c>
      <c r="R68" s="36" t="str">
        <f>+Dulieu!R44</f>
        <v>${DN_CTR_QD_0101.D16}</v>
      </c>
      <c r="S68" s="36" t="str">
        <f>+Dulieu!S44</f>
        <v>${DN_CTR_QD_0101.D17}</v>
      </c>
      <c r="T68" s="36" t="str">
        <f>+Dulieu!T44</f>
        <v>${DN_CTR_QD_0101.D18}</v>
      </c>
      <c r="U68" s="36" t="str">
        <f>+Dulieu!U44</f>
        <v>${DN_CTR_QD_0101.D19}</v>
      </c>
      <c r="V68" s="36" t="str">
        <f>+Dulieu!V44</f>
        <v>${DN_CTR_QD_0101.D20}</v>
      </c>
      <c r="W68" s="36" t="str">
        <f>+Dulieu!W44</f>
        <v>${DN_CTR_QD_0101.D21}</v>
      </c>
      <c r="X68" s="36" t="str">
        <f>+Dulieu!X44</f>
        <v>${DN_CTR_QD_0101.D22}</v>
      </c>
      <c r="Y68" s="36" t="str">
        <f>+Dulieu!Y44</f>
        <v>${DN_CTR_QD_0101.D23}</v>
      </c>
    </row>
    <row r="69" spans="1:25" s="41" customFormat="1" ht="12" x14ac:dyDescent="0.2">
      <c r="A69" s="38"/>
      <c r="B69" s="39" t="s">
        <v>838</v>
      </c>
      <c r="C69" s="40" t="e">
        <f t="shared" si="25"/>
        <v>#VALUE!</v>
      </c>
      <c r="D69" s="40" t="e">
        <f>+D68-VLOOKUP(Dulieu!$C$44&amp;"_PRE_M",Dulieu!$C$88:$N$400,2,FALSE)</f>
        <v>#VALUE!</v>
      </c>
      <c r="E69" s="40" t="e">
        <f>+E68-VLOOKUP(Dulieu!$C$44&amp;"_PRE_M",Dulieu!$C$88:$N$400,3,FALSE)</f>
        <v>#VALUE!</v>
      </c>
      <c r="F69" s="40" t="e">
        <f>+F68-VLOOKUP(Dulieu!$C$44&amp;"_PRE_M",Dulieu!$C$88:$N$400,4,FALSE)</f>
        <v>#VALUE!</v>
      </c>
      <c r="G69" s="40" t="e">
        <f>+G68-VLOOKUP(Dulieu!$C$44&amp;"_PRE_M",Dulieu!$C$88:$N$400,5,FALSE)</f>
        <v>#VALUE!</v>
      </c>
      <c r="H69" s="40" t="e">
        <f>+H68-VLOOKUP(Dulieu!$C$44&amp;"_PRE_M",Dulieu!$C$88:$N$400,6,FALSE)</f>
        <v>#VALUE!</v>
      </c>
      <c r="I69" s="40" t="e">
        <f>+I68-VLOOKUP(Dulieu!$C$44&amp;"_PRE_M",Dulieu!$C$88:$N$400,7,FALSE)</f>
        <v>#VALUE!</v>
      </c>
      <c r="J69" s="40" t="e">
        <f>+J68-VLOOKUP(Dulieu!$C$44&amp;"_PRE_M",Dulieu!$C$88:$N$400,8,FALSE)</f>
        <v>#VALUE!</v>
      </c>
      <c r="K69" s="40" t="e">
        <f>+K68-VLOOKUP(Dulieu!$C$44&amp;"_PRE_M",Dulieu!$C$88:$N$400,9,FALSE)</f>
        <v>#VALUE!</v>
      </c>
      <c r="L69" s="40" t="e">
        <f>+L68-VLOOKUP(Dulieu!$C$44&amp;"_PRE_M",Dulieu!$C$88:$N$400,10,FALSE)</f>
        <v>#VALUE!</v>
      </c>
      <c r="M69" s="40" t="e">
        <f>+M68-VLOOKUP(Dulieu!$C$44&amp;"_PRE_M",Dulieu!$C$88:$N$400,11,FALSE)</f>
        <v>#VALUE!</v>
      </c>
      <c r="N69" s="40" t="e">
        <f>+N68-VLOOKUP(Dulieu!$C$44&amp;"_PRE_M",Dulieu!$C$88:$N$400,12,FALSE)</f>
        <v>#VALUE!</v>
      </c>
      <c r="O69" s="40" t="e">
        <f>+O68-VLOOKUP(Dulieu!$C$44&amp;"_PRE_M",Dulieu!$C$88:$Y$400,13,FALSE)</f>
        <v>#VALUE!</v>
      </c>
      <c r="P69" s="40" t="e">
        <f>+P68-VLOOKUP(Dulieu!$C$44&amp;"_PRE_M",Dulieu!$C$88:$Y$400,14,FALSE)</f>
        <v>#VALUE!</v>
      </c>
      <c r="Q69" s="40" t="e">
        <f>+Q68-VLOOKUP(Dulieu!$C$44&amp;"_PRE_M",Dulieu!$C$88:$Y$400,15,FALSE)</f>
        <v>#VALUE!</v>
      </c>
      <c r="R69" s="40" t="e">
        <f>+R68-VLOOKUP(Dulieu!$C$44&amp;"_PRE_M",Dulieu!$C$88:$Y$400,16,FALSE)</f>
        <v>#VALUE!</v>
      </c>
      <c r="S69" s="40" t="e">
        <f>+S68-VLOOKUP(Dulieu!$C$44&amp;"_PRE_M",Dulieu!$C$88:$Y$400,17,FALSE)</f>
        <v>#VALUE!</v>
      </c>
      <c r="T69" s="40" t="e">
        <f>+T68-VLOOKUP(Dulieu!$C$44&amp;"_PRE_M",Dulieu!$C$88:$Y$400,18,FALSE)</f>
        <v>#VALUE!</v>
      </c>
      <c r="U69" s="40" t="e">
        <f>+U68-VLOOKUP(Dulieu!$C$44&amp;"_PRE_M",Dulieu!$C$88:$Y$400,19,FALSE)</f>
        <v>#VALUE!</v>
      </c>
      <c r="V69" s="40" t="e">
        <f>+V68-VLOOKUP(Dulieu!$C$44&amp;"_PRE_M",Dulieu!$C$88:$Y$400,20,FALSE)</f>
        <v>#VALUE!</v>
      </c>
      <c r="W69" s="40" t="e">
        <f>+W68-VLOOKUP(Dulieu!$C$44&amp;"_PRE_M",Dulieu!$C$88:$Y$400,21,FALSE)</f>
        <v>#VALUE!</v>
      </c>
      <c r="X69" s="40" t="e">
        <f>+X68-VLOOKUP(Dulieu!$C$44&amp;"_PRE_M",Dulieu!$C$88:$Y$400,22,FALSE)</f>
        <v>#VALUE!</v>
      </c>
      <c r="Y69" s="40" t="e">
        <f>+Y68-VLOOKUP(Dulieu!$C$44&amp;"_PRE_M",Dulieu!$C$88:$Y$400,23,FALSE)</f>
        <v>#VALUE!</v>
      </c>
    </row>
    <row r="70" spans="1:25" s="41" customFormat="1" ht="12" x14ac:dyDescent="0.2">
      <c r="A70" s="38"/>
      <c r="B70" s="39" t="s">
        <v>839</v>
      </c>
      <c r="C70" s="40" t="e">
        <f t="shared" si="25"/>
        <v>#VALUE!</v>
      </c>
      <c r="D70" s="40" t="e">
        <f>+D68-VLOOKUP(Dulieu!$C$44&amp;"_PRE_Y",Dulieu!$C$88:$N$400,2,FALSE)</f>
        <v>#VALUE!</v>
      </c>
      <c r="E70" s="40" t="e">
        <f>+E68-VLOOKUP(Dulieu!$C$44&amp;"_PRE_Y",Dulieu!$C$88:$N$400,3,FALSE)</f>
        <v>#VALUE!</v>
      </c>
      <c r="F70" s="40" t="e">
        <f>+F68-VLOOKUP(Dulieu!$C$44&amp;"_PRE_Y",Dulieu!$C$88:$N$400,4,FALSE)</f>
        <v>#VALUE!</v>
      </c>
      <c r="G70" s="40" t="e">
        <f>+G68-VLOOKUP(Dulieu!$C$44&amp;"_PRE_Y",Dulieu!$C$88:$N$400,5,FALSE)</f>
        <v>#VALUE!</v>
      </c>
      <c r="H70" s="40" t="e">
        <f>+H68-VLOOKUP(Dulieu!$C$44&amp;"_PRE_Y",Dulieu!$C$88:$N$400,6,FALSE)</f>
        <v>#VALUE!</v>
      </c>
      <c r="I70" s="40" t="e">
        <f>+I68-VLOOKUP(Dulieu!$C$44&amp;"_PRE_Y",Dulieu!$C$88:$N$400,7,FALSE)</f>
        <v>#VALUE!</v>
      </c>
      <c r="J70" s="40" t="e">
        <f>+J68-VLOOKUP(Dulieu!$C$44&amp;"_PRE_Y",Dulieu!$C$88:$N$400,8,FALSE)</f>
        <v>#VALUE!</v>
      </c>
      <c r="K70" s="40" t="e">
        <f>+K68-VLOOKUP(Dulieu!$C$44&amp;"_PRE_Y",Dulieu!$C$88:$N$400,9,FALSE)</f>
        <v>#VALUE!</v>
      </c>
      <c r="L70" s="40" t="e">
        <f>+L68-VLOOKUP(Dulieu!$C$44&amp;"_PRE_Y",Dulieu!$C$88:$N$400,10,FALSE)</f>
        <v>#VALUE!</v>
      </c>
      <c r="M70" s="40" t="e">
        <f>+M68-VLOOKUP(Dulieu!$C$44&amp;"_PRE_Y",Dulieu!$C$88:$N$400,11,FALSE)</f>
        <v>#VALUE!</v>
      </c>
      <c r="N70" s="40" t="e">
        <f>+N68-VLOOKUP(Dulieu!$C$44&amp;"_PRE_Y",Dulieu!$C$88:$N$400,12,FALSE)</f>
        <v>#VALUE!</v>
      </c>
      <c r="O70" s="40" t="e">
        <f>+O68-VLOOKUP(Dulieu!$C$44&amp;"_PRE_Y",Dulieu!$C$88:$Y$400,13,FALSE)</f>
        <v>#VALUE!</v>
      </c>
      <c r="P70" s="40" t="e">
        <f>+P68-VLOOKUP(Dulieu!$C$44&amp;"_PRE_Y",Dulieu!$C$88:$Y$400,14,FALSE)</f>
        <v>#VALUE!</v>
      </c>
      <c r="Q70" s="40" t="e">
        <f>+Q68-VLOOKUP(Dulieu!$C$44&amp;"_PRE_Y",Dulieu!$C$88:$Y$400,15,FALSE)</f>
        <v>#VALUE!</v>
      </c>
      <c r="R70" s="40" t="e">
        <f>+R68-VLOOKUP(Dulieu!$C$44&amp;"_PRE_Y",Dulieu!$C$88:$Y$400,16,FALSE)</f>
        <v>#VALUE!</v>
      </c>
      <c r="S70" s="40" t="e">
        <f>+S68-VLOOKUP(Dulieu!$C$44&amp;"_PRE_Y",Dulieu!$C$88:$Y$400,17,FALSE)</f>
        <v>#VALUE!</v>
      </c>
      <c r="T70" s="40" t="e">
        <f>+T68-VLOOKUP(Dulieu!$C$44&amp;"_PRE_Y",Dulieu!$C$88:$Y$400,18,FALSE)</f>
        <v>#VALUE!</v>
      </c>
      <c r="U70" s="40" t="e">
        <f>+U68-VLOOKUP(Dulieu!$C$44&amp;"_PRE_Y",Dulieu!$C$88:$Y$400,19,FALSE)</f>
        <v>#VALUE!</v>
      </c>
      <c r="V70" s="40" t="e">
        <f>+V68-VLOOKUP(Dulieu!$C$44&amp;"_PRE_Y",Dulieu!$C$88:$Y$400,20,FALSE)</f>
        <v>#VALUE!</v>
      </c>
      <c r="W70" s="40" t="e">
        <f>+W68-VLOOKUP(Dulieu!$C$44&amp;"_PRE_Y",Dulieu!$C$88:$Y$400,21,FALSE)</f>
        <v>#VALUE!</v>
      </c>
      <c r="X70" s="40" t="e">
        <f>+X68-VLOOKUP(Dulieu!$C$44&amp;"_PRE_Y",Dulieu!$C$88:$Y$400,22,FALSE)</f>
        <v>#VALUE!</v>
      </c>
      <c r="Y70" s="40" t="e">
        <f>+Y68-VLOOKUP(Dulieu!$C$44&amp;"_PRE_Y",Dulieu!$C$88:$Y$400,23,FALSE)</f>
        <v>#VALUE!</v>
      </c>
    </row>
    <row r="71" spans="1:25" s="32" customFormat="1" ht="12" x14ac:dyDescent="0.2">
      <c r="A71" s="42"/>
      <c r="B71" s="43" t="s">
        <v>42</v>
      </c>
      <c r="C71" s="44">
        <f t="shared" si="25"/>
        <v>0</v>
      </c>
      <c r="D71" s="44" t="str">
        <f>+Dulieu!D45</f>
        <v>${DN_CTR_QD_NV_010101.D2}</v>
      </c>
      <c r="E71" s="44" t="str">
        <f>+Dulieu!E45</f>
        <v>${DN_CTR_QD_NV_010101.D11}</v>
      </c>
      <c r="F71" s="44" t="str">
        <f>+Dulieu!F45</f>
        <v>${DN_CTR_QD_NV_010101.D4}</v>
      </c>
      <c r="G71" s="44" t="str">
        <f>+Dulieu!G45</f>
        <v>${DN_CTR_QD_NV_010101.D6}</v>
      </c>
      <c r="H71" s="44" t="str">
        <f>+Dulieu!H45</f>
        <v>${DN_CTR_QD_NV_010101.D8}</v>
      </c>
      <c r="I71" s="44" t="str">
        <f>+Dulieu!I45</f>
        <v>${DN_CTR_QD_NV_010101.D9}</v>
      </c>
      <c r="J71" s="44" t="str">
        <f>+Dulieu!J45</f>
        <v>${DN_CTR_QD_NV_010101.D3}</v>
      </c>
      <c r="K71" s="44" t="str">
        <f>+Dulieu!K45</f>
        <v>${DN_CTR_QD_NV_010101.D10}</v>
      </c>
      <c r="L71" s="44" t="str">
        <f>+Dulieu!L45</f>
        <v>${DN_CTR_QD_NV_010101.D5}</v>
      </c>
      <c r="M71" s="44" t="str">
        <f>+Dulieu!M45</f>
        <v>${DN_CTR_QD_NV_010101.D7}</v>
      </c>
      <c r="N71" s="44" t="str">
        <f>+Dulieu!N45</f>
        <v>${DN_CTR_QD_NV_010101.D12}</v>
      </c>
      <c r="O71" s="44" t="str">
        <f>+Dulieu!O45</f>
        <v>${DN_CTR_QD_NV_010101.D13}</v>
      </c>
      <c r="P71" s="44" t="str">
        <f>+Dulieu!P45</f>
        <v>${DN_CTR_QD_NV_010101.D14}</v>
      </c>
      <c r="Q71" s="44" t="str">
        <f>+Dulieu!Q45</f>
        <v>${DN_CTR_QD_NV_010101.D15}</v>
      </c>
      <c r="R71" s="44" t="str">
        <f>+Dulieu!R45</f>
        <v>${DN_CTR_QD_NV_010101.D16}</v>
      </c>
      <c r="S71" s="44" t="str">
        <f>+Dulieu!S45</f>
        <v>${DN_CTR_QD_NV_010101.D17}</v>
      </c>
      <c r="T71" s="44" t="str">
        <f>+Dulieu!T45</f>
        <v>${DN_CTR_QD_NV_010101.D18}</v>
      </c>
      <c r="U71" s="44" t="str">
        <f>+Dulieu!U45</f>
        <v>${DN_CTR_QD_NV_010101.D19}</v>
      </c>
      <c r="V71" s="44" t="str">
        <f>+Dulieu!V45</f>
        <v>${DN_CTR_QD_NV_010101.D20}</v>
      </c>
      <c r="W71" s="44" t="str">
        <f>+Dulieu!W45</f>
        <v>${DN_CTR_QD_NV_010101.D21}</v>
      </c>
      <c r="X71" s="44" t="str">
        <f>+Dulieu!X45</f>
        <v>${DN_CTR_QD_NV_010101.D22}</v>
      </c>
      <c r="Y71" s="44" t="str">
        <f>+Dulieu!Y45</f>
        <v>${DN_CTR_QD_NV_010101.D23}</v>
      </c>
    </row>
    <row r="72" spans="1:25" s="32" customFormat="1" ht="12" x14ac:dyDescent="0.2">
      <c r="A72" s="42"/>
      <c r="B72" s="43" t="s">
        <v>43</v>
      </c>
      <c r="C72" s="44">
        <f t="shared" si="25"/>
        <v>0</v>
      </c>
      <c r="D72" s="44" t="str">
        <f>+Dulieu!D46</f>
        <v>${DN_CTR_QD_NV_010102.D2}</v>
      </c>
      <c r="E72" s="44" t="str">
        <f>+Dulieu!E46</f>
        <v>${DN_CTR_QD_NV_010102.D11}</v>
      </c>
      <c r="F72" s="44" t="str">
        <f>+Dulieu!F46</f>
        <v>${DN_CTR_QD_NV_010102.D4}</v>
      </c>
      <c r="G72" s="44" t="str">
        <f>+Dulieu!G46</f>
        <v>${DN_CTR_QD_NV_010102.D6}</v>
      </c>
      <c r="H72" s="44" t="str">
        <f>+Dulieu!H46</f>
        <v>${DN_CTR_QD_NV_010102.D8}</v>
      </c>
      <c r="I72" s="44" t="str">
        <f>+Dulieu!I46</f>
        <v>${DN_CTR_QD_NV_010102.D9}</v>
      </c>
      <c r="J72" s="44" t="str">
        <f>+Dulieu!J46</f>
        <v>${DN_CTR_QD_NV_010102.D3}</v>
      </c>
      <c r="K72" s="44" t="str">
        <f>+Dulieu!K46</f>
        <v>${DN_CTR_QD_NV_010102.D10}</v>
      </c>
      <c r="L72" s="44" t="str">
        <f>+Dulieu!L46</f>
        <v>${DN_CTR_QD_NV_010102.D5}</v>
      </c>
      <c r="M72" s="44" t="str">
        <f>+Dulieu!M46</f>
        <v>${DN_CTR_QD_NV_010102.D7}</v>
      </c>
      <c r="N72" s="44" t="str">
        <f>+Dulieu!N46</f>
        <v>${DN_CTR_QD_NV_010102.D12}</v>
      </c>
      <c r="O72" s="44" t="str">
        <f>+Dulieu!O46</f>
        <v>${DN_CTR_QD_NV_010102.D13}</v>
      </c>
      <c r="P72" s="44" t="str">
        <f>+Dulieu!P46</f>
        <v>${DN_CTR_QD_NV_010102.D14}</v>
      </c>
      <c r="Q72" s="44" t="str">
        <f>+Dulieu!Q46</f>
        <v>${DN_CTR_QD_NV_010102.D15}</v>
      </c>
      <c r="R72" s="44" t="str">
        <f>+Dulieu!R46</f>
        <v>${DN_CTR_QD_NV_010102.D16}</v>
      </c>
      <c r="S72" s="44" t="str">
        <f>+Dulieu!S46</f>
        <v>${DN_CTR_QD_NV_010102.D17}</v>
      </c>
      <c r="T72" s="44" t="str">
        <f>+Dulieu!T46</f>
        <v>${DN_CTR_QD_NV_010102.D18}</v>
      </c>
      <c r="U72" s="44" t="str">
        <f>+Dulieu!U46</f>
        <v>${DN_CTR_QD_NV_010102.D19}</v>
      </c>
      <c r="V72" s="44" t="str">
        <f>+Dulieu!V46</f>
        <v>${DN_CTR_QD_NV_010102.D20}</v>
      </c>
      <c r="W72" s="44" t="str">
        <f>+Dulieu!W46</f>
        <v>${DN_CTR_QD_NV_010102.D21}</v>
      </c>
      <c r="X72" s="44" t="str">
        <f>+Dulieu!X46</f>
        <v>${DN_CTR_QD_NV_010102.D22}</v>
      </c>
      <c r="Y72" s="44" t="str">
        <f>+Dulieu!Y46</f>
        <v>${DN_CTR_QD_NV_010102.D23}</v>
      </c>
    </row>
    <row r="73" spans="1:25" s="32" customFormat="1" ht="12" x14ac:dyDescent="0.2">
      <c r="A73" s="42"/>
      <c r="B73" s="43" t="s">
        <v>842</v>
      </c>
      <c r="C73" s="44">
        <f t="shared" si="25"/>
        <v>0</v>
      </c>
      <c r="D73" s="44">
        <f>+IFERROR(VLOOKUP(Dulieu!$C$46&amp;"T",Dulieu!$C$88:$N$400,2,FALSE),0)</f>
        <v>0</v>
      </c>
      <c r="E73" s="44">
        <f>+IFERROR(VLOOKUP(Dulieu!$C$46&amp;"T",Dulieu!$C$88:$N$400,3,FALSE),0)</f>
        <v>0</v>
      </c>
      <c r="F73" s="44">
        <f>+IFERROR(VLOOKUP(Dulieu!$C$46&amp;"T",Dulieu!$C$88:$N$400,4,FALSE),0)</f>
        <v>0</v>
      </c>
      <c r="G73" s="44">
        <f>+IFERROR(VLOOKUP(Dulieu!$C$46&amp;"T",Dulieu!$C$88:$N$400,5,FALSE),0)</f>
        <v>0</v>
      </c>
      <c r="H73" s="44">
        <f>+IFERROR(VLOOKUP(Dulieu!$C$46&amp;"T",Dulieu!$C$88:$N$400,6,FALSE),0)</f>
        <v>0</v>
      </c>
      <c r="I73" s="44">
        <f>+IFERROR(VLOOKUP(Dulieu!$C$46&amp;"T",Dulieu!$C$88:$N$400,7,FALSE),0)</f>
        <v>0</v>
      </c>
      <c r="J73" s="44">
        <f>+IFERROR(VLOOKUP(Dulieu!$C$46&amp;"T",Dulieu!$C$88:$N$400,8,FALSE),0)</f>
        <v>0</v>
      </c>
      <c r="K73" s="44">
        <f>+IFERROR(VLOOKUP(Dulieu!$C$46&amp;"T",Dulieu!$C$88:$N$400,9,FALSE),0)</f>
        <v>0</v>
      </c>
      <c r="L73" s="44">
        <f>+IFERROR(VLOOKUP(Dulieu!$C$46&amp;"T",Dulieu!$C$88:$N$400,10,FALSE),0)</f>
        <v>0</v>
      </c>
      <c r="M73" s="44">
        <f>+IFERROR(VLOOKUP(Dulieu!$C$46&amp;"T",Dulieu!$C$88:$N$400,11,FALSE),0)</f>
        <v>0</v>
      </c>
      <c r="N73" s="44">
        <f>+IFERROR(VLOOKUP(Dulieu!$C$46&amp;"T",Dulieu!$C$88:$N$400,12,FALSE),0)</f>
        <v>0</v>
      </c>
      <c r="O73" s="44">
        <f>+IFERROR(VLOOKUP(Dulieu!$C$46&amp;"T",Dulieu!$C$88:$Y$400,13,FALSE),0)</f>
        <v>0</v>
      </c>
      <c r="P73" s="44">
        <f>+IFERROR(VLOOKUP(Dulieu!$C$46&amp;"T",Dulieu!$C$88:$Y$400,14,FALSE),0)</f>
        <v>0</v>
      </c>
      <c r="Q73" s="44">
        <f>+IFERROR(VLOOKUP(Dulieu!$C$46&amp;"T",Dulieu!$C$88:$Y$400,15,FALSE),0)</f>
        <v>0</v>
      </c>
      <c r="R73" s="44">
        <f>+IFERROR(VLOOKUP(Dulieu!$C$46&amp;"T",Dulieu!$C$88:$Y$400,16,FALSE),0)</f>
        <v>0</v>
      </c>
      <c r="S73" s="44">
        <f>+IFERROR(VLOOKUP(Dulieu!$C$46&amp;"T",Dulieu!$C$88:$Y$400,17,FALSE),0)</f>
        <v>0</v>
      </c>
      <c r="T73" s="44">
        <f>+IFERROR(VLOOKUP(Dulieu!$C$46&amp;"T",Dulieu!$C$88:$Y$400,18,FALSE),0)</f>
        <v>0</v>
      </c>
      <c r="U73" s="44">
        <f>+IFERROR(VLOOKUP(Dulieu!$C$46&amp;"T",Dulieu!$C$88:$Y$400,19,FALSE),0)</f>
        <v>0</v>
      </c>
      <c r="V73" s="44">
        <f>+IFERROR(VLOOKUP(Dulieu!$C$46&amp;"T",Dulieu!$C$88:$Y$400,20,FALSE),0)</f>
        <v>0</v>
      </c>
      <c r="W73" s="44">
        <f>+IFERROR(VLOOKUP(Dulieu!$C$46&amp;"T",Dulieu!$C$88:$Y$400,21,FALSE),0)</f>
        <v>0</v>
      </c>
      <c r="X73" s="44">
        <f>+IFERROR(VLOOKUP(Dulieu!$C$46&amp;"T",Dulieu!$C$88:$Y$400,22,FALSE),0)</f>
        <v>0</v>
      </c>
      <c r="Y73" s="44">
        <f>+IFERROR(VLOOKUP(Dulieu!$C$46&amp;"T",Dulieu!$C$88:$Y$400,23,FALSE),0)</f>
        <v>0</v>
      </c>
    </row>
    <row r="74" spans="1:25" s="32" customFormat="1" ht="12" x14ac:dyDescent="0.2">
      <c r="A74" s="42"/>
      <c r="B74" s="43" t="s">
        <v>843</v>
      </c>
      <c r="C74" s="44" t="e">
        <f t="shared" si="25"/>
        <v>#VALUE!</v>
      </c>
      <c r="D74" s="44" t="e">
        <f>+D72-D73</f>
        <v>#VALUE!</v>
      </c>
      <c r="E74" s="44" t="e">
        <f t="shared" ref="E74:N74" si="26">+E72-E73</f>
        <v>#VALUE!</v>
      </c>
      <c r="F74" s="44" t="e">
        <f t="shared" si="26"/>
        <v>#VALUE!</v>
      </c>
      <c r="G74" s="44" t="e">
        <f t="shared" si="26"/>
        <v>#VALUE!</v>
      </c>
      <c r="H74" s="44" t="e">
        <f t="shared" si="26"/>
        <v>#VALUE!</v>
      </c>
      <c r="I74" s="44" t="e">
        <f t="shared" si="26"/>
        <v>#VALUE!</v>
      </c>
      <c r="J74" s="44" t="e">
        <f t="shared" si="26"/>
        <v>#VALUE!</v>
      </c>
      <c r="K74" s="44" t="e">
        <f t="shared" si="26"/>
        <v>#VALUE!</v>
      </c>
      <c r="L74" s="44" t="e">
        <f t="shared" si="26"/>
        <v>#VALUE!</v>
      </c>
      <c r="M74" s="44" t="e">
        <f t="shared" si="26"/>
        <v>#VALUE!</v>
      </c>
      <c r="N74" s="44" t="e">
        <f t="shared" si="26"/>
        <v>#VALUE!</v>
      </c>
      <c r="O74" s="44" t="e">
        <f t="shared" ref="O74:Y74" si="27">+O72-O73</f>
        <v>#VALUE!</v>
      </c>
      <c r="P74" s="44" t="e">
        <f t="shared" si="27"/>
        <v>#VALUE!</v>
      </c>
      <c r="Q74" s="44" t="e">
        <f t="shared" si="27"/>
        <v>#VALUE!</v>
      </c>
      <c r="R74" s="44" t="e">
        <f t="shared" si="27"/>
        <v>#VALUE!</v>
      </c>
      <c r="S74" s="44" t="e">
        <f t="shared" si="27"/>
        <v>#VALUE!</v>
      </c>
      <c r="T74" s="44" t="e">
        <f t="shared" si="27"/>
        <v>#VALUE!</v>
      </c>
      <c r="U74" s="44" t="e">
        <f t="shared" si="27"/>
        <v>#VALUE!</v>
      </c>
      <c r="V74" s="44" t="e">
        <f t="shared" si="27"/>
        <v>#VALUE!</v>
      </c>
      <c r="W74" s="44" t="e">
        <f t="shared" si="27"/>
        <v>#VALUE!</v>
      </c>
      <c r="X74" s="44" t="e">
        <f t="shared" si="27"/>
        <v>#VALUE!</v>
      </c>
      <c r="Y74" s="44" t="e">
        <f t="shared" si="27"/>
        <v>#VALUE!</v>
      </c>
    </row>
    <row r="75" spans="1:25" s="37" customFormat="1" ht="12" x14ac:dyDescent="0.2">
      <c r="A75" s="34">
        <v>2</v>
      </c>
      <c r="B75" s="35" t="s">
        <v>44</v>
      </c>
      <c r="C75" s="36">
        <f t="shared" si="25"/>
        <v>0</v>
      </c>
      <c r="D75" s="36" t="str">
        <f>+Dulieu!D47</f>
        <v>${DN_CTR_QD_1919.D2}</v>
      </c>
      <c r="E75" s="36" t="str">
        <f>+Dulieu!E47</f>
        <v>${DN_CTR_QD_1919.D11}</v>
      </c>
      <c r="F75" s="36" t="str">
        <f>+Dulieu!F47</f>
        <v>${DN_CTR_QD_1919.D4}</v>
      </c>
      <c r="G75" s="36" t="str">
        <f>+Dulieu!G47</f>
        <v>${DN_CTR_QD_1919.D6}</v>
      </c>
      <c r="H75" s="36" t="str">
        <f>+Dulieu!H47</f>
        <v>${DN_CTR_QD_1919.D8}</v>
      </c>
      <c r="I75" s="36" t="str">
        <f>+Dulieu!I47</f>
        <v>${DN_CTR_QD_1919.D9}</v>
      </c>
      <c r="J75" s="36" t="str">
        <f>+Dulieu!J47</f>
        <v>${DN_CTR_QD_1919.D3}</v>
      </c>
      <c r="K75" s="36" t="str">
        <f>+Dulieu!K47</f>
        <v>${DN_CTR_QD_1919.D10}</v>
      </c>
      <c r="L75" s="36" t="str">
        <f>+Dulieu!L47</f>
        <v>${DN_CTR_QD_1919.D5}</v>
      </c>
      <c r="M75" s="36" t="str">
        <f>+Dulieu!M47</f>
        <v>${DN_CTR_QD_1919.D7}</v>
      </c>
      <c r="N75" s="36" t="str">
        <f>+Dulieu!N47</f>
        <v>${DN_CTR_QD_1919.D12}</v>
      </c>
      <c r="O75" s="36" t="str">
        <f>+Dulieu!O47</f>
        <v>${DN_CTR_QD_1919.D13}</v>
      </c>
      <c r="P75" s="36" t="str">
        <f>+Dulieu!P47</f>
        <v>${DN_CTR_QD_1919.D14}</v>
      </c>
      <c r="Q75" s="36" t="str">
        <f>+Dulieu!Q47</f>
        <v>${DN_CTR_QD_1919.D15}</v>
      </c>
      <c r="R75" s="36" t="str">
        <f>+Dulieu!R47</f>
        <v>${DN_CTR_QD_1919.D16}</v>
      </c>
      <c r="S75" s="36" t="str">
        <f>+Dulieu!S47</f>
        <v>${DN_CTR_QD_1919.D17}</v>
      </c>
      <c r="T75" s="36" t="str">
        <f>+Dulieu!T47</f>
        <v>${DN_CTR_QD_1919.D18}</v>
      </c>
      <c r="U75" s="36" t="str">
        <f>+Dulieu!U47</f>
        <v>${DN_CTR_QD_1919.D19}</v>
      </c>
      <c r="V75" s="36" t="str">
        <f>+Dulieu!V47</f>
        <v>${DN_CTR_QD_1919.D20}</v>
      </c>
      <c r="W75" s="36" t="str">
        <f>+Dulieu!W47</f>
        <v>${DN_CTR_QD_1919.D21}</v>
      </c>
      <c r="X75" s="36" t="str">
        <f>+Dulieu!X47</f>
        <v>${DN_CTR_QD_1919.D22}</v>
      </c>
      <c r="Y75" s="36" t="str">
        <f>+Dulieu!Y47</f>
        <v>${DN_CTR_QD_1919.D23}</v>
      </c>
    </row>
    <row r="76" spans="1:25" s="41" customFormat="1" ht="12" x14ac:dyDescent="0.2">
      <c r="A76" s="38"/>
      <c r="B76" s="39" t="s">
        <v>838</v>
      </c>
      <c r="C76" s="40" t="e">
        <f t="shared" si="25"/>
        <v>#VALUE!</v>
      </c>
      <c r="D76" s="40" t="e">
        <f>+D75-VLOOKUP(Dulieu!$C$47&amp;"_PRE_M",Dulieu!$C$88:$N$400,2,FALSE)</f>
        <v>#VALUE!</v>
      </c>
      <c r="E76" s="40" t="e">
        <f>+E75-VLOOKUP(Dulieu!$C$47&amp;"_PRE_M",Dulieu!$C$88:$N$400,3,FALSE)</f>
        <v>#VALUE!</v>
      </c>
      <c r="F76" s="40" t="e">
        <f>+F75-VLOOKUP(Dulieu!$C$47&amp;"_PRE_M",Dulieu!$C$88:$N$400,4,FALSE)</f>
        <v>#VALUE!</v>
      </c>
      <c r="G76" s="40" t="e">
        <f>+G75-VLOOKUP(Dulieu!$C$47&amp;"_PRE_M",Dulieu!$C$88:$N$400,5,FALSE)</f>
        <v>#VALUE!</v>
      </c>
      <c r="H76" s="40" t="e">
        <f>+H75-VLOOKUP(Dulieu!$C$47&amp;"_PRE_M",Dulieu!$C$88:$N$400,6,FALSE)</f>
        <v>#VALUE!</v>
      </c>
      <c r="I76" s="40" t="e">
        <f>+I75-VLOOKUP(Dulieu!$C$47&amp;"_PRE_M",Dulieu!$C$88:$N$400,7,FALSE)</f>
        <v>#VALUE!</v>
      </c>
      <c r="J76" s="40" t="e">
        <f>+J75-VLOOKUP(Dulieu!$C$47&amp;"_PRE_M",Dulieu!$C$88:$N$400,8,FALSE)</f>
        <v>#VALUE!</v>
      </c>
      <c r="K76" s="40" t="e">
        <f>+K75-VLOOKUP(Dulieu!$C$47&amp;"_PRE_M",Dulieu!$C$88:$N$400,9,FALSE)</f>
        <v>#VALUE!</v>
      </c>
      <c r="L76" s="40" t="e">
        <f>+L75-VLOOKUP(Dulieu!$C$47&amp;"_PRE_M",Dulieu!$C$88:$N$400,10,FALSE)</f>
        <v>#VALUE!</v>
      </c>
      <c r="M76" s="40" t="e">
        <f>+M75-VLOOKUP(Dulieu!$C$47&amp;"_PRE_M",Dulieu!$C$88:$N$400,11,FALSE)</f>
        <v>#VALUE!</v>
      </c>
      <c r="N76" s="40" t="e">
        <f>+N75-VLOOKUP(Dulieu!$C$47&amp;"_PRE_M",Dulieu!$C$88:$N$400,12,FALSE)</f>
        <v>#VALUE!</v>
      </c>
      <c r="O76" s="40" t="e">
        <f>+O75-VLOOKUP(Dulieu!$C$47&amp;"_PRE_M",Dulieu!$C$88:$Y$400,13,FALSE)</f>
        <v>#VALUE!</v>
      </c>
      <c r="P76" s="40" t="e">
        <f>+P75-VLOOKUP(Dulieu!$C$47&amp;"_PRE_M",Dulieu!$C$88:$Y$400,14,FALSE)</f>
        <v>#VALUE!</v>
      </c>
      <c r="Q76" s="40" t="e">
        <f>+Q75-VLOOKUP(Dulieu!$C$47&amp;"_PRE_M",Dulieu!$C$88:$Y$400,15,FALSE)</f>
        <v>#VALUE!</v>
      </c>
      <c r="R76" s="40" t="e">
        <f>+R75-VLOOKUP(Dulieu!$C$47&amp;"_PRE_M",Dulieu!$C$88:$Y$400,16,FALSE)</f>
        <v>#VALUE!</v>
      </c>
      <c r="S76" s="40" t="e">
        <f>+S75-VLOOKUP(Dulieu!$C$47&amp;"_PRE_M",Dulieu!$C$88:$Y$400,17,FALSE)</f>
        <v>#VALUE!</v>
      </c>
      <c r="T76" s="40" t="e">
        <f>+T75-VLOOKUP(Dulieu!$C$47&amp;"_PRE_M",Dulieu!$C$88:$Y$400,18,FALSE)</f>
        <v>#VALUE!</v>
      </c>
      <c r="U76" s="40" t="e">
        <f>+U75-VLOOKUP(Dulieu!$C$47&amp;"_PRE_M",Dulieu!$C$88:$Y$400,19,FALSE)</f>
        <v>#VALUE!</v>
      </c>
      <c r="V76" s="40" t="e">
        <f>+V75-VLOOKUP(Dulieu!$C$47&amp;"_PRE_M",Dulieu!$C$88:$Y$400,20,FALSE)</f>
        <v>#VALUE!</v>
      </c>
      <c r="W76" s="40" t="e">
        <f>+W75-VLOOKUP(Dulieu!$C$47&amp;"_PRE_M",Dulieu!$C$88:$Y$400,21,FALSE)</f>
        <v>#VALUE!</v>
      </c>
      <c r="X76" s="40" t="e">
        <f>+X75-VLOOKUP(Dulieu!$C$47&amp;"_PRE_M",Dulieu!$C$88:$Y$400,22,FALSE)</f>
        <v>#VALUE!</v>
      </c>
      <c r="Y76" s="40" t="e">
        <f>+Y75-VLOOKUP(Dulieu!$C$47&amp;"_PRE_M",Dulieu!$C$88:$Y$400,23,FALSE)</f>
        <v>#VALUE!</v>
      </c>
    </row>
    <row r="77" spans="1:25" s="41" customFormat="1" ht="12" x14ac:dyDescent="0.2">
      <c r="A77" s="38"/>
      <c r="B77" s="39" t="s">
        <v>839</v>
      </c>
      <c r="C77" s="40" t="e">
        <f t="shared" si="25"/>
        <v>#VALUE!</v>
      </c>
      <c r="D77" s="40" t="e">
        <f>+D75-VLOOKUP(Dulieu!$C$47&amp;"_PRE_Y",Dulieu!$C$88:$N$400,2,FALSE)</f>
        <v>#VALUE!</v>
      </c>
      <c r="E77" s="40" t="e">
        <f>+E75-VLOOKUP(Dulieu!$C$47&amp;"_PRE_Y",Dulieu!$C$88:$N$400,3,FALSE)</f>
        <v>#VALUE!</v>
      </c>
      <c r="F77" s="40" t="e">
        <f>+F75-VLOOKUP(Dulieu!$C$47&amp;"_PRE_Y",Dulieu!$C$88:$N$400,4,FALSE)</f>
        <v>#VALUE!</v>
      </c>
      <c r="G77" s="40" t="e">
        <f>+G75-VLOOKUP(Dulieu!$C$47&amp;"_PRE_Y",Dulieu!$C$88:$N$400,5,FALSE)</f>
        <v>#VALUE!</v>
      </c>
      <c r="H77" s="40" t="e">
        <f>+H75-VLOOKUP(Dulieu!$C$47&amp;"_PRE_Y",Dulieu!$C$88:$N$400,6,FALSE)</f>
        <v>#VALUE!</v>
      </c>
      <c r="I77" s="40" t="e">
        <f>+I75-VLOOKUP(Dulieu!$C$47&amp;"_PRE_Y",Dulieu!$C$88:$N$400,7,FALSE)</f>
        <v>#VALUE!</v>
      </c>
      <c r="J77" s="40" t="e">
        <f>+J75-VLOOKUP(Dulieu!$C$47&amp;"_PRE_Y",Dulieu!$C$88:$N$400,8,FALSE)</f>
        <v>#VALUE!</v>
      </c>
      <c r="K77" s="40" t="e">
        <f>+K75-VLOOKUP(Dulieu!$C$47&amp;"_PRE_Y",Dulieu!$C$88:$N$400,9,FALSE)</f>
        <v>#VALUE!</v>
      </c>
      <c r="L77" s="40" t="e">
        <f>+L75-VLOOKUP(Dulieu!$C$47&amp;"_PRE_Y",Dulieu!$C$88:$N$400,10,FALSE)</f>
        <v>#VALUE!</v>
      </c>
      <c r="M77" s="40" t="e">
        <f>+M75-VLOOKUP(Dulieu!$C$47&amp;"_PRE_Y",Dulieu!$C$88:$N$400,11,FALSE)</f>
        <v>#VALUE!</v>
      </c>
      <c r="N77" s="40" t="e">
        <f>+N75-VLOOKUP(Dulieu!$C$47&amp;"_PRE_Y",Dulieu!$C$88:$N$400,12,FALSE)</f>
        <v>#VALUE!</v>
      </c>
      <c r="O77" s="40" t="e">
        <f>+O75-VLOOKUP(Dulieu!$C$47&amp;"_PRE_Y",Dulieu!$C$88:$Y$400,13,FALSE)</f>
        <v>#VALUE!</v>
      </c>
      <c r="P77" s="40" t="e">
        <f>+P75-VLOOKUP(Dulieu!$C$47&amp;"_PRE_Y",Dulieu!$C$88:$Y$400,14,FALSE)</f>
        <v>#VALUE!</v>
      </c>
      <c r="Q77" s="40" t="e">
        <f>+Q75-VLOOKUP(Dulieu!$C$47&amp;"_PRE_Y",Dulieu!$C$88:$Y$400,15,FALSE)</f>
        <v>#VALUE!</v>
      </c>
      <c r="R77" s="40" t="e">
        <f>+R75-VLOOKUP(Dulieu!$C$47&amp;"_PRE_Y",Dulieu!$C$88:$Y$400,16,FALSE)</f>
        <v>#VALUE!</v>
      </c>
      <c r="S77" s="40" t="e">
        <f>+S75-VLOOKUP(Dulieu!$C$47&amp;"_PRE_Y",Dulieu!$C$88:$Y$400,17,FALSE)</f>
        <v>#VALUE!</v>
      </c>
      <c r="T77" s="40" t="e">
        <f>+T75-VLOOKUP(Dulieu!$C$47&amp;"_PRE_Y",Dulieu!$C$88:$Y$400,18,FALSE)</f>
        <v>#VALUE!</v>
      </c>
      <c r="U77" s="40" t="e">
        <f>+U75-VLOOKUP(Dulieu!$C$47&amp;"_PRE_Y",Dulieu!$C$88:$Y$400,19,FALSE)</f>
        <v>#VALUE!</v>
      </c>
      <c r="V77" s="40" t="e">
        <f>+V75-VLOOKUP(Dulieu!$C$47&amp;"_PRE_Y",Dulieu!$C$88:$Y$400,20,FALSE)</f>
        <v>#VALUE!</v>
      </c>
      <c r="W77" s="40" t="e">
        <f>+W75-VLOOKUP(Dulieu!$C$47&amp;"_PRE_Y",Dulieu!$C$88:$Y$400,21,FALSE)</f>
        <v>#VALUE!</v>
      </c>
      <c r="X77" s="40" t="e">
        <f>+X75-VLOOKUP(Dulieu!$C$47&amp;"_PRE_Y",Dulieu!$C$88:$Y$400,22,FALSE)</f>
        <v>#VALUE!</v>
      </c>
      <c r="Y77" s="40" t="e">
        <f>+Y75-VLOOKUP(Dulieu!$C$47&amp;"_PRE_Y",Dulieu!$C$88:$Y$400,23,FALSE)</f>
        <v>#VALUE!</v>
      </c>
    </row>
    <row r="78" spans="1:25" s="32" customFormat="1" ht="12" x14ac:dyDescent="0.2">
      <c r="A78" s="42"/>
      <c r="B78" s="43" t="s">
        <v>42</v>
      </c>
      <c r="C78" s="44">
        <f t="shared" si="25"/>
        <v>0</v>
      </c>
      <c r="D78" s="44" t="str">
        <f>+Dulieu!D48</f>
        <v>${DN_CTR_QD_NV_191901.D2}</v>
      </c>
      <c r="E78" s="44" t="str">
        <f>+Dulieu!E48</f>
        <v>${DN_CTR_QD_NV_191901.D11}</v>
      </c>
      <c r="F78" s="44" t="str">
        <f>+Dulieu!F48</f>
        <v>${DN_CTR_QD_NV_191901.D4}</v>
      </c>
      <c r="G78" s="44" t="str">
        <f>+Dulieu!G48</f>
        <v>${DN_CTR_QD_NV_191901.D6}</v>
      </c>
      <c r="H78" s="44" t="str">
        <f>+Dulieu!H48</f>
        <v>${DN_CTR_QD_NV_191901.D8}</v>
      </c>
      <c r="I78" s="44" t="str">
        <f>+Dulieu!I48</f>
        <v>${DN_CTR_QD_NV_191901.D9}</v>
      </c>
      <c r="J78" s="44" t="str">
        <f>+Dulieu!J48</f>
        <v>${DN_CTR_QD_NV_191901.D3}</v>
      </c>
      <c r="K78" s="44" t="str">
        <f>+Dulieu!K48</f>
        <v>${DN_CTR_QD_NV_191901.D10}</v>
      </c>
      <c r="L78" s="44" t="str">
        <f>+Dulieu!L48</f>
        <v>${DN_CTR_QD_NV_191901.D5}</v>
      </c>
      <c r="M78" s="44" t="str">
        <f>+Dulieu!M48</f>
        <v>${DN_CTR_QD_NV_191901.D7}</v>
      </c>
      <c r="N78" s="44" t="str">
        <f>+Dulieu!N48</f>
        <v>${DN_CTR_QD_NV_191901.D12}</v>
      </c>
      <c r="O78" s="44" t="str">
        <f>+Dulieu!O48</f>
        <v>${DN_CTR_QD_NV_191901.D13}</v>
      </c>
      <c r="P78" s="44" t="str">
        <f>+Dulieu!P48</f>
        <v>${DN_CTR_QD_NV_191901.D14}</v>
      </c>
      <c r="Q78" s="44" t="str">
        <f>+Dulieu!Q48</f>
        <v>${DN_CTR_QD_NV_191901.D15}</v>
      </c>
      <c r="R78" s="44" t="str">
        <f>+Dulieu!R48</f>
        <v>${DN_CTR_QD_NV_191901.D16}</v>
      </c>
      <c r="S78" s="44" t="str">
        <f>+Dulieu!S48</f>
        <v>${DN_CTR_QD_NV_191901.D17}</v>
      </c>
      <c r="T78" s="44" t="str">
        <f>+Dulieu!T48</f>
        <v>${DN_CTR_QD_NV_191901.D18}</v>
      </c>
      <c r="U78" s="44" t="str">
        <f>+Dulieu!U48</f>
        <v>${DN_CTR_QD_NV_191901.D19}</v>
      </c>
      <c r="V78" s="44" t="str">
        <f>+Dulieu!V48</f>
        <v>${DN_CTR_QD_NV_191901.D20}</v>
      </c>
      <c r="W78" s="44" t="str">
        <f>+Dulieu!W48</f>
        <v>${DN_CTR_QD_NV_191901.D21}</v>
      </c>
      <c r="X78" s="44" t="str">
        <f>+Dulieu!X48</f>
        <v>${DN_CTR_QD_NV_191901.D22}</v>
      </c>
      <c r="Y78" s="44" t="str">
        <f>+Dulieu!Y48</f>
        <v>${DN_CTR_QD_NV_191901.D23}</v>
      </c>
    </row>
    <row r="79" spans="1:25" s="32" customFormat="1" ht="12" x14ac:dyDescent="0.2">
      <c r="A79" s="42"/>
      <c r="B79" s="43" t="s">
        <v>43</v>
      </c>
      <c r="C79" s="44">
        <f t="shared" si="25"/>
        <v>0</v>
      </c>
      <c r="D79" s="44" t="str">
        <f>+Dulieu!D49</f>
        <v>${DN_CTR_QD_NV_191902.D2}</v>
      </c>
      <c r="E79" s="44" t="str">
        <f>+Dulieu!E49</f>
        <v>${DN_CTR_QD_NV_191902.D11}</v>
      </c>
      <c r="F79" s="44" t="str">
        <f>+Dulieu!F49</f>
        <v>${DN_CTR_QD_NV_191902.D4}</v>
      </c>
      <c r="G79" s="44" t="str">
        <f>+Dulieu!G49</f>
        <v>${DN_CTR_QD_NV_191902.D6}</v>
      </c>
      <c r="H79" s="44" t="str">
        <f>+Dulieu!H49</f>
        <v>${DN_CTR_QD_NV_191902.D8}</v>
      </c>
      <c r="I79" s="44" t="str">
        <f>+Dulieu!I49</f>
        <v>${DN_CTR_QD_NV_191902.D9}</v>
      </c>
      <c r="J79" s="44" t="str">
        <f>+Dulieu!J49</f>
        <v>${DN_CTR_QD_NV_191902.D3}</v>
      </c>
      <c r="K79" s="44" t="str">
        <f>+Dulieu!K49</f>
        <v>${DN_CTR_QD_NV_191902.D10}</v>
      </c>
      <c r="L79" s="44" t="str">
        <f>+Dulieu!L49</f>
        <v>${DN_CTR_QD_NV_191902.D5}</v>
      </c>
      <c r="M79" s="44" t="str">
        <f>+Dulieu!M49</f>
        <v>${DN_CTR_QD_NV_191902.D7}</v>
      </c>
      <c r="N79" s="44" t="str">
        <f>+Dulieu!N49</f>
        <v>${DN_CTR_QD_NV_191902.D12}</v>
      </c>
      <c r="O79" s="44" t="str">
        <f>+Dulieu!O49</f>
        <v>${DN_CTR_QD_NV_191902.D13}</v>
      </c>
      <c r="P79" s="44" t="str">
        <f>+Dulieu!P49</f>
        <v>${DN_CTR_QD_NV_191902.D14}</v>
      </c>
      <c r="Q79" s="44" t="str">
        <f>+Dulieu!Q49</f>
        <v>${DN_CTR_QD_NV_191902.D15}</v>
      </c>
      <c r="R79" s="44" t="str">
        <f>+Dulieu!R49</f>
        <v>${DN_CTR_QD_NV_191902.D16}</v>
      </c>
      <c r="S79" s="44" t="str">
        <f>+Dulieu!S49</f>
        <v>${DN_CTR_QD_NV_191902.D17}</v>
      </c>
      <c r="T79" s="44" t="str">
        <f>+Dulieu!T49</f>
        <v>${DN_CTR_QD_NV_191902.D18}</v>
      </c>
      <c r="U79" s="44" t="str">
        <f>+Dulieu!U49</f>
        <v>${DN_CTR_QD_NV_191902.D19}</v>
      </c>
      <c r="V79" s="44" t="str">
        <f>+Dulieu!V49</f>
        <v>${DN_CTR_QD_NV_191902.D20}</v>
      </c>
      <c r="W79" s="44" t="str">
        <f>+Dulieu!W49</f>
        <v>${DN_CTR_QD_NV_191902.D21}</v>
      </c>
      <c r="X79" s="44" t="str">
        <f>+Dulieu!X49</f>
        <v>${DN_CTR_QD_NV_191902.D22}</v>
      </c>
      <c r="Y79" s="44" t="str">
        <f>+Dulieu!Y49</f>
        <v>${DN_CTR_QD_NV_191902.D23}</v>
      </c>
    </row>
    <row r="80" spans="1:25" s="32" customFormat="1" ht="12" x14ac:dyDescent="0.2">
      <c r="A80" s="42"/>
      <c r="B80" s="43" t="s">
        <v>842</v>
      </c>
      <c r="C80" s="44">
        <f t="shared" si="25"/>
        <v>0</v>
      </c>
      <c r="D80" s="44">
        <f>+IFERROR(VLOOKUP(Dulieu!$C$49&amp;"T",Dulieu!$C$88:$N$400,2,FALSE),0)</f>
        <v>0</v>
      </c>
      <c r="E80" s="44">
        <f>+IFERROR(VLOOKUP(Dulieu!$C$49&amp;"T",Dulieu!$C$88:$N$400,3,FALSE),0)</f>
        <v>0</v>
      </c>
      <c r="F80" s="44">
        <f>+IFERROR(VLOOKUP(Dulieu!$C$49&amp;"T",Dulieu!$C$88:$N$400,4,FALSE),0)</f>
        <v>0</v>
      </c>
      <c r="G80" s="44">
        <f>+IFERROR(VLOOKUP(Dulieu!$C$49&amp;"T",Dulieu!$C$88:$N$400,5,FALSE),0)</f>
        <v>0</v>
      </c>
      <c r="H80" s="44">
        <f>+IFERROR(VLOOKUP(Dulieu!$C$49&amp;"T",Dulieu!$C$88:$N$400,6,FALSE),0)</f>
        <v>0</v>
      </c>
      <c r="I80" s="44">
        <f>+IFERROR(VLOOKUP(Dulieu!$C$49&amp;"T",Dulieu!$C$88:$N$400,7,FALSE),0)</f>
        <v>0</v>
      </c>
      <c r="J80" s="44">
        <f>+IFERROR(VLOOKUP(Dulieu!$C$49&amp;"T",Dulieu!$C$88:$N$400,8,FALSE),0)</f>
        <v>0</v>
      </c>
      <c r="K80" s="44">
        <f>+IFERROR(VLOOKUP(Dulieu!$C$49&amp;"T",Dulieu!$C$88:$N$400,9,FALSE),0)</f>
        <v>0</v>
      </c>
      <c r="L80" s="44">
        <f>+IFERROR(VLOOKUP(Dulieu!$C$49&amp;"T",Dulieu!$C$88:$N$400,10,FALSE),0)</f>
        <v>0</v>
      </c>
      <c r="M80" s="44">
        <f>+IFERROR(VLOOKUP(Dulieu!$C$49&amp;"T",Dulieu!$C$88:$N$400,11,FALSE),0)</f>
        <v>0</v>
      </c>
      <c r="N80" s="44">
        <f>+IFERROR(VLOOKUP(Dulieu!$C$49&amp;"T",Dulieu!$C$88:$N$400,12,FALSE),0)</f>
        <v>0</v>
      </c>
      <c r="O80" s="44">
        <f>+IFERROR(VLOOKUP(Dulieu!$C$49&amp;"T",Dulieu!$C$88:$Y$400,13,FALSE),0)</f>
        <v>0</v>
      </c>
      <c r="P80" s="44">
        <f>+IFERROR(VLOOKUP(Dulieu!$C$49&amp;"T",Dulieu!$C$88:$Y$400,14,FALSE),0)</f>
        <v>0</v>
      </c>
      <c r="Q80" s="44">
        <f>+IFERROR(VLOOKUP(Dulieu!$C$49&amp;"T",Dulieu!$C$88:$Y$400,15,FALSE),0)</f>
        <v>0</v>
      </c>
      <c r="R80" s="44">
        <f>+IFERROR(VLOOKUP(Dulieu!$C$49&amp;"T",Dulieu!$C$88:$Y$400,16,FALSE),0)</f>
        <v>0</v>
      </c>
      <c r="S80" s="44">
        <f>+IFERROR(VLOOKUP(Dulieu!$C$49&amp;"T",Dulieu!$C$88:$Y$400,17,FALSE),0)</f>
        <v>0</v>
      </c>
      <c r="T80" s="44">
        <f>+IFERROR(VLOOKUP(Dulieu!$C$49&amp;"T",Dulieu!$C$88:$Y$400,18,FALSE),0)</f>
        <v>0</v>
      </c>
      <c r="U80" s="44">
        <f>+IFERROR(VLOOKUP(Dulieu!$C$49&amp;"T",Dulieu!$C$88:$Y$400,19,FALSE),0)</f>
        <v>0</v>
      </c>
      <c r="V80" s="44">
        <f>+IFERROR(VLOOKUP(Dulieu!$C$49&amp;"T",Dulieu!$C$88:$Y$400,20,FALSE),0)</f>
        <v>0</v>
      </c>
      <c r="W80" s="44">
        <f>+IFERROR(VLOOKUP(Dulieu!$C$49&amp;"T",Dulieu!$C$88:$Y$400,21,FALSE),0)</f>
        <v>0</v>
      </c>
      <c r="X80" s="44">
        <f>+IFERROR(VLOOKUP(Dulieu!$C$49&amp;"T",Dulieu!$C$88:$Y$400,22,FALSE),0)</f>
        <v>0</v>
      </c>
      <c r="Y80" s="44">
        <f>+IFERROR(VLOOKUP(Dulieu!$C$49&amp;"T",Dulieu!$C$88:$Y$400,23,FALSE),0)</f>
        <v>0</v>
      </c>
    </row>
    <row r="81" spans="1:25" s="32" customFormat="1" ht="12" x14ac:dyDescent="0.2">
      <c r="A81" s="42"/>
      <c r="B81" s="43" t="s">
        <v>843</v>
      </c>
      <c r="C81" s="44" t="e">
        <f t="shared" si="25"/>
        <v>#VALUE!</v>
      </c>
      <c r="D81" s="44" t="e">
        <f>+D79-D80</f>
        <v>#VALUE!</v>
      </c>
      <c r="E81" s="44" t="e">
        <f t="shared" ref="E81:N81" si="28">+E79-E80</f>
        <v>#VALUE!</v>
      </c>
      <c r="F81" s="44" t="e">
        <f t="shared" si="28"/>
        <v>#VALUE!</v>
      </c>
      <c r="G81" s="44" t="e">
        <f t="shared" si="28"/>
        <v>#VALUE!</v>
      </c>
      <c r="H81" s="44" t="e">
        <f t="shared" si="28"/>
        <v>#VALUE!</v>
      </c>
      <c r="I81" s="44" t="e">
        <f t="shared" si="28"/>
        <v>#VALUE!</v>
      </c>
      <c r="J81" s="44" t="e">
        <f t="shared" si="28"/>
        <v>#VALUE!</v>
      </c>
      <c r="K81" s="44" t="e">
        <f t="shared" si="28"/>
        <v>#VALUE!</v>
      </c>
      <c r="L81" s="44" t="e">
        <f t="shared" si="28"/>
        <v>#VALUE!</v>
      </c>
      <c r="M81" s="44" t="e">
        <f t="shared" si="28"/>
        <v>#VALUE!</v>
      </c>
      <c r="N81" s="44" t="e">
        <f t="shared" si="28"/>
        <v>#VALUE!</v>
      </c>
      <c r="O81" s="44" t="e">
        <f t="shared" ref="O81:Y81" si="29">+O79-O80</f>
        <v>#VALUE!</v>
      </c>
      <c r="P81" s="44" t="e">
        <f t="shared" si="29"/>
        <v>#VALUE!</v>
      </c>
      <c r="Q81" s="44" t="e">
        <f t="shared" si="29"/>
        <v>#VALUE!</v>
      </c>
      <c r="R81" s="44" t="e">
        <f t="shared" si="29"/>
        <v>#VALUE!</v>
      </c>
      <c r="S81" s="44" t="e">
        <f t="shared" si="29"/>
        <v>#VALUE!</v>
      </c>
      <c r="T81" s="44" t="e">
        <f t="shared" si="29"/>
        <v>#VALUE!</v>
      </c>
      <c r="U81" s="44" t="e">
        <f t="shared" si="29"/>
        <v>#VALUE!</v>
      </c>
      <c r="V81" s="44" t="e">
        <f t="shared" si="29"/>
        <v>#VALUE!</v>
      </c>
      <c r="W81" s="44" t="e">
        <f t="shared" si="29"/>
        <v>#VALUE!</v>
      </c>
      <c r="X81" s="44" t="e">
        <f t="shared" si="29"/>
        <v>#VALUE!</v>
      </c>
      <c r="Y81" s="44" t="e">
        <f t="shared" si="29"/>
        <v>#VALUE!</v>
      </c>
    </row>
    <row r="82" spans="1:25" s="37" customFormat="1" ht="12" x14ac:dyDescent="0.2">
      <c r="A82" s="34">
        <v>3</v>
      </c>
      <c r="B82" s="35" t="s">
        <v>45</v>
      </c>
      <c r="C82" s="36">
        <f t="shared" si="25"/>
        <v>0</v>
      </c>
      <c r="D82" s="36" t="str">
        <f>+Dulieu!D50</f>
        <v>${DN_CTR_QD_0922.D2}</v>
      </c>
      <c r="E82" s="36" t="str">
        <f>+Dulieu!E50</f>
        <v>${DN_CTR_QD_0922.D11}</v>
      </c>
      <c r="F82" s="36" t="str">
        <f>+Dulieu!F50</f>
        <v>${DN_CTR_QD_0922.D4}</v>
      </c>
      <c r="G82" s="36" t="str">
        <f>+Dulieu!G50</f>
        <v>${DN_CTR_QD_0922.D6}</v>
      </c>
      <c r="H82" s="36" t="str">
        <f>+Dulieu!H50</f>
        <v>${DN_CTR_QD_0922.D8}</v>
      </c>
      <c r="I82" s="36" t="str">
        <f>+Dulieu!I50</f>
        <v>${DN_CTR_QD_0922.D9}</v>
      </c>
      <c r="J82" s="36" t="str">
        <f>+Dulieu!J50</f>
        <v>${DN_CTR_QD_0922.D3}</v>
      </c>
      <c r="K82" s="36" t="str">
        <f>+Dulieu!K50</f>
        <v>${DN_CTR_QD_0922.D10}</v>
      </c>
      <c r="L82" s="36" t="str">
        <f>+Dulieu!L50</f>
        <v>${DN_CTR_QD_0922.D5}</v>
      </c>
      <c r="M82" s="36" t="str">
        <f>+Dulieu!M50</f>
        <v>${DN_CTR_QD_0922.D7}</v>
      </c>
      <c r="N82" s="36" t="str">
        <f>+Dulieu!N50</f>
        <v>${DN_CTR_QD_0922.D12}</v>
      </c>
      <c r="O82" s="36" t="str">
        <f>+Dulieu!O50</f>
        <v>${DN_CTR_QD_0922.D13}</v>
      </c>
      <c r="P82" s="36" t="str">
        <f>+Dulieu!P50</f>
        <v>${DN_CTR_QD_0922.D14}</v>
      </c>
      <c r="Q82" s="36" t="str">
        <f>+Dulieu!Q50</f>
        <v>${DN_CTR_QD_0922.D15}</v>
      </c>
      <c r="R82" s="36" t="str">
        <f>+Dulieu!R50</f>
        <v>${DN_CTR_QD_0922.D16}</v>
      </c>
      <c r="S82" s="36" t="str">
        <f>+Dulieu!S50</f>
        <v>${DN_CTR_QD_0922.D17}</v>
      </c>
      <c r="T82" s="36" t="str">
        <f>+Dulieu!T50</f>
        <v>${DN_CTR_QD_0922.D18}</v>
      </c>
      <c r="U82" s="36" t="str">
        <f>+Dulieu!U50</f>
        <v>${DN_CTR_QD_0922.D19}</v>
      </c>
      <c r="V82" s="36" t="str">
        <f>+Dulieu!V50</f>
        <v>${DN_CTR_QD_0922.D20}</v>
      </c>
      <c r="W82" s="36" t="str">
        <f>+Dulieu!W50</f>
        <v>${DN_CTR_QD_0922.D21}</v>
      </c>
      <c r="X82" s="36" t="str">
        <f>+Dulieu!X50</f>
        <v>${DN_CTR_QD_0922.D22}</v>
      </c>
      <c r="Y82" s="36" t="str">
        <f>+Dulieu!Y50</f>
        <v>${DN_CTR_QD_0922.D23}</v>
      </c>
    </row>
    <row r="83" spans="1:25" s="41" customFormat="1" ht="12" x14ac:dyDescent="0.2">
      <c r="A83" s="38"/>
      <c r="B83" s="39" t="s">
        <v>838</v>
      </c>
      <c r="C83" s="40" t="e">
        <f t="shared" si="25"/>
        <v>#VALUE!</v>
      </c>
      <c r="D83" s="40" t="e">
        <f>+D82-VLOOKUP(Dulieu!$C$50&amp;"_PRE_M",Dulieu!$C$88:$N$400,2,FALSE)</f>
        <v>#VALUE!</v>
      </c>
      <c r="E83" s="40" t="e">
        <f>+E82-VLOOKUP(Dulieu!$C$50&amp;"_PRE_M",Dulieu!$C$88:$N$400,3,FALSE)</f>
        <v>#VALUE!</v>
      </c>
      <c r="F83" s="40" t="e">
        <f>+F82-VLOOKUP(Dulieu!$C$50&amp;"_PRE_M",Dulieu!$C$88:$N$400,4,FALSE)</f>
        <v>#VALUE!</v>
      </c>
      <c r="G83" s="40" t="e">
        <f>+G82-VLOOKUP(Dulieu!$C$50&amp;"_PRE_M",Dulieu!$C$88:$N$400,5,FALSE)</f>
        <v>#VALUE!</v>
      </c>
      <c r="H83" s="40" t="e">
        <f>+H82-VLOOKUP(Dulieu!$C$50&amp;"_PRE_M",Dulieu!$C$88:$N$400,6,FALSE)</f>
        <v>#VALUE!</v>
      </c>
      <c r="I83" s="40" t="e">
        <f>+I82-VLOOKUP(Dulieu!$C$50&amp;"_PRE_M",Dulieu!$C$88:$N$400,7,FALSE)</f>
        <v>#VALUE!</v>
      </c>
      <c r="J83" s="40" t="e">
        <f>+J82-VLOOKUP(Dulieu!$C$50&amp;"_PRE_M",Dulieu!$C$88:$N$400,8,FALSE)</f>
        <v>#VALUE!</v>
      </c>
      <c r="K83" s="40" t="e">
        <f>+K82-VLOOKUP(Dulieu!$C$50&amp;"_PRE_M",Dulieu!$C$88:$N$400,9,FALSE)</f>
        <v>#VALUE!</v>
      </c>
      <c r="L83" s="40" t="e">
        <f>+L82-VLOOKUP(Dulieu!$C$50&amp;"_PRE_M",Dulieu!$C$88:$N$400,10,FALSE)</f>
        <v>#VALUE!</v>
      </c>
      <c r="M83" s="40" t="e">
        <f>+M82-VLOOKUP(Dulieu!$C$50&amp;"_PRE_M",Dulieu!$C$88:$N$400,11,FALSE)</f>
        <v>#VALUE!</v>
      </c>
      <c r="N83" s="40" t="e">
        <f>+N82-VLOOKUP(Dulieu!$C$50&amp;"_PRE_M",Dulieu!$C$88:$N$400,12,FALSE)</f>
        <v>#VALUE!</v>
      </c>
      <c r="O83" s="40" t="e">
        <f>+O82-VLOOKUP(Dulieu!$C$50&amp;"_PRE_M",Dulieu!$C$88:$Y$400,13,FALSE)</f>
        <v>#VALUE!</v>
      </c>
      <c r="P83" s="40" t="e">
        <f>+P82-VLOOKUP(Dulieu!$C$50&amp;"_PRE_M",Dulieu!$C$88:$Y$400,14,FALSE)</f>
        <v>#VALUE!</v>
      </c>
      <c r="Q83" s="40" t="e">
        <f>+Q82-VLOOKUP(Dulieu!$C$50&amp;"_PRE_M",Dulieu!$C$88:$Y$400,15,FALSE)</f>
        <v>#VALUE!</v>
      </c>
      <c r="R83" s="40" t="e">
        <f>+R82-VLOOKUP(Dulieu!$C$50&amp;"_PRE_M",Dulieu!$C$88:$Y$400,16,FALSE)</f>
        <v>#VALUE!</v>
      </c>
      <c r="S83" s="40" t="e">
        <f>+S82-VLOOKUP(Dulieu!$C$50&amp;"_PRE_M",Dulieu!$C$88:$Y$400,17,FALSE)</f>
        <v>#VALUE!</v>
      </c>
      <c r="T83" s="40" t="e">
        <f>+T82-VLOOKUP(Dulieu!$C$50&amp;"_PRE_M",Dulieu!$C$88:$Y$400,18,FALSE)</f>
        <v>#VALUE!</v>
      </c>
      <c r="U83" s="40" t="e">
        <f>+U82-VLOOKUP(Dulieu!$C$50&amp;"_PRE_M",Dulieu!$C$88:$Y$400,19,FALSE)</f>
        <v>#VALUE!</v>
      </c>
      <c r="V83" s="40" t="e">
        <f>+V82-VLOOKUP(Dulieu!$C$50&amp;"_PRE_M",Dulieu!$C$88:$Y$400,20,FALSE)</f>
        <v>#VALUE!</v>
      </c>
      <c r="W83" s="40" t="e">
        <f>+W82-VLOOKUP(Dulieu!$C$50&amp;"_PRE_M",Dulieu!$C$88:$Y$400,21,FALSE)</f>
        <v>#VALUE!</v>
      </c>
      <c r="X83" s="40" t="e">
        <f>+X82-VLOOKUP(Dulieu!$C$50&amp;"_PRE_M",Dulieu!$C$88:$Y$400,22,FALSE)</f>
        <v>#VALUE!</v>
      </c>
      <c r="Y83" s="40" t="e">
        <f>+Y82-VLOOKUP(Dulieu!$C$50&amp;"_PRE_M",Dulieu!$C$88:$Y$400,23,FALSE)</f>
        <v>#VALUE!</v>
      </c>
    </row>
    <row r="84" spans="1:25" s="41" customFormat="1" ht="12" x14ac:dyDescent="0.2">
      <c r="A84" s="38"/>
      <c r="B84" s="39" t="s">
        <v>839</v>
      </c>
      <c r="C84" s="40" t="e">
        <f t="shared" si="25"/>
        <v>#VALUE!</v>
      </c>
      <c r="D84" s="40" t="e">
        <f>+D82-VLOOKUP(Dulieu!$C$50&amp;"_PRE_Y",Dulieu!$C$88:$N$400,2,FALSE)</f>
        <v>#VALUE!</v>
      </c>
      <c r="E84" s="40" t="e">
        <f>+E82-VLOOKUP(Dulieu!$C$50&amp;"_PRE_Y",Dulieu!$C$88:$N$400,3,FALSE)</f>
        <v>#VALUE!</v>
      </c>
      <c r="F84" s="40" t="e">
        <f>+F82-VLOOKUP(Dulieu!$C$50&amp;"_PRE_Y",Dulieu!$C$88:$N$400,4,FALSE)</f>
        <v>#VALUE!</v>
      </c>
      <c r="G84" s="40" t="e">
        <f>+G82-VLOOKUP(Dulieu!$C$50&amp;"_PRE_Y",Dulieu!$C$88:$N$400,5,FALSE)</f>
        <v>#VALUE!</v>
      </c>
      <c r="H84" s="40" t="e">
        <f>+H82-VLOOKUP(Dulieu!$C$50&amp;"_PRE_Y",Dulieu!$C$88:$N$400,6,FALSE)</f>
        <v>#VALUE!</v>
      </c>
      <c r="I84" s="40" t="e">
        <f>+I82-VLOOKUP(Dulieu!$C$50&amp;"_PRE_Y",Dulieu!$C$88:$N$400,7,FALSE)</f>
        <v>#VALUE!</v>
      </c>
      <c r="J84" s="40" t="e">
        <f>+J82-VLOOKUP(Dulieu!$C$50&amp;"_PRE_Y",Dulieu!$C$88:$N$400,8,FALSE)</f>
        <v>#VALUE!</v>
      </c>
      <c r="K84" s="40" t="e">
        <f>+K82-VLOOKUP(Dulieu!$C$50&amp;"_PRE_Y",Dulieu!$C$88:$N$400,9,FALSE)</f>
        <v>#VALUE!</v>
      </c>
      <c r="L84" s="40" t="e">
        <f>+L82-VLOOKUP(Dulieu!$C$50&amp;"_PRE_Y",Dulieu!$C$88:$N$400,10,FALSE)</f>
        <v>#VALUE!</v>
      </c>
      <c r="M84" s="40" t="e">
        <f>+M82-VLOOKUP(Dulieu!$C$50&amp;"_PRE_Y",Dulieu!$C$88:$N$400,11,FALSE)</f>
        <v>#VALUE!</v>
      </c>
      <c r="N84" s="40" t="e">
        <f>+N82-VLOOKUP(Dulieu!$C$50&amp;"_PRE_Y",Dulieu!$C$88:$N$400,12,FALSE)</f>
        <v>#VALUE!</v>
      </c>
      <c r="O84" s="40" t="e">
        <f>+O82-VLOOKUP(Dulieu!$C$50&amp;"_PRE_Y",Dulieu!$C$88:$Y$400,13,FALSE)</f>
        <v>#VALUE!</v>
      </c>
      <c r="P84" s="40" t="e">
        <f>+P82-VLOOKUP(Dulieu!$C$50&amp;"_PRE_Y",Dulieu!$C$88:$Y$400,14,FALSE)</f>
        <v>#VALUE!</v>
      </c>
      <c r="Q84" s="40" t="e">
        <f>+Q82-VLOOKUP(Dulieu!$C$50&amp;"_PRE_Y",Dulieu!$C$88:$Y$400,15,FALSE)</f>
        <v>#VALUE!</v>
      </c>
      <c r="R84" s="40" t="e">
        <f>+R82-VLOOKUP(Dulieu!$C$50&amp;"_PRE_Y",Dulieu!$C$88:$Y$400,16,FALSE)</f>
        <v>#VALUE!</v>
      </c>
      <c r="S84" s="40" t="e">
        <f>+S82-VLOOKUP(Dulieu!$C$50&amp;"_PRE_Y",Dulieu!$C$88:$Y$400,17,FALSE)</f>
        <v>#VALUE!</v>
      </c>
      <c r="T84" s="40" t="e">
        <f>+T82-VLOOKUP(Dulieu!$C$50&amp;"_PRE_Y",Dulieu!$C$88:$Y$400,18,FALSE)</f>
        <v>#VALUE!</v>
      </c>
      <c r="U84" s="40" t="e">
        <f>+U82-VLOOKUP(Dulieu!$C$50&amp;"_PRE_Y",Dulieu!$C$88:$Y$400,19,FALSE)</f>
        <v>#VALUE!</v>
      </c>
      <c r="V84" s="40" t="e">
        <f>+V82-VLOOKUP(Dulieu!$C$50&amp;"_PRE_Y",Dulieu!$C$88:$Y$400,20,FALSE)</f>
        <v>#VALUE!</v>
      </c>
      <c r="W84" s="40" t="e">
        <f>+W82-VLOOKUP(Dulieu!$C$50&amp;"_PRE_Y",Dulieu!$C$88:$Y$400,21,FALSE)</f>
        <v>#VALUE!</v>
      </c>
      <c r="X84" s="40" t="e">
        <f>+X82-VLOOKUP(Dulieu!$C$50&amp;"_PRE_Y",Dulieu!$C$88:$Y$400,22,FALSE)</f>
        <v>#VALUE!</v>
      </c>
      <c r="Y84" s="40" t="e">
        <f>+Y82-VLOOKUP(Dulieu!$C$50&amp;"_PRE_Y",Dulieu!$C$88:$Y$400,23,FALSE)</f>
        <v>#VALUE!</v>
      </c>
    </row>
    <row r="85" spans="1:25" s="32" customFormat="1" ht="12" x14ac:dyDescent="0.2">
      <c r="A85" s="42"/>
      <c r="B85" s="43" t="s">
        <v>42</v>
      </c>
      <c r="C85" s="44">
        <f t="shared" si="25"/>
        <v>0</v>
      </c>
      <c r="D85" s="44" t="str">
        <f>+Dulieu!D51</f>
        <v>${DN_CTR_QD_NV_092201.D2}</v>
      </c>
      <c r="E85" s="44" t="str">
        <f>+Dulieu!E51</f>
        <v>${DN_CTR_QD_NV_092201.D11}</v>
      </c>
      <c r="F85" s="44" t="str">
        <f>+Dulieu!F51</f>
        <v>${DN_CTR_QD_NV_092201.D4}</v>
      </c>
      <c r="G85" s="44" t="str">
        <f>+Dulieu!G51</f>
        <v>${DN_CTR_QD_NV_092201.D6}</v>
      </c>
      <c r="H85" s="44" t="str">
        <f>+Dulieu!H51</f>
        <v>${DN_CTR_QD_NV_092201.D8}</v>
      </c>
      <c r="I85" s="44" t="str">
        <f>+Dulieu!I51</f>
        <v>${DN_CTR_QD_NV_092201.D9}</v>
      </c>
      <c r="J85" s="44" t="str">
        <f>+Dulieu!J51</f>
        <v>${DN_CTR_QD_NV_092201.D3}</v>
      </c>
      <c r="K85" s="44" t="str">
        <f>+Dulieu!K51</f>
        <v>${DN_CTR_QD_NV_092201.D10}</v>
      </c>
      <c r="L85" s="44" t="str">
        <f>+Dulieu!L51</f>
        <v>${DN_CTR_QD_NV_092201.D5}</v>
      </c>
      <c r="M85" s="44" t="str">
        <f>+Dulieu!M51</f>
        <v>${DN_CTR_QD_NV_092201.D7}</v>
      </c>
      <c r="N85" s="44" t="str">
        <f>+Dulieu!N51</f>
        <v>${DN_CTR_QD_NV_092201.D12}</v>
      </c>
      <c r="O85" s="44" t="str">
        <f>+Dulieu!O51</f>
        <v>${DN_CTR_QD_NV_092201.D13}</v>
      </c>
      <c r="P85" s="44" t="str">
        <f>+Dulieu!P51</f>
        <v>${DN_CTR_QD_NV_092201.D14}</v>
      </c>
      <c r="Q85" s="44" t="str">
        <f>+Dulieu!Q51</f>
        <v>${DN_CTR_QD_NV_092201.D15}</v>
      </c>
      <c r="R85" s="44" t="str">
        <f>+Dulieu!R51</f>
        <v>${DN_CTR_QD_NV_092201.D16}</v>
      </c>
      <c r="S85" s="44" t="str">
        <f>+Dulieu!S51</f>
        <v>${DN_CTR_QD_NV_092201.D17}</v>
      </c>
      <c r="T85" s="44" t="str">
        <f>+Dulieu!T51</f>
        <v>${DN_CTR_QD_NV_092201.D18}</v>
      </c>
      <c r="U85" s="44" t="str">
        <f>+Dulieu!U51</f>
        <v>${DN_CTR_QD_NV_092201.D19}</v>
      </c>
      <c r="V85" s="44" t="str">
        <f>+Dulieu!V51</f>
        <v>${DN_CTR_QD_NV_092201.D20}</v>
      </c>
      <c r="W85" s="44" t="str">
        <f>+Dulieu!W51</f>
        <v>${DN_CTR_QD_NV_092201.D21}</v>
      </c>
      <c r="X85" s="44" t="str">
        <f>+Dulieu!X51</f>
        <v>${DN_CTR_QD_NV_092201.D22}</v>
      </c>
      <c r="Y85" s="44" t="str">
        <f>+Dulieu!Y51</f>
        <v>${DN_CTR_QD_NV_092201.D23}</v>
      </c>
    </row>
    <row r="86" spans="1:25" s="32" customFormat="1" ht="12" x14ac:dyDescent="0.2">
      <c r="A86" s="42"/>
      <c r="B86" s="43" t="s">
        <v>43</v>
      </c>
      <c r="C86" s="44">
        <f t="shared" si="25"/>
        <v>0</v>
      </c>
      <c r="D86" s="44" t="str">
        <f>+Dulieu!D52</f>
        <v>${DN_CTR_QD_NV_092202.D2}</v>
      </c>
      <c r="E86" s="44" t="str">
        <f>+Dulieu!E52</f>
        <v>${DN_CTR_QD_NV_092202.D11}</v>
      </c>
      <c r="F86" s="44" t="str">
        <f>+Dulieu!F52</f>
        <v>${DN_CTR_QD_NV_092202.D4}</v>
      </c>
      <c r="G86" s="44" t="str">
        <f>+Dulieu!G52</f>
        <v>${DN_CTR_QD_NV_092202.D6}</v>
      </c>
      <c r="H86" s="44" t="str">
        <f>+Dulieu!H52</f>
        <v>${DN_CTR_QD_NV_092202.D8}</v>
      </c>
      <c r="I86" s="44" t="str">
        <f>+Dulieu!I52</f>
        <v>${DN_CTR_QD_NV_092202.D9}</v>
      </c>
      <c r="J86" s="44" t="str">
        <f>+Dulieu!J52</f>
        <v>${DN_CTR_QD_NV_092202.D3}</v>
      </c>
      <c r="K86" s="44" t="str">
        <f>+Dulieu!K52</f>
        <v>${DN_CTR_QD_NV_092202.D10}</v>
      </c>
      <c r="L86" s="44" t="str">
        <f>+Dulieu!L52</f>
        <v>${DN_CTR_QD_NV_092202.D5}</v>
      </c>
      <c r="M86" s="44" t="str">
        <f>+Dulieu!M52</f>
        <v>${DN_CTR_QD_NV_092202.D7}</v>
      </c>
      <c r="N86" s="44" t="str">
        <f>+Dulieu!N52</f>
        <v>${DN_CTR_QD_NV_092202.D12}</v>
      </c>
      <c r="O86" s="44" t="str">
        <f>+Dulieu!O52</f>
        <v>${DN_CTR_QD_NV_092202.D13}</v>
      </c>
      <c r="P86" s="44" t="str">
        <f>+Dulieu!P52</f>
        <v>${DN_CTR_QD_NV_092202.D14}</v>
      </c>
      <c r="Q86" s="44" t="str">
        <f>+Dulieu!Q52</f>
        <v>${DN_CTR_QD_NV_092202.D15}</v>
      </c>
      <c r="R86" s="44" t="str">
        <f>+Dulieu!R52</f>
        <v>${DN_CTR_QD_NV_092202.D16}</v>
      </c>
      <c r="S86" s="44" t="str">
        <f>+Dulieu!S52</f>
        <v>${DN_CTR_QD_NV_092202.D17}</v>
      </c>
      <c r="T86" s="44" t="str">
        <f>+Dulieu!T52</f>
        <v>${DN_CTR_QD_NV_092202.D18}</v>
      </c>
      <c r="U86" s="44" t="str">
        <f>+Dulieu!U52</f>
        <v>${DN_CTR_QD_NV_092202.D19}</v>
      </c>
      <c r="V86" s="44" t="str">
        <f>+Dulieu!V52</f>
        <v>${DN_CTR_QD_NV_092202.D20}</v>
      </c>
      <c r="W86" s="44" t="str">
        <f>+Dulieu!W52</f>
        <v>${DN_CTR_QD_NV_092202.D21}</v>
      </c>
      <c r="X86" s="44" t="str">
        <f>+Dulieu!X52</f>
        <v>${DN_CTR_QD_NV_092202.D22}</v>
      </c>
      <c r="Y86" s="44" t="str">
        <f>+Dulieu!Y52</f>
        <v>${DN_CTR_QD_NV_092202.D23}</v>
      </c>
    </row>
    <row r="87" spans="1:25" s="32" customFormat="1" ht="12" x14ac:dyDescent="0.2">
      <c r="A87" s="42"/>
      <c r="B87" s="43" t="s">
        <v>842</v>
      </c>
      <c r="C87" s="44">
        <f t="shared" si="25"/>
        <v>0</v>
      </c>
      <c r="D87" s="44">
        <f>+IFERROR(VLOOKUP(Dulieu!$C$52&amp;"T",Dulieu!$C$88:$N$400,2,FALSE),0)</f>
        <v>0</v>
      </c>
      <c r="E87" s="44">
        <f>+IFERROR(VLOOKUP(Dulieu!$C$52&amp;"T",Dulieu!$C$88:$N$400,3,FALSE),0)</f>
        <v>0</v>
      </c>
      <c r="F87" s="44">
        <f>+IFERROR(VLOOKUP(Dulieu!$C$52&amp;"T",Dulieu!$C$88:$N$400,4,FALSE),0)</f>
        <v>0</v>
      </c>
      <c r="G87" s="44">
        <f>+IFERROR(VLOOKUP(Dulieu!$C$52&amp;"T",Dulieu!$C$88:$N$400,5,FALSE),0)</f>
        <v>0</v>
      </c>
      <c r="H87" s="44">
        <f>+IFERROR(VLOOKUP(Dulieu!$C$52&amp;"T",Dulieu!$C$88:$N$400,6,FALSE),0)</f>
        <v>0</v>
      </c>
      <c r="I87" s="44">
        <f>+IFERROR(VLOOKUP(Dulieu!$C$52&amp;"T",Dulieu!$C$88:$N$400,7,FALSE),0)</f>
        <v>0</v>
      </c>
      <c r="J87" s="44">
        <f>+IFERROR(VLOOKUP(Dulieu!$C$52&amp;"T",Dulieu!$C$88:$N$400,8,FALSE),0)</f>
        <v>0</v>
      </c>
      <c r="K87" s="44">
        <f>+IFERROR(VLOOKUP(Dulieu!$C$52&amp;"T",Dulieu!$C$88:$N$400,9,FALSE),0)</f>
        <v>0</v>
      </c>
      <c r="L87" s="44">
        <f>+IFERROR(VLOOKUP(Dulieu!$C$52&amp;"T",Dulieu!$C$88:$N$400,10,FALSE),0)</f>
        <v>0</v>
      </c>
      <c r="M87" s="44">
        <f>+IFERROR(VLOOKUP(Dulieu!$C$52&amp;"T",Dulieu!$C$88:$N$400,11,FALSE),0)</f>
        <v>0</v>
      </c>
      <c r="N87" s="44">
        <f>+IFERROR(VLOOKUP(Dulieu!$C$52&amp;"T",Dulieu!$C$88:$N$400,12,FALSE),0)</f>
        <v>0</v>
      </c>
      <c r="O87" s="44">
        <f>+IFERROR(VLOOKUP(Dulieu!$C$52&amp;"T",Dulieu!$C$88:$Y$400,13,FALSE),0)</f>
        <v>0</v>
      </c>
      <c r="P87" s="44">
        <f>+IFERROR(VLOOKUP(Dulieu!$C$52&amp;"T",Dulieu!$C$88:$Y$400,14,FALSE),0)</f>
        <v>0</v>
      </c>
      <c r="Q87" s="44">
        <f>+IFERROR(VLOOKUP(Dulieu!$C$52&amp;"T",Dulieu!$C$88:$Y$400,15,FALSE),0)</f>
        <v>0</v>
      </c>
      <c r="R87" s="44">
        <f>+IFERROR(VLOOKUP(Dulieu!$C$52&amp;"T",Dulieu!$C$88:$Y$400,16,FALSE),0)</f>
        <v>0</v>
      </c>
      <c r="S87" s="44">
        <f>+IFERROR(VLOOKUP(Dulieu!$C$52&amp;"T",Dulieu!$C$88:$Y$400,17,FALSE),0)</f>
        <v>0</v>
      </c>
      <c r="T87" s="44">
        <f>+IFERROR(VLOOKUP(Dulieu!$C$52&amp;"T",Dulieu!$C$88:$Y$400,18,FALSE),0)</f>
        <v>0</v>
      </c>
      <c r="U87" s="44">
        <f>+IFERROR(VLOOKUP(Dulieu!$C$52&amp;"T",Dulieu!$C$88:$Y$400,19,FALSE),0)</f>
        <v>0</v>
      </c>
      <c r="V87" s="44">
        <f>+IFERROR(VLOOKUP(Dulieu!$C$52&amp;"T",Dulieu!$C$88:$Y$400,20,FALSE),0)</f>
        <v>0</v>
      </c>
      <c r="W87" s="44">
        <f>+IFERROR(VLOOKUP(Dulieu!$C$52&amp;"T",Dulieu!$C$88:$Y$400,21,FALSE),0)</f>
        <v>0</v>
      </c>
      <c r="X87" s="44">
        <f>+IFERROR(VLOOKUP(Dulieu!$C$52&amp;"T",Dulieu!$C$88:$Y$400,22,FALSE),0)</f>
        <v>0</v>
      </c>
      <c r="Y87" s="44">
        <f>+IFERROR(VLOOKUP(Dulieu!$C$52&amp;"T",Dulieu!$C$88:$Y$400,23,FALSE),0)</f>
        <v>0</v>
      </c>
    </row>
    <row r="88" spans="1:25" s="32" customFormat="1" ht="12" x14ac:dyDescent="0.2">
      <c r="A88" s="42"/>
      <c r="B88" s="43" t="s">
        <v>843</v>
      </c>
      <c r="C88" s="44" t="e">
        <f t="shared" si="25"/>
        <v>#VALUE!</v>
      </c>
      <c r="D88" s="44" t="e">
        <f>+D86-D87</f>
        <v>#VALUE!</v>
      </c>
      <c r="E88" s="44" t="e">
        <f t="shared" ref="E88:N88" si="30">+E86-E87</f>
        <v>#VALUE!</v>
      </c>
      <c r="F88" s="44" t="e">
        <f t="shared" si="30"/>
        <v>#VALUE!</v>
      </c>
      <c r="G88" s="44" t="e">
        <f t="shared" si="30"/>
        <v>#VALUE!</v>
      </c>
      <c r="H88" s="44" t="e">
        <f t="shared" si="30"/>
        <v>#VALUE!</v>
      </c>
      <c r="I88" s="44" t="e">
        <f t="shared" si="30"/>
        <v>#VALUE!</v>
      </c>
      <c r="J88" s="44" t="e">
        <f t="shared" si="30"/>
        <v>#VALUE!</v>
      </c>
      <c r="K88" s="44" t="e">
        <f t="shared" si="30"/>
        <v>#VALUE!</v>
      </c>
      <c r="L88" s="44" t="e">
        <f t="shared" si="30"/>
        <v>#VALUE!</v>
      </c>
      <c r="M88" s="44" t="e">
        <f t="shared" si="30"/>
        <v>#VALUE!</v>
      </c>
      <c r="N88" s="44" t="e">
        <f t="shared" si="30"/>
        <v>#VALUE!</v>
      </c>
      <c r="O88" s="44" t="e">
        <f t="shared" ref="O88:Y88" si="31">+O86-O87</f>
        <v>#VALUE!</v>
      </c>
      <c r="P88" s="44" t="e">
        <f t="shared" si="31"/>
        <v>#VALUE!</v>
      </c>
      <c r="Q88" s="44" t="e">
        <f t="shared" si="31"/>
        <v>#VALUE!</v>
      </c>
      <c r="R88" s="44" t="e">
        <f t="shared" si="31"/>
        <v>#VALUE!</v>
      </c>
      <c r="S88" s="44" t="e">
        <f t="shared" si="31"/>
        <v>#VALUE!</v>
      </c>
      <c r="T88" s="44" t="e">
        <f t="shared" si="31"/>
        <v>#VALUE!</v>
      </c>
      <c r="U88" s="44" t="e">
        <f t="shared" si="31"/>
        <v>#VALUE!</v>
      </c>
      <c r="V88" s="44" t="e">
        <f t="shared" si="31"/>
        <v>#VALUE!</v>
      </c>
      <c r="W88" s="44" t="e">
        <f t="shared" si="31"/>
        <v>#VALUE!</v>
      </c>
      <c r="X88" s="44" t="e">
        <f t="shared" si="31"/>
        <v>#VALUE!</v>
      </c>
      <c r="Y88" s="44" t="e">
        <f t="shared" si="31"/>
        <v>#VALUE!</v>
      </c>
    </row>
    <row r="89" spans="1:25" s="37" customFormat="1" ht="12" x14ac:dyDescent="0.2">
      <c r="A89" s="34">
        <v>4</v>
      </c>
      <c r="B89" s="35" t="s">
        <v>46</v>
      </c>
      <c r="C89" s="36">
        <f t="shared" si="25"/>
        <v>0</v>
      </c>
      <c r="D89" s="36" t="str">
        <f>+Dulieu!D53</f>
        <v>${DN_CTR_QD_0202.D2}</v>
      </c>
      <c r="E89" s="36" t="str">
        <f>+Dulieu!E53</f>
        <v>${DN_CTR_QD_0202.D11}</v>
      </c>
      <c r="F89" s="36" t="str">
        <f>+Dulieu!F53</f>
        <v>${DN_CTR_QD_0202.D4}</v>
      </c>
      <c r="G89" s="36" t="str">
        <f>+Dulieu!G53</f>
        <v>${DN_CTR_QD_0202.D6}</v>
      </c>
      <c r="H89" s="36" t="str">
        <f>+Dulieu!H53</f>
        <v>${DN_CTR_QD_0202.D8}</v>
      </c>
      <c r="I89" s="36" t="str">
        <f>+Dulieu!I53</f>
        <v>${DN_CTR_QD_0202.D9}</v>
      </c>
      <c r="J89" s="36" t="str">
        <f>+Dulieu!J53</f>
        <v>${DN_CTR_QD_0202.D3}</v>
      </c>
      <c r="K89" s="36" t="str">
        <f>+Dulieu!K53</f>
        <v>${DN_CTR_QD_0202.D10}</v>
      </c>
      <c r="L89" s="36" t="str">
        <f>+Dulieu!L53</f>
        <v>${DN_CTR_QD_0202.D5}</v>
      </c>
      <c r="M89" s="36" t="str">
        <f>+Dulieu!M53</f>
        <v>${DN_CTR_QD_0202.D7}</v>
      </c>
      <c r="N89" s="36" t="str">
        <f>+Dulieu!N53</f>
        <v>${DN_CTR_QD_0202.D12}</v>
      </c>
      <c r="O89" s="36" t="str">
        <f>+Dulieu!O53</f>
        <v>${DN_CTR_QD_0202.D13}</v>
      </c>
      <c r="P89" s="36" t="str">
        <f>+Dulieu!P53</f>
        <v>${DN_CTR_QD_0202.D14}</v>
      </c>
      <c r="Q89" s="36" t="str">
        <f>+Dulieu!Q53</f>
        <v>${DN_CTR_QD_0202.D15}</v>
      </c>
      <c r="R89" s="36" t="str">
        <f>+Dulieu!R53</f>
        <v>${DN_CTR_QD_0202.D16}</v>
      </c>
      <c r="S89" s="36" t="str">
        <f>+Dulieu!S53</f>
        <v>${DN_CTR_QD_0202.D17}</v>
      </c>
      <c r="T89" s="36" t="str">
        <f>+Dulieu!T53</f>
        <v>${DN_CTR_QD_0202.D18}</v>
      </c>
      <c r="U89" s="36" t="str">
        <f>+Dulieu!U53</f>
        <v>${DN_CTR_QD_0202.D19}</v>
      </c>
      <c r="V89" s="36" t="str">
        <f>+Dulieu!V53</f>
        <v>${DN_CTR_QD_0202.D20}</v>
      </c>
      <c r="W89" s="36" t="str">
        <f>+Dulieu!W53</f>
        <v>${DN_CTR_QD_0202.D21}</v>
      </c>
      <c r="X89" s="36" t="str">
        <f>+Dulieu!X53</f>
        <v>${DN_CTR_QD_0202.D22}</v>
      </c>
      <c r="Y89" s="36" t="str">
        <f>+Dulieu!Y53</f>
        <v>${DN_CTR_QD_0202.D23}</v>
      </c>
    </row>
    <row r="90" spans="1:25" s="41" customFormat="1" ht="12" x14ac:dyDescent="0.2">
      <c r="A90" s="38"/>
      <c r="B90" s="39" t="s">
        <v>838</v>
      </c>
      <c r="C90" s="40" t="e">
        <f t="shared" si="25"/>
        <v>#VALUE!</v>
      </c>
      <c r="D90" s="40" t="e">
        <f>+D89-VLOOKUP(Dulieu!$C$53&amp;"_PRE_M",Dulieu!$C$88:$N$400,2,FALSE)</f>
        <v>#VALUE!</v>
      </c>
      <c r="E90" s="40" t="e">
        <f>+E89-VLOOKUP(Dulieu!$C$53&amp;"_PRE_M",Dulieu!$C$88:$N$400,3,FALSE)</f>
        <v>#VALUE!</v>
      </c>
      <c r="F90" s="40" t="e">
        <f>+F89-VLOOKUP(Dulieu!$C$53&amp;"_PRE_M",Dulieu!$C$88:$N$400,4,FALSE)</f>
        <v>#VALUE!</v>
      </c>
      <c r="G90" s="40" t="e">
        <f>+G89-VLOOKUP(Dulieu!$C$53&amp;"_PRE_M",Dulieu!$C$88:$N$400,5,FALSE)</f>
        <v>#VALUE!</v>
      </c>
      <c r="H90" s="40" t="e">
        <f>+H89-VLOOKUP(Dulieu!$C$53&amp;"_PRE_M",Dulieu!$C$88:$N$400,6,FALSE)</f>
        <v>#VALUE!</v>
      </c>
      <c r="I90" s="40" t="e">
        <f>+I89-VLOOKUP(Dulieu!$C$53&amp;"_PRE_M",Dulieu!$C$88:$N$400,7,FALSE)</f>
        <v>#VALUE!</v>
      </c>
      <c r="J90" s="40" t="e">
        <f>+J89-VLOOKUP(Dulieu!$C$53&amp;"_PRE_M",Dulieu!$C$88:$N$400,8,FALSE)</f>
        <v>#VALUE!</v>
      </c>
      <c r="K90" s="40" t="e">
        <f>+K89-VLOOKUP(Dulieu!$C$53&amp;"_PRE_M",Dulieu!$C$88:$N$400,9,FALSE)</f>
        <v>#VALUE!</v>
      </c>
      <c r="L90" s="40" t="e">
        <f>+L89-VLOOKUP(Dulieu!$C$53&amp;"_PRE_M",Dulieu!$C$88:$N$400,10,FALSE)</f>
        <v>#VALUE!</v>
      </c>
      <c r="M90" s="40" t="e">
        <f>+M89-VLOOKUP(Dulieu!$C$53&amp;"_PRE_M",Dulieu!$C$88:$N$400,11,FALSE)</f>
        <v>#VALUE!</v>
      </c>
      <c r="N90" s="40" t="e">
        <f>+N89-VLOOKUP(Dulieu!$C$53&amp;"_PRE_M",Dulieu!$C$88:$N$400,12,FALSE)</f>
        <v>#VALUE!</v>
      </c>
      <c r="O90" s="40" t="e">
        <f>+O89-VLOOKUP(Dulieu!$C$53&amp;"_PRE_M",Dulieu!$C$88:$Y$400,13,FALSE)</f>
        <v>#VALUE!</v>
      </c>
      <c r="P90" s="40" t="e">
        <f>+P89-VLOOKUP(Dulieu!$C$53&amp;"_PRE_M",Dulieu!$C$88:$Y$400,14,FALSE)</f>
        <v>#VALUE!</v>
      </c>
      <c r="Q90" s="40" t="e">
        <f>+Q89-VLOOKUP(Dulieu!$C$53&amp;"_PRE_M",Dulieu!$C$88:$Y$400,15,FALSE)</f>
        <v>#VALUE!</v>
      </c>
      <c r="R90" s="40" t="e">
        <f>+R89-VLOOKUP(Dulieu!$C$53&amp;"_PRE_M",Dulieu!$C$88:$Y$400,16,FALSE)</f>
        <v>#VALUE!</v>
      </c>
      <c r="S90" s="40" t="e">
        <f>+S89-VLOOKUP(Dulieu!$C$53&amp;"_PRE_M",Dulieu!$C$88:$Y$400,17,FALSE)</f>
        <v>#VALUE!</v>
      </c>
      <c r="T90" s="40" t="e">
        <f>+T89-VLOOKUP(Dulieu!$C$53&amp;"_PRE_M",Dulieu!$C$88:$Y$400,18,FALSE)</f>
        <v>#VALUE!</v>
      </c>
      <c r="U90" s="40" t="e">
        <f>+U89-VLOOKUP(Dulieu!$C$53&amp;"_PRE_M",Dulieu!$C$88:$Y$400,19,FALSE)</f>
        <v>#VALUE!</v>
      </c>
      <c r="V90" s="40" t="e">
        <f>+V89-VLOOKUP(Dulieu!$C$53&amp;"_PRE_M",Dulieu!$C$88:$Y$400,20,FALSE)</f>
        <v>#VALUE!</v>
      </c>
      <c r="W90" s="40" t="e">
        <f>+W89-VLOOKUP(Dulieu!$C$53&amp;"_PRE_M",Dulieu!$C$88:$Y$400,21,FALSE)</f>
        <v>#VALUE!</v>
      </c>
      <c r="X90" s="40" t="e">
        <f>+X89-VLOOKUP(Dulieu!$C$53&amp;"_PRE_M",Dulieu!$C$88:$Y$400,22,FALSE)</f>
        <v>#VALUE!</v>
      </c>
      <c r="Y90" s="40" t="e">
        <f>+Y89-VLOOKUP(Dulieu!$C$53&amp;"_PRE_M",Dulieu!$C$88:$Y$400,23,FALSE)</f>
        <v>#VALUE!</v>
      </c>
    </row>
    <row r="91" spans="1:25" s="41" customFormat="1" ht="12" x14ac:dyDescent="0.2">
      <c r="A91" s="38"/>
      <c r="B91" s="39" t="s">
        <v>839</v>
      </c>
      <c r="C91" s="40" t="e">
        <f t="shared" si="25"/>
        <v>#VALUE!</v>
      </c>
      <c r="D91" s="40" t="e">
        <f>+D89-VLOOKUP(Dulieu!$C$53&amp;"_PRE_Y",Dulieu!$C$88:$N$400,2,FALSE)</f>
        <v>#VALUE!</v>
      </c>
      <c r="E91" s="40" t="e">
        <f>+E89-VLOOKUP(Dulieu!$C$53&amp;"_PRE_Y",Dulieu!$C$88:$N$400,3,FALSE)</f>
        <v>#VALUE!</v>
      </c>
      <c r="F91" s="40" t="e">
        <f>+F89-VLOOKUP(Dulieu!$C$53&amp;"_PRE_Y",Dulieu!$C$88:$N$400,4,FALSE)</f>
        <v>#VALUE!</v>
      </c>
      <c r="G91" s="40" t="e">
        <f>+G89-VLOOKUP(Dulieu!$C$53&amp;"_PRE_Y",Dulieu!$C$88:$N$400,5,FALSE)</f>
        <v>#VALUE!</v>
      </c>
      <c r="H91" s="40" t="e">
        <f>+H89-VLOOKUP(Dulieu!$C$53&amp;"_PRE_Y",Dulieu!$C$88:$N$400,6,FALSE)</f>
        <v>#VALUE!</v>
      </c>
      <c r="I91" s="40" t="e">
        <f>+I89-VLOOKUP(Dulieu!$C$53&amp;"_PRE_Y",Dulieu!$C$88:$N$400,7,FALSE)</f>
        <v>#VALUE!</v>
      </c>
      <c r="J91" s="40" t="e">
        <f>+J89-VLOOKUP(Dulieu!$C$53&amp;"_PRE_Y",Dulieu!$C$88:$N$400,8,FALSE)</f>
        <v>#VALUE!</v>
      </c>
      <c r="K91" s="40" t="e">
        <f>+K89-VLOOKUP(Dulieu!$C$53&amp;"_PRE_Y",Dulieu!$C$88:$N$400,9,FALSE)</f>
        <v>#VALUE!</v>
      </c>
      <c r="L91" s="40" t="e">
        <f>+L89-VLOOKUP(Dulieu!$C$53&amp;"_PRE_Y",Dulieu!$C$88:$N$400,10,FALSE)</f>
        <v>#VALUE!</v>
      </c>
      <c r="M91" s="40" t="e">
        <f>+M89-VLOOKUP(Dulieu!$C$53&amp;"_PRE_Y",Dulieu!$C$88:$N$400,11,FALSE)</f>
        <v>#VALUE!</v>
      </c>
      <c r="N91" s="40" t="e">
        <f>+N89-VLOOKUP(Dulieu!$C$53&amp;"_PRE_Y",Dulieu!$C$88:$N$400,12,FALSE)</f>
        <v>#VALUE!</v>
      </c>
      <c r="O91" s="40" t="e">
        <f>+O89-VLOOKUP(Dulieu!$C$53&amp;"_PRE_Y",Dulieu!$C$88:$Y$400,13,FALSE)</f>
        <v>#VALUE!</v>
      </c>
      <c r="P91" s="40" t="e">
        <f>+P89-VLOOKUP(Dulieu!$C$53&amp;"_PRE_Y",Dulieu!$C$88:$Y$400,14,FALSE)</f>
        <v>#VALUE!</v>
      </c>
      <c r="Q91" s="40" t="e">
        <f>+Q89-VLOOKUP(Dulieu!$C$53&amp;"_PRE_Y",Dulieu!$C$88:$Y$400,15,FALSE)</f>
        <v>#VALUE!</v>
      </c>
      <c r="R91" s="40" t="e">
        <f>+R89-VLOOKUP(Dulieu!$C$53&amp;"_PRE_Y",Dulieu!$C$88:$Y$400,16,FALSE)</f>
        <v>#VALUE!</v>
      </c>
      <c r="S91" s="40" t="e">
        <f>+S89-VLOOKUP(Dulieu!$C$53&amp;"_PRE_Y",Dulieu!$C$88:$Y$400,17,FALSE)</f>
        <v>#VALUE!</v>
      </c>
      <c r="T91" s="40" t="e">
        <f>+T89-VLOOKUP(Dulieu!$C$53&amp;"_PRE_Y",Dulieu!$C$88:$Y$400,18,FALSE)</f>
        <v>#VALUE!</v>
      </c>
      <c r="U91" s="40" t="e">
        <f>+U89-VLOOKUP(Dulieu!$C$53&amp;"_PRE_Y",Dulieu!$C$88:$Y$400,19,FALSE)</f>
        <v>#VALUE!</v>
      </c>
      <c r="V91" s="40" t="e">
        <f>+V89-VLOOKUP(Dulieu!$C$53&amp;"_PRE_Y",Dulieu!$C$88:$Y$400,20,FALSE)</f>
        <v>#VALUE!</v>
      </c>
      <c r="W91" s="40" t="e">
        <f>+W89-VLOOKUP(Dulieu!$C$53&amp;"_PRE_Y",Dulieu!$C$88:$Y$400,21,FALSE)</f>
        <v>#VALUE!</v>
      </c>
      <c r="X91" s="40" t="e">
        <f>+X89-VLOOKUP(Dulieu!$C$53&amp;"_PRE_Y",Dulieu!$C$88:$Y$400,22,FALSE)</f>
        <v>#VALUE!</v>
      </c>
      <c r="Y91" s="40" t="e">
        <f>+Y89-VLOOKUP(Dulieu!$C$53&amp;"_PRE_Y",Dulieu!$C$88:$Y$400,23,FALSE)</f>
        <v>#VALUE!</v>
      </c>
    </row>
    <row r="92" spans="1:25" s="37" customFormat="1" ht="12" x14ac:dyDescent="0.2">
      <c r="A92" s="34">
        <v>5</v>
      </c>
      <c r="B92" s="35" t="s">
        <v>47</v>
      </c>
      <c r="C92" s="36">
        <f t="shared" si="25"/>
        <v>0</v>
      </c>
      <c r="D92" s="36" t="str">
        <f>+Dulieu!D54</f>
        <v>${DN_CTR_QD_0606.D2}</v>
      </c>
      <c r="E92" s="36" t="str">
        <f>+Dulieu!E54</f>
        <v>${DN_CTR_QD_0606.D11}</v>
      </c>
      <c r="F92" s="36" t="str">
        <f>+Dulieu!F54</f>
        <v>${DN_CTR_QD_0606.D4}</v>
      </c>
      <c r="G92" s="36" t="str">
        <f>+Dulieu!G54</f>
        <v>${DN_CTR_QD_0606.D6}</v>
      </c>
      <c r="H92" s="36" t="str">
        <f>+Dulieu!H54</f>
        <v>${DN_CTR_QD_0606.D8}</v>
      </c>
      <c r="I92" s="36" t="str">
        <f>+Dulieu!I54</f>
        <v>${DN_CTR_QD_0606.D9}</v>
      </c>
      <c r="J92" s="36" t="str">
        <f>+Dulieu!J54</f>
        <v>${DN_CTR_QD_0606.D3}</v>
      </c>
      <c r="K92" s="36" t="str">
        <f>+Dulieu!K54</f>
        <v>${DN_CTR_QD_0606.D10}</v>
      </c>
      <c r="L92" s="36" t="str">
        <f>+Dulieu!L54</f>
        <v>${DN_CTR_QD_0606.D5}</v>
      </c>
      <c r="M92" s="36" t="str">
        <f>+Dulieu!M54</f>
        <v>${DN_CTR_QD_0606.D7}</v>
      </c>
      <c r="N92" s="36" t="str">
        <f>+Dulieu!N54</f>
        <v>${DN_CTR_QD_0606.D12}</v>
      </c>
      <c r="O92" s="36" t="str">
        <f>+Dulieu!O54</f>
        <v>${DN_CTR_QD_0606.D13}</v>
      </c>
      <c r="P92" s="36" t="str">
        <f>+Dulieu!P54</f>
        <v>${DN_CTR_QD_0606.D14}</v>
      </c>
      <c r="Q92" s="36" t="str">
        <f>+Dulieu!Q54</f>
        <v>${DN_CTR_QD_0606.D15}</v>
      </c>
      <c r="R92" s="36" t="str">
        <f>+Dulieu!R54</f>
        <v>${DN_CTR_QD_0606.D16}</v>
      </c>
      <c r="S92" s="36" t="str">
        <f>+Dulieu!S54</f>
        <v>${DN_CTR_QD_0606.D17}</v>
      </c>
      <c r="T92" s="36" t="str">
        <f>+Dulieu!T54</f>
        <v>${DN_CTR_QD_0606.D18}</v>
      </c>
      <c r="U92" s="36" t="str">
        <f>+Dulieu!U54</f>
        <v>${DN_CTR_QD_0606.D19}</v>
      </c>
      <c r="V92" s="36" t="str">
        <f>+Dulieu!V54</f>
        <v>${DN_CTR_QD_0606.D20}</v>
      </c>
      <c r="W92" s="36" t="str">
        <f>+Dulieu!W54</f>
        <v>${DN_CTR_QD_0606.D21}</v>
      </c>
      <c r="X92" s="36" t="str">
        <f>+Dulieu!X54</f>
        <v>${DN_CTR_QD_0606.D22}</v>
      </c>
      <c r="Y92" s="36" t="str">
        <f>+Dulieu!Y54</f>
        <v>${DN_CTR_QD_0606.D23}</v>
      </c>
    </row>
    <row r="93" spans="1:25" s="41" customFormat="1" ht="12" x14ac:dyDescent="0.2">
      <c r="A93" s="38"/>
      <c r="B93" s="39" t="s">
        <v>838</v>
      </c>
      <c r="C93" s="40" t="e">
        <f t="shared" si="25"/>
        <v>#VALUE!</v>
      </c>
      <c r="D93" s="40" t="e">
        <f>+D92-VLOOKUP(Dulieu!$C$54&amp;"_PRE_M",Dulieu!$C$88:$N$402,2,FALSE)-IFERROR(VLOOKUP(LEFT(Dulieu!$C$54,12)&amp;"37"&amp;"_PRE_M",Dulieu!$C$88:$N$402,2,FALSE),0)</f>
        <v>#VALUE!</v>
      </c>
      <c r="E93" s="40" t="e">
        <f>+E92-VLOOKUP(Dulieu!$C$54&amp;"_PRE_M",Dulieu!$C$88:$N$402,3,FALSE)-IFERROR(VLOOKUP(LEFT(Dulieu!$C$54,12)&amp;"37"&amp;"_PRE_M",Dulieu!$C$88:$N$402,3,FALSE),0)</f>
        <v>#VALUE!</v>
      </c>
      <c r="F93" s="40" t="e">
        <f>+F92-VLOOKUP(Dulieu!$C$54&amp;"_PRE_M",Dulieu!$C$88:$N$402,4,FALSE)-IFERROR(VLOOKUP(LEFT(Dulieu!$C$54,12)&amp;"37"&amp;"_PRE_M",Dulieu!$C$88:$N$402,4,FALSE),0)</f>
        <v>#VALUE!</v>
      </c>
      <c r="G93" s="40" t="e">
        <f>+G92-VLOOKUP(Dulieu!$C$54&amp;"_PRE_M",Dulieu!$C$88:$N$402,5,FALSE)-IFERROR(VLOOKUP(LEFT(Dulieu!$C$54,12)&amp;"37"&amp;"_PRE_M",Dulieu!$C$88:$N$402,5,FALSE),0)</f>
        <v>#VALUE!</v>
      </c>
      <c r="H93" s="40" t="e">
        <f>+H92-VLOOKUP(Dulieu!$C$54&amp;"_PRE_M",Dulieu!$C$88:$N$402,6,FALSE)-IFERROR(VLOOKUP(LEFT(Dulieu!$C$54,12)&amp;"37"&amp;"_PRE_M",Dulieu!$C$88:$N$402,6,FALSE),0)</f>
        <v>#VALUE!</v>
      </c>
      <c r="I93" s="40" t="e">
        <f>+I92-VLOOKUP(Dulieu!$C$54&amp;"_PRE_M",Dulieu!$C$88:$N$402,7,FALSE)-IFERROR(VLOOKUP(LEFT(Dulieu!$C$54,12)&amp;"37"&amp;"_PRE_M",Dulieu!$C$88:$N$402,7,FALSE),0)</f>
        <v>#VALUE!</v>
      </c>
      <c r="J93" s="40" t="e">
        <f>+J92-VLOOKUP(Dulieu!$C$54&amp;"_PRE_M",Dulieu!$C$88:$N$402,8,FALSE)-IFERROR(VLOOKUP(LEFT(Dulieu!$C$54,12)&amp;"37"&amp;"_PRE_M",Dulieu!$C$88:$N$402,8,FALSE),0)</f>
        <v>#VALUE!</v>
      </c>
      <c r="K93" s="40" t="e">
        <f>+K92-VLOOKUP(Dulieu!$C$54&amp;"_PRE_M",Dulieu!$C$88:$N$402,9,FALSE)-IFERROR(VLOOKUP(LEFT(Dulieu!$C$54,12)&amp;"37"&amp;"_PRE_M",Dulieu!$C$88:$N$402,9,FALSE),0)</f>
        <v>#VALUE!</v>
      </c>
      <c r="L93" s="40" t="e">
        <f>+L92-VLOOKUP(Dulieu!$C$54&amp;"_PRE_M",Dulieu!$C$88:$N$402,10,FALSE)-IFERROR(VLOOKUP(LEFT(Dulieu!$C$54,12)&amp;"37"&amp;"_PRE_M",Dulieu!$C$88:$N$402,10,FALSE),0)</f>
        <v>#VALUE!</v>
      </c>
      <c r="M93" s="40" t="e">
        <f>+M92-VLOOKUP(Dulieu!$C$54&amp;"_PRE_M",Dulieu!$C$88:$N$402,11,FALSE)-IFERROR(VLOOKUP(LEFT(Dulieu!$C$54,12)&amp;"37"&amp;"_PRE_M",Dulieu!$C$88:$N$402,11,FALSE),0)</f>
        <v>#VALUE!</v>
      </c>
      <c r="N93" s="40" t="e">
        <f>+N92-VLOOKUP(Dulieu!$C$54&amp;"_PRE_M",Dulieu!$C$88:$N$402,12,FALSE)-IFERROR(VLOOKUP(LEFT(Dulieu!$C$54,12)&amp;"37"&amp;"_PRE_M",Dulieu!$C$88:$N$402,12,FALSE),0)</f>
        <v>#VALUE!</v>
      </c>
      <c r="O93" s="40" t="e">
        <f>+O92-VLOOKUP(Dulieu!$C$54&amp;"_PRE_M",Dulieu!$C$88:$Y$400,13,FALSE)-IFERROR(VLOOKUP(LEFT(Dulieu!$C$54,12)&amp;"37"&amp;"_PRE_M",Dulieu!$C$88:$Y$400,13,FALSE),0)</f>
        <v>#VALUE!</v>
      </c>
      <c r="P93" s="40" t="e">
        <f>+P92-VLOOKUP(Dulieu!$C$54&amp;"_PRE_M",Dulieu!$C$88:$Y$400,14,FALSE)-IFERROR(VLOOKUP(LEFT(Dulieu!$C$54,12)&amp;"37"&amp;"_PRE_M",Dulieu!$C$88:$Y$400,14,FALSE),0)</f>
        <v>#VALUE!</v>
      </c>
      <c r="Q93" s="40" t="e">
        <f>+Q92-VLOOKUP(Dulieu!$C$54&amp;"_PRE_M",Dulieu!$C$88:$Y$400,15,FALSE)-IFERROR(VLOOKUP(LEFT(Dulieu!$C$54,12)&amp;"37"&amp;"_PRE_M",Dulieu!$C$88:$Y$400,15,FALSE),0)</f>
        <v>#VALUE!</v>
      </c>
      <c r="R93" s="40" t="e">
        <f>+R92-VLOOKUP(Dulieu!$C$54&amp;"_PRE_M",Dulieu!$C$88:$Y$400,16,FALSE)-IFERROR(VLOOKUP(LEFT(Dulieu!$C$54,12)&amp;"37"&amp;"_PRE_M",Dulieu!$C$88:$Y$400,16,FALSE),0)</f>
        <v>#VALUE!</v>
      </c>
      <c r="S93" s="40" t="e">
        <f>+S92-VLOOKUP(Dulieu!$C$54&amp;"_PRE_M",Dulieu!$C$88:$Y$400,17,FALSE)-IFERROR(VLOOKUP(LEFT(Dulieu!$C$54,12)&amp;"37"&amp;"_PRE_M",Dulieu!$C$88:$Y$400,17,FALSE),0)</f>
        <v>#VALUE!</v>
      </c>
      <c r="T93" s="40" t="e">
        <f>+T92-VLOOKUP(Dulieu!$C$54&amp;"_PRE_M",Dulieu!$C$88:$Y$400,18,FALSE)-IFERROR(VLOOKUP(LEFT(Dulieu!$C$54,12)&amp;"37"&amp;"_PRE_M",Dulieu!$C$88:$Y$400,18,FALSE),0)</f>
        <v>#VALUE!</v>
      </c>
      <c r="U93" s="40" t="e">
        <f>+U92-VLOOKUP(Dulieu!$C$54&amp;"_PRE_M",Dulieu!$C$88:$Y$400,19,FALSE)-IFERROR(VLOOKUP(LEFT(Dulieu!$C$54,12)&amp;"37"&amp;"_PRE_M",Dulieu!$C$88:$Y$400,19,FALSE),0)</f>
        <v>#VALUE!</v>
      </c>
      <c r="V93" s="40" t="e">
        <f>+V92-VLOOKUP(Dulieu!$C$54&amp;"_PRE_M",Dulieu!$C$88:$Y$400,20,FALSE)-IFERROR(VLOOKUP(LEFT(Dulieu!$C$54,12)&amp;"37"&amp;"_PRE_M",Dulieu!$C$88:$Y$400,20,FALSE),0)</f>
        <v>#VALUE!</v>
      </c>
      <c r="W93" s="40" t="e">
        <f>+W92-VLOOKUP(Dulieu!$C$54&amp;"_PRE_M",Dulieu!$C$88:$Y$400,21,FALSE)-IFERROR(VLOOKUP(LEFT(Dulieu!$C$54,12)&amp;"37"&amp;"_PRE_M",Dulieu!$C$88:$Y$400,21,FALSE),0)</f>
        <v>#VALUE!</v>
      </c>
      <c r="X93" s="40" t="e">
        <f>+X92-VLOOKUP(Dulieu!$C$54&amp;"_PRE_M",Dulieu!$C$88:$Y$400,22,FALSE)-IFERROR(VLOOKUP(LEFT(Dulieu!$C$54,12)&amp;"37"&amp;"_PRE_M",Dulieu!$C$88:$Y$400,22,FALSE),0)</f>
        <v>#VALUE!</v>
      </c>
      <c r="Y93" s="40" t="e">
        <f>+Y92-VLOOKUP(Dulieu!$C$54&amp;"_PRE_M",Dulieu!$C$88:$Y$400,23,FALSE)-IFERROR(VLOOKUP(LEFT(Dulieu!$C$54,12)&amp;"37"&amp;"_PRE_M",Dulieu!$C$88:$Y$400,23,FALSE),0)</f>
        <v>#VALUE!</v>
      </c>
    </row>
    <row r="94" spans="1:25" s="41" customFormat="1" ht="12" x14ac:dyDescent="0.2">
      <c r="A94" s="38"/>
      <c r="B94" s="39" t="s">
        <v>839</v>
      </c>
      <c r="C94" s="40" t="e">
        <f t="shared" si="25"/>
        <v>#VALUE!</v>
      </c>
      <c r="D94" s="40" t="e">
        <f>+D92-VLOOKUP(Dulieu!$C$54&amp;"_PRE_Y",Dulieu!$C$88:$N$402,2,FALSE)-IFERROR(VLOOKUP(LEFT(Dulieu!$C$54,12)&amp;"37"&amp;"_PRE_Y",Dulieu!$C$88:$N$402,2,FALSE),0)</f>
        <v>#VALUE!</v>
      </c>
      <c r="E94" s="40" t="e">
        <f>+E92-VLOOKUP(Dulieu!$C$54&amp;"_PRE_Y",Dulieu!$C$88:$N$402,3,FALSE)-IFERROR(VLOOKUP(LEFT(Dulieu!$C$54,12)&amp;"37"&amp;"_PRE_Y",Dulieu!$C$88:$N$402,3,FALSE),0)</f>
        <v>#VALUE!</v>
      </c>
      <c r="F94" s="40" t="e">
        <f>+F92-VLOOKUP(Dulieu!$C$54&amp;"_PRE_Y",Dulieu!$C$88:$N$402,4,FALSE)-IFERROR(VLOOKUP(LEFT(Dulieu!$C$54,12)&amp;"37"&amp;"_PRE_Y",Dulieu!$C$88:$N$402,4,FALSE),0)</f>
        <v>#VALUE!</v>
      </c>
      <c r="G94" s="40" t="e">
        <f>+G92-VLOOKUP(Dulieu!$C$54&amp;"_PRE_Y",Dulieu!$C$88:$N$402,5,FALSE)-IFERROR(VLOOKUP(LEFT(Dulieu!$C$54,12)&amp;"37"&amp;"_PRE_Y",Dulieu!$C$88:$N$402,5,FALSE),0)</f>
        <v>#VALUE!</v>
      </c>
      <c r="H94" s="40" t="e">
        <f>+H92-VLOOKUP(Dulieu!$C$54&amp;"_PRE_Y",Dulieu!$C$88:$N$402,6,FALSE)-IFERROR(VLOOKUP(LEFT(Dulieu!$C$54,12)&amp;"37"&amp;"_PRE_Y",Dulieu!$C$88:$N$402,6,FALSE),0)</f>
        <v>#VALUE!</v>
      </c>
      <c r="I94" s="40" t="e">
        <f>+I92-VLOOKUP(Dulieu!$C$54&amp;"_PRE_Y",Dulieu!$C$88:$N$402,7,FALSE)-IFERROR(VLOOKUP(LEFT(Dulieu!$C$54,12)&amp;"37"&amp;"_PRE_Y",Dulieu!$C$88:$N$402,7,FALSE),0)</f>
        <v>#VALUE!</v>
      </c>
      <c r="J94" s="40" t="e">
        <f>+J92-VLOOKUP(Dulieu!$C$54&amp;"_PRE_Y",Dulieu!$C$88:$N$402,8,FALSE)-IFERROR(VLOOKUP(LEFT(Dulieu!$C$54,12)&amp;"37"&amp;"_PRE_Y",Dulieu!$C$88:$N$402,8,FALSE),0)</f>
        <v>#VALUE!</v>
      </c>
      <c r="K94" s="40" t="e">
        <f>+K92-VLOOKUP(Dulieu!$C$54&amp;"_PRE_Y",Dulieu!$C$88:$N$402,9,FALSE)-IFERROR(VLOOKUP(LEFT(Dulieu!$C$54,12)&amp;"37"&amp;"_PRE_Y",Dulieu!$C$88:$N$402,9,FALSE),0)</f>
        <v>#VALUE!</v>
      </c>
      <c r="L94" s="40" t="e">
        <f>+L92-VLOOKUP(Dulieu!$C$54&amp;"_PRE_Y",Dulieu!$C$88:$N$402,10,FALSE)-IFERROR(VLOOKUP(LEFT(Dulieu!$C$54,12)&amp;"37"&amp;"_PRE_Y",Dulieu!$C$88:$N$402,10,FALSE),0)</f>
        <v>#VALUE!</v>
      </c>
      <c r="M94" s="40" t="e">
        <f>+M92-VLOOKUP(Dulieu!$C$54&amp;"_PRE_Y",Dulieu!$C$88:$N$402,11,FALSE)-IFERROR(VLOOKUP(LEFT(Dulieu!$C$54,12)&amp;"37"&amp;"_PRE_Y",Dulieu!$C$88:$N$402,11,FALSE),0)</f>
        <v>#VALUE!</v>
      </c>
      <c r="N94" s="40" t="e">
        <f>+N92-VLOOKUP(Dulieu!$C$54&amp;"_PRE_Y",Dulieu!$C$88:$N$402,12,FALSE)-IFERROR(VLOOKUP(LEFT(Dulieu!$C$54,12)&amp;"37"&amp;"_PRE_Y",Dulieu!$C$88:$N$402,12,FALSE),0)</f>
        <v>#VALUE!</v>
      </c>
      <c r="O94" s="40" t="e">
        <f>+O92-VLOOKUP(Dulieu!$C$54&amp;"_PRE_Y",Dulieu!$C$88:$Y$400,13,FALSE)-IFERROR(VLOOKUP(LEFT(Dulieu!$C$54,12)&amp;"37"&amp;"_PRE_Y",Dulieu!$C$88:$Y$400,13,FALSE),0)</f>
        <v>#VALUE!</v>
      </c>
      <c r="P94" s="40" t="e">
        <f>+P92-VLOOKUP(Dulieu!$C$54&amp;"_PRE_Y",Dulieu!$C$88:$Y$400,14,FALSE)-IFERROR(VLOOKUP(LEFT(Dulieu!$C$54,12)&amp;"37"&amp;"_PRE_Y",Dulieu!$C$88:$Y$400,14,FALSE),0)</f>
        <v>#VALUE!</v>
      </c>
      <c r="Q94" s="40" t="e">
        <f>+Q92-VLOOKUP(Dulieu!$C$54&amp;"_PRE_Y",Dulieu!$C$88:$Y$400,15,FALSE)-IFERROR(VLOOKUP(LEFT(Dulieu!$C$54,12)&amp;"37"&amp;"_PRE_Y",Dulieu!$C$88:$Y$400,15,FALSE),0)</f>
        <v>#VALUE!</v>
      </c>
      <c r="R94" s="40" t="e">
        <f>+R92-VLOOKUP(Dulieu!$C$54&amp;"_PRE_Y",Dulieu!$C$88:$Y$400,16,FALSE)-IFERROR(VLOOKUP(LEFT(Dulieu!$C$54,12)&amp;"37"&amp;"_PRE_Y",Dulieu!$C$88:$Y$400,16,FALSE),0)</f>
        <v>#VALUE!</v>
      </c>
      <c r="S94" s="40" t="e">
        <f>+S92-VLOOKUP(Dulieu!$C$54&amp;"_PRE_Y",Dulieu!$C$88:$Y$400,17,FALSE)-IFERROR(VLOOKUP(LEFT(Dulieu!$C$54,12)&amp;"37"&amp;"_PRE_Y",Dulieu!$C$88:$Y$400,17,FALSE),0)</f>
        <v>#VALUE!</v>
      </c>
      <c r="T94" s="40" t="e">
        <f>+T92-VLOOKUP(Dulieu!$C$54&amp;"_PRE_Y",Dulieu!$C$88:$Y$400,18,FALSE)-IFERROR(VLOOKUP(LEFT(Dulieu!$C$54,12)&amp;"37"&amp;"_PRE_Y",Dulieu!$C$88:$Y$400,18,FALSE),0)</f>
        <v>#VALUE!</v>
      </c>
      <c r="U94" s="40" t="e">
        <f>+U92-VLOOKUP(Dulieu!$C$54&amp;"_PRE_Y",Dulieu!$C$88:$Y$400,19,FALSE)-IFERROR(VLOOKUP(LEFT(Dulieu!$C$54,12)&amp;"37"&amp;"_PRE_Y",Dulieu!$C$88:$Y$400,19,FALSE),0)</f>
        <v>#VALUE!</v>
      </c>
      <c r="V94" s="40" t="e">
        <f>+V92-VLOOKUP(Dulieu!$C$54&amp;"_PRE_Y",Dulieu!$C$88:$Y$400,20,FALSE)-IFERROR(VLOOKUP(LEFT(Dulieu!$C$54,12)&amp;"37"&amp;"_PRE_Y",Dulieu!$C$88:$Y$400,20,FALSE),0)</f>
        <v>#VALUE!</v>
      </c>
      <c r="W94" s="40" t="e">
        <f>+W92-VLOOKUP(Dulieu!$C$54&amp;"_PRE_Y",Dulieu!$C$88:$Y$400,21,FALSE)-IFERROR(VLOOKUP(LEFT(Dulieu!$C$54,12)&amp;"37"&amp;"_PRE_Y",Dulieu!$C$88:$Y$400,21,FALSE),0)</f>
        <v>#VALUE!</v>
      </c>
      <c r="X94" s="40" t="e">
        <f>+X92-VLOOKUP(Dulieu!$C$54&amp;"_PRE_Y",Dulieu!$C$88:$Y$400,22,FALSE)-IFERROR(VLOOKUP(LEFT(Dulieu!$C$54,12)&amp;"37"&amp;"_PRE_Y",Dulieu!$C$88:$Y$400,22,FALSE),0)</f>
        <v>#VALUE!</v>
      </c>
      <c r="Y94" s="40" t="e">
        <f>+Y92-VLOOKUP(Dulieu!$C$54&amp;"_PRE_Y",Dulieu!$C$88:$Y$400,23,FALSE)-IFERROR(VLOOKUP(LEFT(Dulieu!$C$54,12)&amp;"37"&amp;"_PRE_Y",Dulieu!$C$88:$Y$400,23,FALSE),0)</f>
        <v>#VALUE!</v>
      </c>
    </row>
    <row r="95" spans="1:25" s="32" customFormat="1" ht="12" x14ac:dyDescent="0.2">
      <c r="A95" s="42"/>
      <c r="B95" s="43" t="s">
        <v>42</v>
      </c>
      <c r="C95" s="44">
        <f t="shared" si="25"/>
        <v>0</v>
      </c>
      <c r="D95" s="44" t="str">
        <f>+Dulieu!D55</f>
        <v>${DN_CTR_QD_NV_060601.D2}</v>
      </c>
      <c r="E95" s="44" t="str">
        <f>+Dulieu!E55</f>
        <v>${DN_CTR_QD_NV_060601.D11}</v>
      </c>
      <c r="F95" s="44" t="str">
        <f>+Dulieu!F55</f>
        <v>${DN_CTR_QD_NV_060601.D4}</v>
      </c>
      <c r="G95" s="44" t="str">
        <f>+Dulieu!G55</f>
        <v>${DN_CTR_QD_NV_060601.D6}</v>
      </c>
      <c r="H95" s="44" t="str">
        <f>+Dulieu!H55</f>
        <v>${DN_CTR_QD_NV_060601.D8}</v>
      </c>
      <c r="I95" s="44" t="str">
        <f>+Dulieu!I55</f>
        <v>${DN_CTR_QD_NV_060601.D9}</v>
      </c>
      <c r="J95" s="44" t="str">
        <f>+Dulieu!J55</f>
        <v>${DN_CTR_QD_NV_060601.D3}</v>
      </c>
      <c r="K95" s="44" t="str">
        <f>+Dulieu!K55</f>
        <v>${DN_CTR_QD_NV_060601.D10}</v>
      </c>
      <c r="L95" s="44" t="str">
        <f>+Dulieu!L55</f>
        <v>${DN_CTR_QD_NV_060601.D5}</v>
      </c>
      <c r="M95" s="44" t="str">
        <f>+Dulieu!M55</f>
        <v>${DN_CTR_QD_NV_060601.D7}</v>
      </c>
      <c r="N95" s="44" t="str">
        <f>+Dulieu!N55</f>
        <v>${DN_CTR_QD_NV_060601.D12}</v>
      </c>
      <c r="O95" s="44" t="str">
        <f>+Dulieu!O55</f>
        <v>${DN_CTR_QD_NV_060601.D13}</v>
      </c>
      <c r="P95" s="44" t="str">
        <f>+Dulieu!P55</f>
        <v>${DN_CTR_QD_NV_060601.D14}</v>
      </c>
      <c r="Q95" s="44" t="str">
        <f>+Dulieu!Q55</f>
        <v>${DN_CTR_QD_NV_060601.D15}</v>
      </c>
      <c r="R95" s="44" t="str">
        <f>+Dulieu!R55</f>
        <v>${DN_CTR_QD_NV_060601.D16}</v>
      </c>
      <c r="S95" s="44" t="str">
        <f>+Dulieu!S55</f>
        <v>${DN_CTR_QD_NV_060601.D17}</v>
      </c>
      <c r="T95" s="44" t="str">
        <f>+Dulieu!T55</f>
        <v>${DN_CTR_QD_NV_060601.D18}</v>
      </c>
      <c r="U95" s="44" t="str">
        <f>+Dulieu!U55</f>
        <v>${DN_CTR_QD_NV_060601.D19}</v>
      </c>
      <c r="V95" s="44" t="str">
        <f>+Dulieu!V55</f>
        <v>${DN_CTR_QD_NV_060601.D20}</v>
      </c>
      <c r="W95" s="44" t="str">
        <f>+Dulieu!W55</f>
        <v>${DN_CTR_QD_NV_060601.D21}</v>
      </c>
      <c r="X95" s="44" t="str">
        <f>+Dulieu!X55</f>
        <v>${DN_CTR_QD_NV_060601.D22}</v>
      </c>
      <c r="Y95" s="44" t="str">
        <f>+Dulieu!Y55</f>
        <v>${DN_CTR_QD_NV_060601.D23}</v>
      </c>
    </row>
    <row r="96" spans="1:25" s="32" customFormat="1" ht="12" x14ac:dyDescent="0.2">
      <c r="A96" s="42"/>
      <c r="B96" s="43" t="s">
        <v>43</v>
      </c>
      <c r="C96" s="44">
        <f t="shared" si="25"/>
        <v>0</v>
      </c>
      <c r="D96" s="44" t="str">
        <f>+Dulieu!D56</f>
        <v>${DN_CTR_QD_NV_060602.D2}</v>
      </c>
      <c r="E96" s="44" t="str">
        <f>+Dulieu!E56</f>
        <v>${DN_CTR_QD_NV_060602.D11}</v>
      </c>
      <c r="F96" s="44" t="str">
        <f>+Dulieu!F56</f>
        <v>${DN_CTR_QD_NV_060602.D4}</v>
      </c>
      <c r="G96" s="44" t="str">
        <f>+Dulieu!G56</f>
        <v>${DN_CTR_QD_NV_060602.D6}</v>
      </c>
      <c r="H96" s="44" t="str">
        <f>+Dulieu!H56</f>
        <v>${DN_CTR_QD_NV_060602.D8}</v>
      </c>
      <c r="I96" s="44" t="str">
        <f>+Dulieu!I56</f>
        <v>${DN_CTR_QD_NV_060602.D9}</v>
      </c>
      <c r="J96" s="44" t="str">
        <f>+Dulieu!J56</f>
        <v>${DN_CTR_QD_NV_060602.D3}</v>
      </c>
      <c r="K96" s="44" t="str">
        <f>+Dulieu!K56</f>
        <v>${DN_CTR_QD_NV_060602.D10}</v>
      </c>
      <c r="L96" s="44" t="str">
        <f>+Dulieu!L56</f>
        <v>${DN_CTR_QD_NV_060602.D5}</v>
      </c>
      <c r="M96" s="44" t="str">
        <f>+Dulieu!M56</f>
        <v>${DN_CTR_QD_NV_060602.D7}</v>
      </c>
      <c r="N96" s="44" t="str">
        <f>+Dulieu!N56</f>
        <v>${DN_CTR_QD_NV_060602.D12}</v>
      </c>
      <c r="O96" s="44" t="str">
        <f>+Dulieu!O56</f>
        <v>${DN_CTR_QD_NV_060602.D13}</v>
      </c>
      <c r="P96" s="44" t="str">
        <f>+Dulieu!P56</f>
        <v>${DN_CTR_QD_NV_060602.D14}</v>
      </c>
      <c r="Q96" s="44" t="str">
        <f>+Dulieu!Q56</f>
        <v>${DN_CTR_QD_NV_060602.D15}</v>
      </c>
      <c r="R96" s="44" t="str">
        <f>+Dulieu!R56</f>
        <v>${DN_CTR_QD_NV_060602.D16}</v>
      </c>
      <c r="S96" s="44" t="str">
        <f>+Dulieu!S56</f>
        <v>${DN_CTR_QD_NV_060602.D17}</v>
      </c>
      <c r="T96" s="44" t="str">
        <f>+Dulieu!T56</f>
        <v>${DN_CTR_QD_NV_060602.D18}</v>
      </c>
      <c r="U96" s="44" t="str">
        <f>+Dulieu!U56</f>
        <v>${DN_CTR_QD_NV_060602.D19}</v>
      </c>
      <c r="V96" s="44" t="str">
        <f>+Dulieu!V56</f>
        <v>${DN_CTR_QD_NV_060602.D20}</v>
      </c>
      <c r="W96" s="44" t="str">
        <f>+Dulieu!W56</f>
        <v>${DN_CTR_QD_NV_060602.D21}</v>
      </c>
      <c r="X96" s="44" t="str">
        <f>+Dulieu!X56</f>
        <v>${DN_CTR_QD_NV_060602.D22}</v>
      </c>
      <c r="Y96" s="44" t="str">
        <f>+Dulieu!Y56</f>
        <v>${DN_CTR_QD_NV_060602.D23}</v>
      </c>
    </row>
    <row r="97" spans="1:25" s="37" customFormat="1" ht="12" x14ac:dyDescent="0.2">
      <c r="A97" s="34">
        <v>6</v>
      </c>
      <c r="B97" s="35" t="s">
        <v>48</v>
      </c>
      <c r="C97" s="36">
        <f t="shared" si="25"/>
        <v>0</v>
      </c>
      <c r="D97" s="36" t="str">
        <f>+Dulieu!D57</f>
        <v>${DN_CTR_QD_0303.D2}</v>
      </c>
      <c r="E97" s="36" t="str">
        <f>+Dulieu!E57</f>
        <v>${DN_CTR_QD_0303.D11}</v>
      </c>
      <c r="F97" s="36" t="str">
        <f>+Dulieu!F57</f>
        <v>${DN_CTR_QD_0303.D4}</v>
      </c>
      <c r="G97" s="36" t="str">
        <f>+Dulieu!G57</f>
        <v>${DN_CTR_QD_0303.D6}</v>
      </c>
      <c r="H97" s="36" t="str">
        <f>+Dulieu!H57</f>
        <v>${DN_CTR_QD_0303.D8}</v>
      </c>
      <c r="I97" s="36" t="str">
        <f>+Dulieu!I57</f>
        <v>${DN_CTR_QD_0303.D9}</v>
      </c>
      <c r="J97" s="36" t="str">
        <f>+Dulieu!J57</f>
        <v>${DN_CTR_QD_0303.D3}</v>
      </c>
      <c r="K97" s="36" t="str">
        <f>+Dulieu!K57</f>
        <v>${DN_CTR_QD_0303.D10}</v>
      </c>
      <c r="L97" s="36" t="str">
        <f>+Dulieu!L57</f>
        <v>${DN_CTR_QD_0303.D5}</v>
      </c>
      <c r="M97" s="36" t="str">
        <f>+Dulieu!M57</f>
        <v>${DN_CTR_QD_0303.D7}</v>
      </c>
      <c r="N97" s="36" t="str">
        <f>+Dulieu!N57</f>
        <v>${DN_CTR_QD_0303.D12}</v>
      </c>
      <c r="O97" s="36" t="str">
        <f>+Dulieu!O57</f>
        <v>${DN_CTR_QD_0303.D13}</v>
      </c>
      <c r="P97" s="36" t="str">
        <f>+Dulieu!P57</f>
        <v>${DN_CTR_QD_0303.D14}</v>
      </c>
      <c r="Q97" s="36" t="str">
        <f>+Dulieu!Q57</f>
        <v>${DN_CTR_QD_0303.D15}</v>
      </c>
      <c r="R97" s="36" t="str">
        <f>+Dulieu!R57</f>
        <v>${DN_CTR_QD_0303.D16}</v>
      </c>
      <c r="S97" s="36" t="str">
        <f>+Dulieu!S57</f>
        <v>${DN_CTR_QD_0303.D17}</v>
      </c>
      <c r="T97" s="36" t="str">
        <f>+Dulieu!T57</f>
        <v>${DN_CTR_QD_0303.D18}</v>
      </c>
      <c r="U97" s="36" t="str">
        <f>+Dulieu!U57</f>
        <v>${DN_CTR_QD_0303.D19}</v>
      </c>
      <c r="V97" s="36" t="str">
        <f>+Dulieu!V57</f>
        <v>${DN_CTR_QD_0303.D20}</v>
      </c>
      <c r="W97" s="36" t="str">
        <f>+Dulieu!W57</f>
        <v>${DN_CTR_QD_0303.D21}</v>
      </c>
      <c r="X97" s="36" t="str">
        <f>+Dulieu!X57</f>
        <v>${DN_CTR_QD_0303.D22}</v>
      </c>
      <c r="Y97" s="36" t="str">
        <f>+Dulieu!Y57</f>
        <v>${DN_CTR_QD_0303.D23}</v>
      </c>
    </row>
    <row r="98" spans="1:25" s="41" customFormat="1" ht="12" x14ac:dyDescent="0.2">
      <c r="A98" s="38"/>
      <c r="B98" s="39" t="s">
        <v>838</v>
      </c>
      <c r="C98" s="40" t="e">
        <f t="shared" si="25"/>
        <v>#VALUE!</v>
      </c>
      <c r="D98" s="40" t="e">
        <f>+D97-VLOOKUP(Dulieu!$C$57&amp;"_PRE_M",Dulieu!$C$88:$N$400,2,FALSE)</f>
        <v>#VALUE!</v>
      </c>
      <c r="E98" s="40" t="e">
        <f>+E97-VLOOKUP(Dulieu!$C$57&amp;"_PRE_M",Dulieu!$C$88:$N$400,3,FALSE)</f>
        <v>#VALUE!</v>
      </c>
      <c r="F98" s="40" t="e">
        <f>+F97-VLOOKUP(Dulieu!$C$57&amp;"_PRE_M",Dulieu!$C$88:$N$400,4,FALSE)</f>
        <v>#VALUE!</v>
      </c>
      <c r="G98" s="40" t="e">
        <f>+G97-VLOOKUP(Dulieu!$C$57&amp;"_PRE_M",Dulieu!$C$88:$N$400,5,FALSE)</f>
        <v>#VALUE!</v>
      </c>
      <c r="H98" s="40" t="e">
        <f>+H97-VLOOKUP(Dulieu!$C$57&amp;"_PRE_M",Dulieu!$C$88:$N$400,6,FALSE)</f>
        <v>#VALUE!</v>
      </c>
      <c r="I98" s="40" t="e">
        <f>+I97-VLOOKUP(Dulieu!$C$57&amp;"_PRE_M",Dulieu!$C$88:$N$400,7,FALSE)</f>
        <v>#VALUE!</v>
      </c>
      <c r="J98" s="40" t="e">
        <f>+J97-VLOOKUP(Dulieu!$C$57&amp;"_PRE_M",Dulieu!$C$88:$N$400,8,FALSE)</f>
        <v>#VALUE!</v>
      </c>
      <c r="K98" s="40" t="e">
        <f>+K97-VLOOKUP(Dulieu!$C$57&amp;"_PRE_M",Dulieu!$C$88:$N$400,9,FALSE)</f>
        <v>#VALUE!</v>
      </c>
      <c r="L98" s="40" t="e">
        <f>+L97-VLOOKUP(Dulieu!$C$57&amp;"_PRE_M",Dulieu!$C$88:$N$400,10,FALSE)</f>
        <v>#VALUE!</v>
      </c>
      <c r="M98" s="40" t="e">
        <f>+M97-VLOOKUP(Dulieu!$C$57&amp;"_PRE_M",Dulieu!$C$88:$N$400,11,FALSE)</f>
        <v>#VALUE!</v>
      </c>
      <c r="N98" s="40" t="e">
        <f>+N97-VLOOKUP(Dulieu!$C$57&amp;"_PRE_M",Dulieu!$C$88:$N$400,12,FALSE)</f>
        <v>#VALUE!</v>
      </c>
      <c r="O98" s="40" t="e">
        <f>+O97-VLOOKUP(Dulieu!$C$57&amp;"_PRE_M",Dulieu!$C$88:$Y$400,13,FALSE)</f>
        <v>#VALUE!</v>
      </c>
      <c r="P98" s="40" t="e">
        <f>+P97-VLOOKUP(Dulieu!$C$57&amp;"_PRE_M",Dulieu!$C$88:$Y$400,14,FALSE)</f>
        <v>#VALUE!</v>
      </c>
      <c r="Q98" s="40" t="e">
        <f>+Q97-VLOOKUP(Dulieu!$C$57&amp;"_PRE_M",Dulieu!$C$88:$Y$400,15,FALSE)</f>
        <v>#VALUE!</v>
      </c>
      <c r="R98" s="40" t="e">
        <f>+R97-VLOOKUP(Dulieu!$C$57&amp;"_PRE_M",Dulieu!$C$88:$Y$400,16,FALSE)</f>
        <v>#VALUE!</v>
      </c>
      <c r="S98" s="40" t="e">
        <f>+S97-VLOOKUP(Dulieu!$C$57&amp;"_PRE_M",Dulieu!$C$88:$Y$400,17,FALSE)</f>
        <v>#VALUE!</v>
      </c>
      <c r="T98" s="40" t="e">
        <f>+T97-VLOOKUP(Dulieu!$C$57&amp;"_PRE_M",Dulieu!$C$88:$Y$400,18,FALSE)</f>
        <v>#VALUE!</v>
      </c>
      <c r="U98" s="40" t="e">
        <f>+U97-VLOOKUP(Dulieu!$C$57&amp;"_PRE_M",Dulieu!$C$88:$Y$400,19,FALSE)</f>
        <v>#VALUE!</v>
      </c>
      <c r="V98" s="40" t="e">
        <f>+V97-VLOOKUP(Dulieu!$C$57&amp;"_PRE_M",Dulieu!$C$88:$Y$400,20,FALSE)</f>
        <v>#VALUE!</v>
      </c>
      <c r="W98" s="40" t="e">
        <f>+W97-VLOOKUP(Dulieu!$C$57&amp;"_PRE_M",Dulieu!$C$88:$Y$400,21,FALSE)</f>
        <v>#VALUE!</v>
      </c>
      <c r="X98" s="40" t="e">
        <f>+X97-VLOOKUP(Dulieu!$C$57&amp;"_PRE_M",Dulieu!$C$88:$Y$400,22,FALSE)</f>
        <v>#VALUE!</v>
      </c>
      <c r="Y98" s="40" t="e">
        <f>+Y97-VLOOKUP(Dulieu!$C$57&amp;"_PRE_M",Dulieu!$C$88:$Y$400,23,FALSE)</f>
        <v>#VALUE!</v>
      </c>
    </row>
    <row r="99" spans="1:25" s="41" customFormat="1" ht="12" x14ac:dyDescent="0.2">
      <c r="A99" s="38"/>
      <c r="B99" s="39" t="s">
        <v>839</v>
      </c>
      <c r="C99" s="40" t="e">
        <f t="shared" ref="C99:C122" si="32">SUM(D99:Y99)</f>
        <v>#VALUE!</v>
      </c>
      <c r="D99" s="40" t="e">
        <f>+D97-VLOOKUP(Dulieu!$C$57&amp;"_PRE_Y",Dulieu!$C$88:$N$400,2,FALSE)</f>
        <v>#VALUE!</v>
      </c>
      <c r="E99" s="40" t="e">
        <f>+E97-VLOOKUP(Dulieu!$C$57&amp;"_PRE_Y",Dulieu!$C$88:$N$400,3,FALSE)</f>
        <v>#VALUE!</v>
      </c>
      <c r="F99" s="40" t="e">
        <f>+F97-VLOOKUP(Dulieu!$C$57&amp;"_PRE_Y",Dulieu!$C$88:$N$400,4,FALSE)</f>
        <v>#VALUE!</v>
      </c>
      <c r="G99" s="40" t="e">
        <f>+G97-VLOOKUP(Dulieu!$C$57&amp;"_PRE_Y",Dulieu!$C$88:$N$400,5,FALSE)</f>
        <v>#VALUE!</v>
      </c>
      <c r="H99" s="40" t="e">
        <f>+H97-VLOOKUP(Dulieu!$C$57&amp;"_PRE_Y",Dulieu!$C$88:$N$400,6,FALSE)</f>
        <v>#VALUE!</v>
      </c>
      <c r="I99" s="40" t="e">
        <f>+I97-VLOOKUP(Dulieu!$C$57&amp;"_PRE_Y",Dulieu!$C$88:$N$400,7,FALSE)</f>
        <v>#VALUE!</v>
      </c>
      <c r="J99" s="40" t="e">
        <f>+J97-VLOOKUP(Dulieu!$C$57&amp;"_PRE_Y",Dulieu!$C$88:$N$400,8,FALSE)</f>
        <v>#VALUE!</v>
      </c>
      <c r="K99" s="40" t="e">
        <f>+K97-VLOOKUP(Dulieu!$C$57&amp;"_PRE_Y",Dulieu!$C$88:$N$400,9,FALSE)</f>
        <v>#VALUE!</v>
      </c>
      <c r="L99" s="40" t="e">
        <f>+L97-VLOOKUP(Dulieu!$C$57&amp;"_PRE_Y",Dulieu!$C$88:$N$400,10,FALSE)</f>
        <v>#VALUE!</v>
      </c>
      <c r="M99" s="40" t="e">
        <f>+M97-VLOOKUP(Dulieu!$C$57&amp;"_PRE_Y",Dulieu!$C$88:$N$400,11,FALSE)</f>
        <v>#VALUE!</v>
      </c>
      <c r="N99" s="40" t="e">
        <f>+N97-VLOOKUP(Dulieu!$C$57&amp;"_PRE_Y",Dulieu!$C$88:$N$400,12,FALSE)</f>
        <v>#VALUE!</v>
      </c>
      <c r="O99" s="40" t="e">
        <f>+O97-VLOOKUP(Dulieu!$C$57&amp;"_PRE_Y",Dulieu!$C$88:$Y$400,13,FALSE)</f>
        <v>#VALUE!</v>
      </c>
      <c r="P99" s="40" t="e">
        <f>+P97-VLOOKUP(Dulieu!$C$57&amp;"_PRE_Y",Dulieu!$C$88:$Y$400,14,FALSE)</f>
        <v>#VALUE!</v>
      </c>
      <c r="Q99" s="40" t="e">
        <f>+Q97-VLOOKUP(Dulieu!$C$57&amp;"_PRE_Y",Dulieu!$C$88:$Y$400,15,FALSE)</f>
        <v>#VALUE!</v>
      </c>
      <c r="R99" s="40" t="e">
        <f>+R97-VLOOKUP(Dulieu!$C$57&amp;"_PRE_Y",Dulieu!$C$88:$Y$400,16,FALSE)</f>
        <v>#VALUE!</v>
      </c>
      <c r="S99" s="40" t="e">
        <f>+S97-VLOOKUP(Dulieu!$C$57&amp;"_PRE_Y",Dulieu!$C$88:$Y$400,17,FALSE)</f>
        <v>#VALUE!</v>
      </c>
      <c r="T99" s="40" t="e">
        <f>+T97-VLOOKUP(Dulieu!$C$57&amp;"_PRE_Y",Dulieu!$C$88:$Y$400,18,FALSE)</f>
        <v>#VALUE!</v>
      </c>
      <c r="U99" s="40" t="e">
        <f>+U97-VLOOKUP(Dulieu!$C$57&amp;"_PRE_Y",Dulieu!$C$88:$Y$400,19,FALSE)</f>
        <v>#VALUE!</v>
      </c>
      <c r="V99" s="40" t="e">
        <f>+V97-VLOOKUP(Dulieu!$C$57&amp;"_PRE_Y",Dulieu!$C$88:$Y$400,20,FALSE)</f>
        <v>#VALUE!</v>
      </c>
      <c r="W99" s="40" t="e">
        <f>+W97-VLOOKUP(Dulieu!$C$57&amp;"_PRE_Y",Dulieu!$C$88:$Y$400,21,FALSE)</f>
        <v>#VALUE!</v>
      </c>
      <c r="X99" s="40" t="e">
        <f>+X97-VLOOKUP(Dulieu!$C$57&amp;"_PRE_Y",Dulieu!$C$88:$Y$400,22,FALSE)</f>
        <v>#VALUE!</v>
      </c>
      <c r="Y99" s="40" t="e">
        <f>+Y97-VLOOKUP(Dulieu!$C$57&amp;"_PRE_Y",Dulieu!$C$88:$Y$400,23,FALSE)</f>
        <v>#VALUE!</v>
      </c>
    </row>
    <row r="100" spans="1:25" s="32" customFormat="1" ht="12" x14ac:dyDescent="0.2">
      <c r="A100" s="42" t="s">
        <v>49</v>
      </c>
      <c r="B100" s="52" t="s">
        <v>50</v>
      </c>
      <c r="C100" s="44">
        <f t="shared" si="32"/>
        <v>0</v>
      </c>
      <c r="D100" s="44" t="str">
        <f>+Dulieu!D58</f>
        <v>${DN_CTR_QD_NV_030301QQG.D2}</v>
      </c>
      <c r="E100" s="44" t="str">
        <f>+Dulieu!E58</f>
        <v>${DN_CTR_QD_NV_030301QQG.D11}</v>
      </c>
      <c r="F100" s="44" t="str">
        <f>+Dulieu!F58</f>
        <v>${DN_CTR_QD_NV_030301QQG.D4}</v>
      </c>
      <c r="G100" s="44" t="str">
        <f>+Dulieu!G58</f>
        <v>${DN_CTR_QD_NV_030301QQG.D6}</v>
      </c>
      <c r="H100" s="44" t="str">
        <f>+Dulieu!H58</f>
        <v>${DN_CTR_QD_NV_030301QQG.D8}</v>
      </c>
      <c r="I100" s="44" t="str">
        <f>+Dulieu!I58</f>
        <v>${DN_CTR_QD_NV_030301QQG.D9}</v>
      </c>
      <c r="J100" s="44" t="str">
        <f>+Dulieu!J58</f>
        <v>${DN_CTR_QD_NV_030301QQG.D3}</v>
      </c>
      <c r="K100" s="44" t="str">
        <f>+Dulieu!K58</f>
        <v>${DN_CTR_QD_NV_030301QQG.D10}</v>
      </c>
      <c r="L100" s="44" t="str">
        <f>+Dulieu!L58</f>
        <v>${DN_CTR_QD_NV_030301QQG.D5}</v>
      </c>
      <c r="M100" s="44" t="str">
        <f>+Dulieu!M58</f>
        <v>${DN_CTR_QD_NV_030301QQG.D7}</v>
      </c>
      <c r="N100" s="44" t="str">
        <f>+Dulieu!N58</f>
        <v>${DN_CTR_QD_NV_030301QQG.D12}</v>
      </c>
      <c r="O100" s="44" t="str">
        <f>+Dulieu!O58</f>
        <v>${DN_CTR_QD_NV_030301QQG.D13}</v>
      </c>
      <c r="P100" s="44" t="str">
        <f>+Dulieu!P58</f>
        <v>${DN_CTR_QD_NV_030301QQG.D14}</v>
      </c>
      <c r="Q100" s="44" t="str">
        <f>+Dulieu!Q58</f>
        <v>${DN_CTR_QD_NV_030301QQG.D15}</v>
      </c>
      <c r="R100" s="44" t="str">
        <f>+Dulieu!R58</f>
        <v>${DN_CTR_QD_NV_030301QQG.D16}</v>
      </c>
      <c r="S100" s="44" t="str">
        <f>+Dulieu!S58</f>
        <v>${DN_CTR_QD_NV_030301QQG.D17}</v>
      </c>
      <c r="T100" s="44" t="str">
        <f>+Dulieu!T58</f>
        <v>${DN_CTR_QD_NV_030301QQG.D18}</v>
      </c>
      <c r="U100" s="44" t="str">
        <f>+Dulieu!U58</f>
        <v>${DN_CTR_QD_NV_030301QQG.D19}</v>
      </c>
      <c r="V100" s="44" t="str">
        <f>+Dulieu!V58</f>
        <v>${DN_CTR_QD_NV_030301QQG.D20}</v>
      </c>
      <c r="W100" s="44" t="str">
        <f>+Dulieu!W58</f>
        <v>${DN_CTR_QD_NV_030301QQG.D21}</v>
      </c>
      <c r="X100" s="44" t="str">
        <f>+Dulieu!X58</f>
        <v>${DN_CTR_QD_NV_030301QQG.D22}</v>
      </c>
      <c r="Y100" s="44" t="str">
        <f>+Dulieu!Y58</f>
        <v>${DN_CTR_QD_NV_030301QQG.D23}</v>
      </c>
    </row>
    <row r="101" spans="1:25" s="32" customFormat="1" ht="12" x14ac:dyDescent="0.2">
      <c r="A101" s="42"/>
      <c r="B101" s="52" t="s">
        <v>51</v>
      </c>
      <c r="C101" s="44">
        <f t="shared" si="32"/>
        <v>0</v>
      </c>
      <c r="D101" s="44" t="str">
        <f>+Dulieu!D59</f>
        <v>${DN_CTR_QD_NV_030301UBND.D2}</v>
      </c>
      <c r="E101" s="44" t="str">
        <f>+Dulieu!E59</f>
        <v>${DN_CTR_QD_NV_030301UBND.D11}</v>
      </c>
      <c r="F101" s="44" t="str">
        <f>+Dulieu!F59</f>
        <v>${DN_CTR_QD_NV_030301UBND.D4}</v>
      </c>
      <c r="G101" s="44" t="str">
        <f>+Dulieu!G59</f>
        <v>${DN_CTR_QD_NV_030301UBND.D6}</v>
      </c>
      <c r="H101" s="44" t="str">
        <f>+Dulieu!H59</f>
        <v>${DN_CTR_QD_NV_030301UBND.D8}</v>
      </c>
      <c r="I101" s="44" t="str">
        <f>+Dulieu!I59</f>
        <v>${DN_CTR_QD_NV_030301UBND.D9}</v>
      </c>
      <c r="J101" s="44" t="str">
        <f>+Dulieu!J59</f>
        <v>${DN_CTR_QD_NV_030301UBND.D3}</v>
      </c>
      <c r="K101" s="44" t="str">
        <f>+Dulieu!K59</f>
        <v>${DN_CTR_QD_NV_030301UBND.D10}</v>
      </c>
      <c r="L101" s="44" t="str">
        <f>+Dulieu!L59</f>
        <v>${DN_CTR_QD_NV_030301UBND.D5}</v>
      </c>
      <c r="M101" s="44" t="str">
        <f>+Dulieu!M59</f>
        <v>${DN_CTR_QD_NV_030301UBND.D7}</v>
      </c>
      <c r="N101" s="44" t="str">
        <f>+Dulieu!N59</f>
        <v>${DN_CTR_QD_NV_030301UBND.D12}</v>
      </c>
      <c r="O101" s="44" t="str">
        <f>+Dulieu!O59</f>
        <v>${DN_CTR_QD_NV_030301UBND.D13}</v>
      </c>
      <c r="P101" s="44" t="str">
        <f>+Dulieu!P59</f>
        <v>${DN_CTR_QD_NV_030301UBND.D14}</v>
      </c>
      <c r="Q101" s="44" t="str">
        <f>+Dulieu!Q59</f>
        <v>${DN_CTR_QD_NV_030301UBND.D15}</v>
      </c>
      <c r="R101" s="44" t="str">
        <f>+Dulieu!R59</f>
        <v>${DN_CTR_QD_NV_030301UBND.D16}</v>
      </c>
      <c r="S101" s="44" t="str">
        <f>+Dulieu!S59</f>
        <v>${DN_CTR_QD_NV_030301UBND.D17}</v>
      </c>
      <c r="T101" s="44" t="str">
        <f>+Dulieu!T59</f>
        <v>${DN_CTR_QD_NV_030301UBND.D18}</v>
      </c>
      <c r="U101" s="44" t="str">
        <f>+Dulieu!U59</f>
        <v>${DN_CTR_QD_NV_030301UBND.D19}</v>
      </c>
      <c r="V101" s="44" t="str">
        <f>+Dulieu!V59</f>
        <v>${DN_CTR_QD_NV_030301UBND.D20}</v>
      </c>
      <c r="W101" s="44" t="str">
        <f>+Dulieu!W59</f>
        <v>${DN_CTR_QD_NV_030301UBND.D21}</v>
      </c>
      <c r="X101" s="44" t="str">
        <f>+Dulieu!X59</f>
        <v>${DN_CTR_QD_NV_030301UBND.D22}</v>
      </c>
      <c r="Y101" s="44" t="str">
        <f>+Dulieu!Y59</f>
        <v>${DN_CTR_QD_NV_030301UBND.D23}</v>
      </c>
    </row>
    <row r="102" spans="1:25" s="32" customFormat="1" ht="12" x14ac:dyDescent="0.2">
      <c r="A102" s="42"/>
      <c r="B102" s="52" t="s">
        <v>762</v>
      </c>
      <c r="C102" s="44">
        <f t="shared" si="32"/>
        <v>0</v>
      </c>
      <c r="D102" s="44" t="str">
        <f>+Dulieu!D60</f>
        <v>${DN_CTR_QD_NV_030301HDT.D2}</v>
      </c>
      <c r="E102" s="44" t="str">
        <f>+Dulieu!E60</f>
        <v>${DN_CTR_QD_NV_030301HDT.D11}</v>
      </c>
      <c r="F102" s="44" t="str">
        <f>+Dulieu!F60</f>
        <v>${DN_CTR_QD_NV_030301HDT.D4}</v>
      </c>
      <c r="G102" s="44" t="str">
        <f>+Dulieu!G60</f>
        <v>${DN_CTR_QD_NV_030301HDT.D6}</v>
      </c>
      <c r="H102" s="44" t="str">
        <f>+Dulieu!H60</f>
        <v>${DN_CTR_QD_NV_030301HDT.D8}</v>
      </c>
      <c r="I102" s="44" t="str">
        <f>+Dulieu!I60</f>
        <v>${DN_CTR_QD_NV_030301HDT.D9}</v>
      </c>
      <c r="J102" s="44" t="str">
        <f>+Dulieu!J60</f>
        <v>${DN_CTR_QD_NV_030301HDT.D3}</v>
      </c>
      <c r="K102" s="44" t="str">
        <f>+Dulieu!K60</f>
        <v>${DN_CTR_QD_NV_030301HDT.D10}</v>
      </c>
      <c r="L102" s="44" t="str">
        <f>+Dulieu!L60</f>
        <v>${DN_CTR_QD_NV_030301HDT.D5}</v>
      </c>
      <c r="M102" s="44" t="str">
        <f>+Dulieu!M60</f>
        <v>${DN_CTR_QD_NV_030301HDT.D7}</v>
      </c>
      <c r="N102" s="44" t="str">
        <f>+Dulieu!N60</f>
        <v>${DN_CTR_QD_NV_030301HDT.D12}</v>
      </c>
      <c r="O102" s="44" t="str">
        <f>+Dulieu!O60</f>
        <v>${DN_CTR_QD_NV_030301HDT.D13}</v>
      </c>
      <c r="P102" s="44" t="str">
        <f>+Dulieu!P60</f>
        <v>${DN_CTR_QD_NV_030301HDT.D14}</v>
      </c>
      <c r="Q102" s="44" t="str">
        <f>+Dulieu!Q60</f>
        <v>${DN_CTR_QD_NV_030301HDT.D15}</v>
      </c>
      <c r="R102" s="44" t="str">
        <f>+Dulieu!R60</f>
        <v>${DN_CTR_QD_NV_030301HDT.D16}</v>
      </c>
      <c r="S102" s="44" t="str">
        <f>+Dulieu!S60</f>
        <v>${DN_CTR_QD_NV_030301HDT.D17}</v>
      </c>
      <c r="T102" s="44" t="str">
        <f>+Dulieu!T60</f>
        <v>${DN_CTR_QD_NV_030301HDT.D18}</v>
      </c>
      <c r="U102" s="44" t="str">
        <f>+Dulieu!U60</f>
        <v>${DN_CTR_QD_NV_030301HDT.D19}</v>
      </c>
      <c r="V102" s="44" t="str">
        <f>+Dulieu!V60</f>
        <v>${DN_CTR_QD_NV_030301HDT.D20}</v>
      </c>
      <c r="W102" s="44" t="str">
        <f>+Dulieu!W60</f>
        <v>${DN_CTR_QD_NV_030301HDT.D21}</v>
      </c>
      <c r="X102" s="44" t="str">
        <f>+Dulieu!X60</f>
        <v>${DN_CTR_QD_NV_030301HDT.D22}</v>
      </c>
      <c r="Y102" s="44" t="str">
        <f>+Dulieu!Y60</f>
        <v>${DN_CTR_QD_NV_030301HDT.D23}</v>
      </c>
    </row>
    <row r="103" spans="1:25" s="32" customFormat="1" ht="12" x14ac:dyDescent="0.2">
      <c r="A103" s="42" t="s">
        <v>52</v>
      </c>
      <c r="B103" s="52" t="s">
        <v>53</v>
      </c>
      <c r="C103" s="44">
        <f t="shared" si="32"/>
        <v>0</v>
      </c>
      <c r="D103" s="44" t="str">
        <f>+Dulieu!D61</f>
        <v>${DN_CTR_QD_NV_030301HD.D2}</v>
      </c>
      <c r="E103" s="44" t="str">
        <f>+Dulieu!E61</f>
        <v>${DN_CTR_QD_NV_030301HD.D11}</v>
      </c>
      <c r="F103" s="44" t="str">
        <f>+Dulieu!F61</f>
        <v>${DN_CTR_QD_NV_030301HD.D4}</v>
      </c>
      <c r="G103" s="44" t="str">
        <f>+Dulieu!G61</f>
        <v>${DN_CTR_QD_NV_030301HD.D6}</v>
      </c>
      <c r="H103" s="44" t="str">
        <f>+Dulieu!H61</f>
        <v>${DN_CTR_QD_NV_030301HD.D8}</v>
      </c>
      <c r="I103" s="44" t="str">
        <f>+Dulieu!I61</f>
        <v>${DN_CTR_QD_NV_030301HD.D9}</v>
      </c>
      <c r="J103" s="44" t="str">
        <f>+Dulieu!J61</f>
        <v>${DN_CTR_QD_NV_030301HD.D3}</v>
      </c>
      <c r="K103" s="44" t="str">
        <f>+Dulieu!K61</f>
        <v>${DN_CTR_QD_NV_030301HD.D10}</v>
      </c>
      <c r="L103" s="44" t="str">
        <f>+Dulieu!L61</f>
        <v>${DN_CTR_QD_NV_030301HD.D5}</v>
      </c>
      <c r="M103" s="44" t="str">
        <f>+Dulieu!M61</f>
        <v>${DN_CTR_QD_NV_030301HD.D7}</v>
      </c>
      <c r="N103" s="44" t="str">
        <f>+Dulieu!N61</f>
        <v>${DN_CTR_QD_NV_030301HD.D12}</v>
      </c>
      <c r="O103" s="44" t="str">
        <f>+Dulieu!O61</f>
        <v>${DN_CTR_QD_NV_030301HD.D13}</v>
      </c>
      <c r="P103" s="44" t="str">
        <f>+Dulieu!P61</f>
        <v>${DN_CTR_QD_NV_030301HD.D14}</v>
      </c>
      <c r="Q103" s="44" t="str">
        <f>+Dulieu!Q61</f>
        <v>${DN_CTR_QD_NV_030301HD.D15}</v>
      </c>
      <c r="R103" s="44" t="str">
        <f>+Dulieu!R61</f>
        <v>${DN_CTR_QD_NV_030301HD.D16}</v>
      </c>
      <c r="S103" s="44" t="str">
        <f>+Dulieu!S61</f>
        <v>${DN_CTR_QD_NV_030301HD.D17}</v>
      </c>
      <c r="T103" s="44" t="str">
        <f>+Dulieu!T61</f>
        <v>${DN_CTR_QD_NV_030301HD.D18}</v>
      </c>
      <c r="U103" s="44" t="str">
        <f>+Dulieu!U61</f>
        <v>${DN_CTR_QD_NV_030301HD.D19}</v>
      </c>
      <c r="V103" s="44" t="str">
        <f>+Dulieu!V61</f>
        <v>${DN_CTR_QD_NV_030301HD.D20}</v>
      </c>
      <c r="W103" s="44" t="str">
        <f>+Dulieu!W61</f>
        <v>${DN_CTR_QD_NV_030301HD.D21}</v>
      </c>
      <c r="X103" s="44" t="str">
        <f>+Dulieu!X61</f>
        <v>${DN_CTR_QD_NV_030301HD.D22}</v>
      </c>
      <c r="Y103" s="44" t="str">
        <f>+Dulieu!Y61</f>
        <v>${DN_CTR_QD_NV_030301HD.D23}</v>
      </c>
    </row>
    <row r="104" spans="1:25" s="32" customFormat="1" ht="12" x14ac:dyDescent="0.2">
      <c r="A104" s="42" t="s">
        <v>54</v>
      </c>
      <c r="B104" s="52" t="s">
        <v>55</v>
      </c>
      <c r="C104" s="44">
        <f t="shared" si="32"/>
        <v>0</v>
      </c>
      <c r="D104" s="44" t="str">
        <f>+Dulieu!D62</f>
        <v>${DN_CTR_QD_NV_030302.D2}</v>
      </c>
      <c r="E104" s="44" t="str">
        <f>+Dulieu!E62</f>
        <v>${DN_CTR_QD_NV_030302.D11}</v>
      </c>
      <c r="F104" s="44" t="str">
        <f>+Dulieu!F62</f>
        <v>${DN_CTR_QD_NV_030302.D4}</v>
      </c>
      <c r="G104" s="44" t="str">
        <f>+Dulieu!G62</f>
        <v>${DN_CTR_QD_NV_030302.D6}</v>
      </c>
      <c r="H104" s="44" t="str">
        <f>+Dulieu!H62</f>
        <v>${DN_CTR_QD_NV_030302.D8}</v>
      </c>
      <c r="I104" s="44" t="str">
        <f>+Dulieu!I62</f>
        <v>${DN_CTR_QD_NV_030302.D9}</v>
      </c>
      <c r="J104" s="44" t="str">
        <f>+Dulieu!J62</f>
        <v>${DN_CTR_QD_NV_030302.D3}</v>
      </c>
      <c r="K104" s="44" t="str">
        <f>+Dulieu!K62</f>
        <v>${DN_CTR_QD_NV_030302.D10}</v>
      </c>
      <c r="L104" s="44" t="str">
        <f>+Dulieu!L62</f>
        <v>${DN_CTR_QD_NV_030302.D5}</v>
      </c>
      <c r="M104" s="44" t="str">
        <f>+Dulieu!M62</f>
        <v>${DN_CTR_QD_NV_030302.D7}</v>
      </c>
      <c r="N104" s="44" t="str">
        <f>+Dulieu!N62</f>
        <v>${DN_CTR_QD_NV_030302.D12}</v>
      </c>
      <c r="O104" s="44" t="str">
        <f>+Dulieu!O62</f>
        <v>${DN_CTR_QD_NV_030302.D13}</v>
      </c>
      <c r="P104" s="44" t="str">
        <f>+Dulieu!P62</f>
        <v>${DN_CTR_QD_NV_030302.D14}</v>
      </c>
      <c r="Q104" s="44" t="str">
        <f>+Dulieu!Q62</f>
        <v>${DN_CTR_QD_NV_030302.D15}</v>
      </c>
      <c r="R104" s="44" t="str">
        <f>+Dulieu!R62</f>
        <v>${DN_CTR_QD_NV_030302.D16}</v>
      </c>
      <c r="S104" s="44" t="str">
        <f>+Dulieu!S62</f>
        <v>${DN_CTR_QD_NV_030302.D17}</v>
      </c>
      <c r="T104" s="44" t="str">
        <f>+Dulieu!T62</f>
        <v>${DN_CTR_QD_NV_030302.D18}</v>
      </c>
      <c r="U104" s="44" t="str">
        <f>+Dulieu!U62</f>
        <v>${DN_CTR_QD_NV_030302.D19}</v>
      </c>
      <c r="V104" s="44" t="str">
        <f>+Dulieu!V62</f>
        <v>${DN_CTR_QD_NV_030302.D20}</v>
      </c>
      <c r="W104" s="44" t="str">
        <f>+Dulieu!W62</f>
        <v>${DN_CTR_QD_NV_030302.D21}</v>
      </c>
      <c r="X104" s="44" t="str">
        <f>+Dulieu!X62</f>
        <v>${DN_CTR_QD_NV_030302.D22}</v>
      </c>
      <c r="Y104" s="44" t="str">
        <f>+Dulieu!Y62</f>
        <v>${DN_CTR_QD_NV_030302.D23}</v>
      </c>
    </row>
    <row r="105" spans="1:25" s="32" customFormat="1" ht="12" x14ac:dyDescent="0.2">
      <c r="A105" s="42"/>
      <c r="B105" s="52" t="s">
        <v>56</v>
      </c>
      <c r="C105" s="44">
        <f t="shared" si="32"/>
        <v>0</v>
      </c>
      <c r="D105" s="44" t="str">
        <f>+Dulieu!D63</f>
        <v>${DN_CTR_QD_NV_030302DTN.D2}</v>
      </c>
      <c r="E105" s="44" t="str">
        <f>+Dulieu!E63</f>
        <v>${DN_CTR_QD_NV_030302DTN.D11}</v>
      </c>
      <c r="F105" s="44" t="str">
        <f>+Dulieu!F63</f>
        <v>${DN_CTR_QD_NV_030302DTN.D4}</v>
      </c>
      <c r="G105" s="44" t="str">
        <f>+Dulieu!G63</f>
        <v>${DN_CTR_QD_NV_030302DTN.D6}</v>
      </c>
      <c r="H105" s="44" t="str">
        <f>+Dulieu!H63</f>
        <v>${DN_CTR_QD_NV_030302DTN.D8}</v>
      </c>
      <c r="I105" s="44" t="str">
        <f>+Dulieu!I63</f>
        <v>${DN_CTR_QD_NV_030302DTN.D9}</v>
      </c>
      <c r="J105" s="44" t="str">
        <f>+Dulieu!J63</f>
        <v>${DN_CTR_QD_NV_030302DTN.D3}</v>
      </c>
      <c r="K105" s="44" t="str">
        <f>+Dulieu!K63</f>
        <v>${DN_CTR_QD_NV_030302DTN.D10}</v>
      </c>
      <c r="L105" s="44" t="str">
        <f>+Dulieu!L63</f>
        <v>${DN_CTR_QD_NV_030302DTN.D5}</v>
      </c>
      <c r="M105" s="44" t="str">
        <f>+Dulieu!M63</f>
        <v>${DN_CTR_QD_NV_030302DTN.D7}</v>
      </c>
      <c r="N105" s="44" t="str">
        <f>+Dulieu!N63</f>
        <v>${DN_CTR_QD_NV_030302DTN.D12}</v>
      </c>
      <c r="O105" s="44" t="str">
        <f>+Dulieu!O63</f>
        <v>${DN_CTR_QD_NV_030302DTN.D13}</v>
      </c>
      <c r="P105" s="44" t="str">
        <f>+Dulieu!P63</f>
        <v>${DN_CTR_QD_NV_030302DTN.D14}</v>
      </c>
      <c r="Q105" s="44" t="str">
        <f>+Dulieu!Q63</f>
        <v>${DN_CTR_QD_NV_030302DTN.D15}</v>
      </c>
      <c r="R105" s="44" t="str">
        <f>+Dulieu!R63</f>
        <v>${DN_CTR_QD_NV_030302DTN.D16}</v>
      </c>
      <c r="S105" s="44" t="str">
        <f>+Dulieu!S63</f>
        <v>${DN_CTR_QD_NV_030302DTN.D17}</v>
      </c>
      <c r="T105" s="44" t="str">
        <f>+Dulieu!T63</f>
        <v>${DN_CTR_QD_NV_030302DTN.D18}</v>
      </c>
      <c r="U105" s="44" t="str">
        <f>+Dulieu!U63</f>
        <v>${DN_CTR_QD_NV_030302DTN.D19}</v>
      </c>
      <c r="V105" s="44" t="str">
        <f>+Dulieu!V63</f>
        <v>${DN_CTR_QD_NV_030302DTN.D20}</v>
      </c>
      <c r="W105" s="44" t="str">
        <f>+Dulieu!W63</f>
        <v>${DN_CTR_QD_NV_030302DTN.D21}</v>
      </c>
      <c r="X105" s="44" t="str">
        <f>+Dulieu!X63</f>
        <v>${DN_CTR_QD_NV_030302DTN.D22}</v>
      </c>
      <c r="Y105" s="44" t="str">
        <f>+Dulieu!Y63</f>
        <v>${DN_CTR_QD_NV_030302DTN.D23}</v>
      </c>
    </row>
    <row r="106" spans="1:25" s="32" customFormat="1" ht="12" x14ac:dyDescent="0.2">
      <c r="A106" s="42"/>
      <c r="B106" s="52" t="s">
        <v>763</v>
      </c>
      <c r="C106" s="44">
        <f t="shared" si="32"/>
        <v>0</v>
      </c>
      <c r="D106" s="44" t="str">
        <f>+Dulieu!D64</f>
        <v>${DN_CTR_QD_NV_030302TT.D2}</v>
      </c>
      <c r="E106" s="44" t="str">
        <f>+Dulieu!E64</f>
        <v>${DN_CTR_QD_NV_030302TT.D11}</v>
      </c>
      <c r="F106" s="44" t="str">
        <f>+Dulieu!F64</f>
        <v>${DN_CTR_QD_NV_030302TT.D4}</v>
      </c>
      <c r="G106" s="44" t="str">
        <f>+Dulieu!G64</f>
        <v>${DN_CTR_QD_NV_030302TT.D6}</v>
      </c>
      <c r="H106" s="44" t="str">
        <f>+Dulieu!H64</f>
        <v>${DN_CTR_QD_NV_030302TT.D8}</v>
      </c>
      <c r="I106" s="44" t="str">
        <f>+Dulieu!I64</f>
        <v>${DN_CTR_QD_NV_030302TT.D9}</v>
      </c>
      <c r="J106" s="44" t="str">
        <f>+Dulieu!J64</f>
        <v>${DN_CTR_QD_NV_030302TT.D3}</v>
      </c>
      <c r="K106" s="44" t="str">
        <f>+Dulieu!K64</f>
        <v>${DN_CTR_QD_NV_030302TT.D10}</v>
      </c>
      <c r="L106" s="44" t="str">
        <f>+Dulieu!L64</f>
        <v>${DN_CTR_QD_NV_030302TT.D5}</v>
      </c>
      <c r="M106" s="44" t="str">
        <f>+Dulieu!M64</f>
        <v>${DN_CTR_QD_NV_030302TT.D7}</v>
      </c>
      <c r="N106" s="44" t="str">
        <f>+Dulieu!N64</f>
        <v>${DN_CTR_QD_NV_030302TT.D12}</v>
      </c>
      <c r="O106" s="44" t="str">
        <f>+Dulieu!O64</f>
        <v>${DN_CTR_QD_NV_030302TT.D13}</v>
      </c>
      <c r="P106" s="44" t="str">
        <f>+Dulieu!P64</f>
        <v>${DN_CTR_QD_NV_030302TT.D14}</v>
      </c>
      <c r="Q106" s="44" t="str">
        <f>+Dulieu!Q64</f>
        <v>${DN_CTR_QD_NV_030302TT.D15}</v>
      </c>
      <c r="R106" s="44" t="str">
        <f>+Dulieu!R64</f>
        <v>${DN_CTR_QD_NV_030302TT.D16}</v>
      </c>
      <c r="S106" s="44" t="str">
        <f>+Dulieu!S64</f>
        <v>${DN_CTR_QD_NV_030302TT.D17}</v>
      </c>
      <c r="T106" s="44" t="str">
        <f>+Dulieu!T64</f>
        <v>${DN_CTR_QD_NV_030302TT.D18}</v>
      </c>
      <c r="U106" s="44" t="str">
        <f>+Dulieu!U64</f>
        <v>${DN_CTR_QD_NV_030302TT.D19}</v>
      </c>
      <c r="V106" s="44" t="str">
        <f>+Dulieu!V64</f>
        <v>${DN_CTR_QD_NV_030302TT.D20}</v>
      </c>
      <c r="W106" s="44" t="str">
        <f>+Dulieu!W64</f>
        <v>${DN_CTR_QD_NV_030302TT.D21}</v>
      </c>
      <c r="X106" s="44" t="str">
        <f>+Dulieu!X64</f>
        <v>${DN_CTR_QD_NV_030302TT.D22}</v>
      </c>
      <c r="Y106" s="44" t="str">
        <f>+Dulieu!Y64</f>
        <v>${DN_CTR_QD_NV_030302TT.D23}</v>
      </c>
    </row>
    <row r="107" spans="1:25" s="37" customFormat="1" ht="12" x14ac:dyDescent="0.2">
      <c r="A107" s="34">
        <v>7</v>
      </c>
      <c r="B107" s="53" t="s">
        <v>57</v>
      </c>
      <c r="C107" s="36">
        <f t="shared" si="32"/>
        <v>0</v>
      </c>
      <c r="D107" s="36" t="str">
        <f>+Dulieu!D65</f>
        <v>${DN_CTR_QD_0707.D2}</v>
      </c>
      <c r="E107" s="36" t="str">
        <f>+Dulieu!E65</f>
        <v>${DN_CTR_QD_0707.D11}</v>
      </c>
      <c r="F107" s="36" t="str">
        <f>+Dulieu!F65</f>
        <v>${DN_CTR_QD_0707.D4}</v>
      </c>
      <c r="G107" s="36" t="str">
        <f>+Dulieu!G65</f>
        <v>${DN_CTR_QD_0707.D6}</v>
      </c>
      <c r="H107" s="36" t="str">
        <f>+Dulieu!H65</f>
        <v>${DN_CTR_QD_0707.D8}</v>
      </c>
      <c r="I107" s="36" t="str">
        <f>+Dulieu!I65</f>
        <v>${DN_CTR_QD_0707.D9}</v>
      </c>
      <c r="J107" s="36" t="str">
        <f>+Dulieu!J65</f>
        <v>${DN_CTR_QD_0707.D3}</v>
      </c>
      <c r="K107" s="36" t="str">
        <f>+Dulieu!K65</f>
        <v>${DN_CTR_QD_0707.D10}</v>
      </c>
      <c r="L107" s="36" t="str">
        <f>+Dulieu!L65</f>
        <v>${DN_CTR_QD_0707.D5}</v>
      </c>
      <c r="M107" s="36" t="str">
        <f>+Dulieu!M65</f>
        <v>${DN_CTR_QD_0707.D7}</v>
      </c>
      <c r="N107" s="36" t="str">
        <f>+Dulieu!N65</f>
        <v>${DN_CTR_QD_0707.D12}</v>
      </c>
      <c r="O107" s="36" t="str">
        <f>+Dulieu!O65</f>
        <v>${DN_CTR_QD_0707.D13}</v>
      </c>
      <c r="P107" s="36" t="str">
        <f>+Dulieu!P65</f>
        <v>${DN_CTR_QD_0707.D14}</v>
      </c>
      <c r="Q107" s="36" t="str">
        <f>+Dulieu!Q65</f>
        <v>${DN_CTR_QD_0707.D15}</v>
      </c>
      <c r="R107" s="36" t="str">
        <f>+Dulieu!R65</f>
        <v>${DN_CTR_QD_0707.D16}</v>
      </c>
      <c r="S107" s="36" t="str">
        <f>+Dulieu!S65</f>
        <v>${DN_CTR_QD_0707.D17}</v>
      </c>
      <c r="T107" s="36" t="str">
        <f>+Dulieu!T65</f>
        <v>${DN_CTR_QD_0707.D18}</v>
      </c>
      <c r="U107" s="36" t="str">
        <f>+Dulieu!U65</f>
        <v>${DN_CTR_QD_0707.D19}</v>
      </c>
      <c r="V107" s="36" t="str">
        <f>+Dulieu!V65</f>
        <v>${DN_CTR_QD_0707.D20}</v>
      </c>
      <c r="W107" s="36" t="str">
        <f>+Dulieu!W65</f>
        <v>${DN_CTR_QD_0707.D21}</v>
      </c>
      <c r="X107" s="36" t="str">
        <f>+Dulieu!X65</f>
        <v>${DN_CTR_QD_0707.D22}</v>
      </c>
      <c r="Y107" s="36" t="str">
        <f>+Dulieu!Y65</f>
        <v>${DN_CTR_QD_0707.D23}</v>
      </c>
    </row>
    <row r="108" spans="1:25" s="41" customFormat="1" ht="12" x14ac:dyDescent="0.2">
      <c r="A108" s="38"/>
      <c r="B108" s="39" t="s">
        <v>838</v>
      </c>
      <c r="C108" s="40" t="e">
        <f t="shared" si="32"/>
        <v>#VALUE!</v>
      </c>
      <c r="D108" s="40" t="e">
        <f>+D107-VLOOKUP(Dulieu!$C$65&amp;"_PRE_M",Dulieu!$C$88:$N$400,2,FALSE)</f>
        <v>#VALUE!</v>
      </c>
      <c r="E108" s="40" t="e">
        <f>+E107-VLOOKUP(Dulieu!$C$65&amp;"_PRE_M",Dulieu!$C$88:$N$400,3,FALSE)</f>
        <v>#VALUE!</v>
      </c>
      <c r="F108" s="40" t="e">
        <f>+F107-VLOOKUP(Dulieu!$C$65&amp;"_PRE_M",Dulieu!$C$88:$N$400,4,FALSE)</f>
        <v>#VALUE!</v>
      </c>
      <c r="G108" s="40" t="e">
        <f>+G107-VLOOKUP(Dulieu!$C$65&amp;"_PRE_M",Dulieu!$C$88:$N$400,5,FALSE)</f>
        <v>#VALUE!</v>
      </c>
      <c r="H108" s="40" t="e">
        <f>+H107-VLOOKUP(Dulieu!$C$65&amp;"_PRE_M",Dulieu!$C$88:$N$400,6,FALSE)</f>
        <v>#VALUE!</v>
      </c>
      <c r="I108" s="40" t="e">
        <f>+I107-VLOOKUP(Dulieu!$C$65&amp;"_PRE_M",Dulieu!$C$88:$N$400,7,FALSE)</f>
        <v>#VALUE!</v>
      </c>
      <c r="J108" s="40" t="e">
        <f>+J107-VLOOKUP(Dulieu!$C$65&amp;"_PRE_M",Dulieu!$C$88:$N$400,8,FALSE)</f>
        <v>#VALUE!</v>
      </c>
      <c r="K108" s="40" t="e">
        <f>+K107-VLOOKUP(Dulieu!$C$65&amp;"_PRE_M",Dulieu!$C$88:$N$400,9,FALSE)</f>
        <v>#VALUE!</v>
      </c>
      <c r="L108" s="40" t="e">
        <f>+L107-VLOOKUP(Dulieu!$C$65&amp;"_PRE_M",Dulieu!$C$88:$N$400,10,FALSE)</f>
        <v>#VALUE!</v>
      </c>
      <c r="M108" s="40" t="e">
        <f>+M107-VLOOKUP(Dulieu!$C$65&amp;"_PRE_M",Dulieu!$C$88:$N$400,11,FALSE)</f>
        <v>#VALUE!</v>
      </c>
      <c r="N108" s="40" t="e">
        <f>+N107-VLOOKUP(Dulieu!$C$65&amp;"_PRE_M",Dulieu!$C$88:$N$400,12,FALSE)</f>
        <v>#VALUE!</v>
      </c>
      <c r="O108" s="40" t="e">
        <f>+O107-VLOOKUP(Dulieu!$C$65&amp;"_PRE_M",Dulieu!$C$88:$Y$400,13,FALSE)</f>
        <v>#VALUE!</v>
      </c>
      <c r="P108" s="40" t="e">
        <f>+P107-VLOOKUP(Dulieu!$C$65&amp;"_PRE_M",Dulieu!$C$88:$Y$400,14,FALSE)</f>
        <v>#VALUE!</v>
      </c>
      <c r="Q108" s="40" t="e">
        <f>+Q107-VLOOKUP(Dulieu!$C$65&amp;"_PRE_M",Dulieu!$C$88:$Y$400,15,FALSE)</f>
        <v>#VALUE!</v>
      </c>
      <c r="R108" s="40" t="e">
        <f>+R107-VLOOKUP(Dulieu!$C$65&amp;"_PRE_M",Dulieu!$C$88:$Y$400,16,FALSE)</f>
        <v>#VALUE!</v>
      </c>
      <c r="S108" s="40" t="e">
        <f>+S107-VLOOKUP(Dulieu!$C$65&amp;"_PRE_M",Dulieu!$C$88:$Y$400,17,FALSE)</f>
        <v>#VALUE!</v>
      </c>
      <c r="T108" s="40" t="e">
        <f>+T107-VLOOKUP(Dulieu!$C$65&amp;"_PRE_M",Dulieu!$C$88:$Y$400,18,FALSE)</f>
        <v>#VALUE!</v>
      </c>
      <c r="U108" s="40" t="e">
        <f>+U107-VLOOKUP(Dulieu!$C$65&amp;"_PRE_M",Dulieu!$C$88:$Y$400,19,FALSE)</f>
        <v>#VALUE!</v>
      </c>
      <c r="V108" s="40" t="e">
        <f>+V107-VLOOKUP(Dulieu!$C$65&amp;"_PRE_M",Dulieu!$C$88:$Y$400,20,FALSE)</f>
        <v>#VALUE!</v>
      </c>
      <c r="W108" s="40" t="e">
        <f>+W107-VLOOKUP(Dulieu!$C$65&amp;"_PRE_M",Dulieu!$C$88:$Y$400,21,FALSE)</f>
        <v>#VALUE!</v>
      </c>
      <c r="X108" s="40" t="e">
        <f>+X107-VLOOKUP(Dulieu!$C$65&amp;"_PRE_M",Dulieu!$C$88:$Y$400,22,FALSE)</f>
        <v>#VALUE!</v>
      </c>
      <c r="Y108" s="40" t="e">
        <f>+Y107-VLOOKUP(Dulieu!$C$65&amp;"_PRE_M",Dulieu!$C$88:$Y$400,23,FALSE)</f>
        <v>#VALUE!</v>
      </c>
    </row>
    <row r="109" spans="1:25" s="41" customFormat="1" ht="12" x14ac:dyDescent="0.2">
      <c r="A109" s="38"/>
      <c r="B109" s="39" t="s">
        <v>839</v>
      </c>
      <c r="C109" s="40" t="e">
        <f t="shared" si="32"/>
        <v>#VALUE!</v>
      </c>
      <c r="D109" s="40" t="e">
        <f>+D107-VLOOKUP(Dulieu!$C$65&amp;"_PRE_Y",Dulieu!$C$88:$N$400,2,FALSE)</f>
        <v>#VALUE!</v>
      </c>
      <c r="E109" s="40" t="e">
        <f>+E107-VLOOKUP(Dulieu!$C$65&amp;"_PRE_Y",Dulieu!$C$88:$N$400,3,FALSE)</f>
        <v>#VALUE!</v>
      </c>
      <c r="F109" s="40" t="e">
        <f>+F107-VLOOKUP(Dulieu!$C$65&amp;"_PRE_Y",Dulieu!$C$88:$N$400,4,FALSE)</f>
        <v>#VALUE!</v>
      </c>
      <c r="G109" s="40" t="e">
        <f>+G107-VLOOKUP(Dulieu!$C$65&amp;"_PRE_Y",Dulieu!$C$88:$N$400,5,FALSE)</f>
        <v>#VALUE!</v>
      </c>
      <c r="H109" s="40" t="e">
        <f>+H107-VLOOKUP(Dulieu!$C$65&amp;"_PRE_Y",Dulieu!$C$88:$N$400,6,FALSE)</f>
        <v>#VALUE!</v>
      </c>
      <c r="I109" s="40" t="e">
        <f>+I107-VLOOKUP(Dulieu!$C$65&amp;"_PRE_Y",Dulieu!$C$88:$N$400,7,FALSE)</f>
        <v>#VALUE!</v>
      </c>
      <c r="J109" s="40" t="e">
        <f>+J107-VLOOKUP(Dulieu!$C$65&amp;"_PRE_Y",Dulieu!$C$88:$N$400,8,FALSE)</f>
        <v>#VALUE!</v>
      </c>
      <c r="K109" s="40" t="e">
        <f>+K107-VLOOKUP(Dulieu!$C$65&amp;"_PRE_Y",Dulieu!$C$88:$N$400,9,FALSE)</f>
        <v>#VALUE!</v>
      </c>
      <c r="L109" s="40" t="e">
        <f>+L107-VLOOKUP(Dulieu!$C$65&amp;"_PRE_Y",Dulieu!$C$88:$N$400,10,FALSE)</f>
        <v>#VALUE!</v>
      </c>
      <c r="M109" s="40" t="e">
        <f>+M107-VLOOKUP(Dulieu!$C$65&amp;"_PRE_Y",Dulieu!$C$88:$N$400,11,FALSE)</f>
        <v>#VALUE!</v>
      </c>
      <c r="N109" s="40" t="e">
        <f>+N107-VLOOKUP(Dulieu!$C$65&amp;"_PRE_Y",Dulieu!$C$88:$N$400,12,FALSE)</f>
        <v>#VALUE!</v>
      </c>
      <c r="O109" s="40" t="e">
        <f>+O107-VLOOKUP(Dulieu!$C$65&amp;"_PRE_Y",Dulieu!$C$88:$Y$400,13,FALSE)</f>
        <v>#VALUE!</v>
      </c>
      <c r="P109" s="40" t="e">
        <f>+P107-VLOOKUP(Dulieu!$C$65&amp;"_PRE_Y",Dulieu!$C$88:$Y$400,14,FALSE)</f>
        <v>#VALUE!</v>
      </c>
      <c r="Q109" s="40" t="e">
        <f>+Q107-VLOOKUP(Dulieu!$C$65&amp;"_PRE_Y",Dulieu!$C$88:$Y$400,15,FALSE)</f>
        <v>#VALUE!</v>
      </c>
      <c r="R109" s="40" t="e">
        <f>+R107-VLOOKUP(Dulieu!$C$65&amp;"_PRE_Y",Dulieu!$C$88:$Y$400,16,FALSE)</f>
        <v>#VALUE!</v>
      </c>
      <c r="S109" s="40" t="e">
        <f>+S107-VLOOKUP(Dulieu!$C$65&amp;"_PRE_Y",Dulieu!$C$88:$Y$400,17,FALSE)</f>
        <v>#VALUE!</v>
      </c>
      <c r="T109" s="40" t="e">
        <f>+T107-VLOOKUP(Dulieu!$C$65&amp;"_PRE_Y",Dulieu!$C$88:$Y$400,18,FALSE)</f>
        <v>#VALUE!</v>
      </c>
      <c r="U109" s="40" t="e">
        <f>+U107-VLOOKUP(Dulieu!$C$65&amp;"_PRE_Y",Dulieu!$C$88:$Y$400,19,FALSE)</f>
        <v>#VALUE!</v>
      </c>
      <c r="V109" s="40" t="e">
        <f>+V107-VLOOKUP(Dulieu!$C$65&amp;"_PRE_Y",Dulieu!$C$88:$Y$400,20,FALSE)</f>
        <v>#VALUE!</v>
      </c>
      <c r="W109" s="40" t="e">
        <f>+W107-VLOOKUP(Dulieu!$C$65&amp;"_PRE_Y",Dulieu!$C$88:$Y$400,21,FALSE)</f>
        <v>#VALUE!</v>
      </c>
      <c r="X109" s="40" t="e">
        <f>+X107-VLOOKUP(Dulieu!$C$65&amp;"_PRE_Y",Dulieu!$C$88:$Y$400,22,FALSE)</f>
        <v>#VALUE!</v>
      </c>
      <c r="Y109" s="40" t="e">
        <f>+Y107-VLOOKUP(Dulieu!$C$65&amp;"_PRE_Y",Dulieu!$C$88:$Y$400,23,FALSE)</f>
        <v>#VALUE!</v>
      </c>
    </row>
    <row r="110" spans="1:25" s="41" customFormat="1" ht="12" x14ac:dyDescent="0.2">
      <c r="A110" s="38"/>
      <c r="B110" s="43" t="s">
        <v>42</v>
      </c>
      <c r="C110" s="40">
        <f>SUM(D110:Y110)</f>
        <v>0</v>
      </c>
      <c r="D110" s="64">
        <f>+IFERROR(VLOOKUP(LEFT(Dulieu!$C$44,10)&amp;"NV_070701",Dulieu!$C$88:$Y$400,2,FALSE),0)</f>
        <v>0</v>
      </c>
      <c r="E110" s="64">
        <f>+IFERROR(VLOOKUP(LEFT(Dulieu!$C$44,10)&amp;"NV_070701",Dulieu!$C$88:$Y$400,3,FALSE),0)</f>
        <v>0</v>
      </c>
      <c r="F110" s="64">
        <f>+IFERROR(VLOOKUP(LEFT(Dulieu!$C$44,10)&amp;"NV_070701",Dulieu!$C$88:$Y$400,4,FALSE),0)</f>
        <v>0</v>
      </c>
      <c r="G110" s="64">
        <f>+IFERROR(VLOOKUP(LEFT(Dulieu!$C$44,10)&amp;"NV_070701",Dulieu!$C$88:$Y$400,5,FALSE),0)</f>
        <v>0</v>
      </c>
      <c r="H110" s="64">
        <f>+IFERROR(VLOOKUP(LEFT(Dulieu!$C$44,10)&amp;"NV_070701",Dulieu!$C$88:$Y$400,6,FALSE),0)</f>
        <v>0</v>
      </c>
      <c r="I110" s="64">
        <f>+IFERROR(VLOOKUP(LEFT(Dulieu!$C$44,10)&amp;"NV_070701",Dulieu!$C$88:$Y$400,7,FALSE),0)</f>
        <v>0</v>
      </c>
      <c r="J110" s="64">
        <f>+IFERROR(VLOOKUP(LEFT(Dulieu!$C$44,10)&amp;"NV_070701",Dulieu!$C$88:$Y$400,8,FALSE),0)</f>
        <v>0</v>
      </c>
      <c r="K110" s="64">
        <f>+IFERROR(VLOOKUP(LEFT(Dulieu!$C$44,10)&amp;"NV_070701",Dulieu!$C$88:$Y$400,9,FALSE),0)</f>
        <v>0</v>
      </c>
      <c r="L110" s="64">
        <f>+IFERROR(VLOOKUP(LEFT(Dulieu!$C$44,10)&amp;"NV_070701",Dulieu!$C$88:$Y$400,10,FALSE),0)</f>
        <v>0</v>
      </c>
      <c r="M110" s="64">
        <f>+IFERROR(VLOOKUP(LEFT(Dulieu!$C$44,10)&amp;"NV_070701",Dulieu!$C$88:$Y$400,11,FALSE),0)</f>
        <v>0</v>
      </c>
      <c r="N110" s="64">
        <f>+IFERROR(VLOOKUP(LEFT(Dulieu!$C$44,10)&amp;"NV_070701",Dulieu!$C$88:$Y$400,12,FALSE),0)</f>
        <v>0</v>
      </c>
      <c r="O110" s="64">
        <f>+IFERROR(VLOOKUP(LEFT(Dulieu!$C$44,10)&amp;"NV_070701",Dulieu!$C$88:$Y$400,13,FALSE),0)</f>
        <v>0</v>
      </c>
      <c r="P110" s="64">
        <f>+IFERROR(VLOOKUP(LEFT(Dulieu!$C$44,10)&amp;"NV_070701",Dulieu!$C$88:$Y$400,14,FALSE),0)</f>
        <v>0</v>
      </c>
      <c r="Q110" s="64">
        <f>+IFERROR(VLOOKUP(LEFT(Dulieu!$C$44,10)&amp;"NV_070701",Dulieu!$C$88:$Y$400,15,FALSE),0)</f>
        <v>0</v>
      </c>
      <c r="R110" s="64">
        <f>+IFERROR(VLOOKUP(LEFT(Dulieu!$C$44,10)&amp;"NV_070701",Dulieu!$C$88:$Y$400,16,FALSE),0)</f>
        <v>0</v>
      </c>
      <c r="S110" s="64">
        <f>+IFERROR(VLOOKUP(LEFT(Dulieu!$C$44,10)&amp;"NV_070701",Dulieu!$C$88:$Y$400,17,FALSE),0)</f>
        <v>0</v>
      </c>
      <c r="T110" s="64">
        <f>+IFERROR(VLOOKUP(LEFT(Dulieu!$C$44,10)&amp;"NV_070701",Dulieu!$C$88:$Y$400,18,FALSE),0)</f>
        <v>0</v>
      </c>
      <c r="U110" s="64">
        <f>+IFERROR(VLOOKUP(LEFT(Dulieu!$C$44,10)&amp;"NV_070701",Dulieu!$C$88:$Y$400,19,FALSE),0)</f>
        <v>0</v>
      </c>
      <c r="V110" s="64">
        <f>+IFERROR(VLOOKUP(LEFT(Dulieu!$C$44,10)&amp;"NV_070701",Dulieu!$C$88:$Y$400,20,FALSE),0)</f>
        <v>0</v>
      </c>
      <c r="W110" s="64">
        <f>+IFERROR(VLOOKUP(LEFT(Dulieu!$C$44,10)&amp;"NV_070701",Dulieu!$C$88:$Y$400,21,FALSE),0)</f>
        <v>0</v>
      </c>
      <c r="X110" s="64">
        <f>+IFERROR(VLOOKUP(LEFT(Dulieu!$C$44,10)&amp;"NV_070701",Dulieu!$C$88:$Y$400,22,FALSE),0)</f>
        <v>0</v>
      </c>
      <c r="Y110" s="64">
        <f>+IFERROR(VLOOKUP(LEFT(Dulieu!$C$44,10)&amp;"NV_070701",Dulieu!$C$88:$Y$400,23,FALSE),0)</f>
        <v>0</v>
      </c>
    </row>
    <row r="111" spans="1:25" s="41" customFormat="1" ht="12" x14ac:dyDescent="0.2">
      <c r="A111" s="38"/>
      <c r="B111" s="43" t="s">
        <v>43</v>
      </c>
      <c r="C111" s="40" t="e">
        <f>SUM(D111:Y111)</f>
        <v>#VALUE!</v>
      </c>
      <c r="D111" s="64" t="e">
        <f>+D107-D110</f>
        <v>#VALUE!</v>
      </c>
      <c r="E111" s="64" t="e">
        <f t="shared" ref="E111:Y111" si="33">+E107-E110</f>
        <v>#VALUE!</v>
      </c>
      <c r="F111" s="64" t="e">
        <f t="shared" si="33"/>
        <v>#VALUE!</v>
      </c>
      <c r="G111" s="64" t="e">
        <f t="shared" si="33"/>
        <v>#VALUE!</v>
      </c>
      <c r="H111" s="64" t="e">
        <f t="shared" si="33"/>
        <v>#VALUE!</v>
      </c>
      <c r="I111" s="64" t="e">
        <f t="shared" si="33"/>
        <v>#VALUE!</v>
      </c>
      <c r="J111" s="64" t="e">
        <f t="shared" si="33"/>
        <v>#VALUE!</v>
      </c>
      <c r="K111" s="64" t="e">
        <f t="shared" si="33"/>
        <v>#VALUE!</v>
      </c>
      <c r="L111" s="64" t="e">
        <f t="shared" si="33"/>
        <v>#VALUE!</v>
      </c>
      <c r="M111" s="64" t="e">
        <f t="shared" si="33"/>
        <v>#VALUE!</v>
      </c>
      <c r="N111" s="64" t="e">
        <f t="shared" si="33"/>
        <v>#VALUE!</v>
      </c>
      <c r="O111" s="64" t="e">
        <f t="shared" si="33"/>
        <v>#VALUE!</v>
      </c>
      <c r="P111" s="64" t="e">
        <f t="shared" si="33"/>
        <v>#VALUE!</v>
      </c>
      <c r="Q111" s="64" t="e">
        <f t="shared" si="33"/>
        <v>#VALUE!</v>
      </c>
      <c r="R111" s="64" t="e">
        <f t="shared" si="33"/>
        <v>#VALUE!</v>
      </c>
      <c r="S111" s="64" t="e">
        <f t="shared" si="33"/>
        <v>#VALUE!</v>
      </c>
      <c r="T111" s="64" t="e">
        <f t="shared" si="33"/>
        <v>#VALUE!</v>
      </c>
      <c r="U111" s="64" t="e">
        <f t="shared" si="33"/>
        <v>#VALUE!</v>
      </c>
      <c r="V111" s="64" t="e">
        <f t="shared" si="33"/>
        <v>#VALUE!</v>
      </c>
      <c r="W111" s="64" t="e">
        <f t="shared" si="33"/>
        <v>#VALUE!</v>
      </c>
      <c r="X111" s="64" t="e">
        <f t="shared" si="33"/>
        <v>#VALUE!</v>
      </c>
      <c r="Y111" s="64" t="e">
        <f t="shared" si="33"/>
        <v>#VALUE!</v>
      </c>
    </row>
    <row r="112" spans="1:25" s="37" customFormat="1" ht="12" x14ac:dyDescent="0.2">
      <c r="A112" s="34">
        <v>8</v>
      </c>
      <c r="B112" s="53" t="s">
        <v>58</v>
      </c>
      <c r="C112" s="36">
        <f t="shared" si="32"/>
        <v>0</v>
      </c>
      <c r="D112" s="36" t="str">
        <f>+Dulieu!D66</f>
        <v>${DN_CTR_QD_0723.D2}</v>
      </c>
      <c r="E112" s="36" t="str">
        <f>+Dulieu!E66</f>
        <v>${DN_CTR_QD_0723.D11}</v>
      </c>
      <c r="F112" s="36" t="str">
        <f>+Dulieu!F66</f>
        <v>${DN_CTR_QD_0723.D4}</v>
      </c>
      <c r="G112" s="36" t="str">
        <f>+Dulieu!G66</f>
        <v>${DN_CTR_QD_0723.D6}</v>
      </c>
      <c r="H112" s="36" t="str">
        <f>+Dulieu!H66</f>
        <v>${DN_CTR_QD_0723.D8}</v>
      </c>
      <c r="I112" s="36" t="str">
        <f>+Dulieu!I66</f>
        <v>${DN_CTR_QD_0723.D9}</v>
      </c>
      <c r="J112" s="36" t="str">
        <f>+Dulieu!J66</f>
        <v>${DN_CTR_QD_0723.D3}</v>
      </c>
      <c r="K112" s="36" t="str">
        <f>+Dulieu!K66</f>
        <v>${DN_CTR_QD_0723.D10}</v>
      </c>
      <c r="L112" s="36" t="str">
        <f>+Dulieu!L66</f>
        <v>${DN_CTR_QD_0723.D5}</v>
      </c>
      <c r="M112" s="36" t="str">
        <f>+Dulieu!M66</f>
        <v>${DN_CTR_QD_0723.D7}</v>
      </c>
      <c r="N112" s="36" t="str">
        <f>+Dulieu!N66</f>
        <v>${DN_CTR_QD_0723.D12}</v>
      </c>
      <c r="O112" s="36" t="str">
        <f>+Dulieu!O66</f>
        <v>${DN_CTR_QD_0723.D13}</v>
      </c>
      <c r="P112" s="36" t="str">
        <f>+Dulieu!P66</f>
        <v>${DN_CTR_QD_0723.D14}</v>
      </c>
      <c r="Q112" s="36" t="str">
        <f>+Dulieu!Q66</f>
        <v>${DN_CTR_QD_0723.D15}</v>
      </c>
      <c r="R112" s="36" t="str">
        <f>+Dulieu!R66</f>
        <v>${DN_CTR_QD_0723.D16}</v>
      </c>
      <c r="S112" s="36" t="str">
        <f>+Dulieu!S66</f>
        <v>${DN_CTR_QD_0723.D17}</v>
      </c>
      <c r="T112" s="36" t="str">
        <f>+Dulieu!T66</f>
        <v>${DN_CTR_QD_0723.D18}</v>
      </c>
      <c r="U112" s="36" t="str">
        <f>+Dulieu!U66</f>
        <v>${DN_CTR_QD_0723.D19}</v>
      </c>
      <c r="V112" s="36" t="str">
        <f>+Dulieu!V66</f>
        <v>${DN_CTR_QD_0723.D20}</v>
      </c>
      <c r="W112" s="36" t="str">
        <f>+Dulieu!W66</f>
        <v>${DN_CTR_QD_0723.D21}</v>
      </c>
      <c r="X112" s="36" t="str">
        <f>+Dulieu!X66</f>
        <v>${DN_CTR_QD_0723.D22}</v>
      </c>
      <c r="Y112" s="36" t="str">
        <f>+Dulieu!Y66</f>
        <v>${DN_CTR_QD_0723.D23}</v>
      </c>
    </row>
    <row r="113" spans="1:25" s="41" customFormat="1" ht="12" x14ac:dyDescent="0.2">
      <c r="A113" s="38"/>
      <c r="B113" s="39" t="s">
        <v>838</v>
      </c>
      <c r="C113" s="40" t="e">
        <f t="shared" si="32"/>
        <v>#VALUE!</v>
      </c>
      <c r="D113" s="40" t="e">
        <f>+D112-VLOOKUP(Dulieu!$C$66&amp;"_PRE_M",Dulieu!$C$88:$N$400,2,FALSE)</f>
        <v>#VALUE!</v>
      </c>
      <c r="E113" s="40" t="e">
        <f>+E112-VLOOKUP(Dulieu!$C$66&amp;"_PRE_M",Dulieu!$C$88:$N$400,3,FALSE)</f>
        <v>#VALUE!</v>
      </c>
      <c r="F113" s="40" t="e">
        <f>+F112-VLOOKUP(Dulieu!$C$66&amp;"_PRE_M",Dulieu!$C$88:$N$400,4,FALSE)</f>
        <v>#VALUE!</v>
      </c>
      <c r="G113" s="40" t="e">
        <f>+G112-VLOOKUP(Dulieu!$C$66&amp;"_PRE_M",Dulieu!$C$88:$N$400,5,FALSE)</f>
        <v>#VALUE!</v>
      </c>
      <c r="H113" s="40" t="e">
        <f>+H112-VLOOKUP(Dulieu!$C$66&amp;"_PRE_M",Dulieu!$C$88:$N$400,6,FALSE)</f>
        <v>#VALUE!</v>
      </c>
      <c r="I113" s="40" t="e">
        <f>+I112-VLOOKUP(Dulieu!$C$66&amp;"_PRE_M",Dulieu!$C$88:$N$400,7,FALSE)</f>
        <v>#VALUE!</v>
      </c>
      <c r="J113" s="40" t="e">
        <f>+J112-VLOOKUP(Dulieu!$C$66&amp;"_PRE_M",Dulieu!$C$88:$N$400,8,FALSE)</f>
        <v>#VALUE!</v>
      </c>
      <c r="K113" s="40" t="e">
        <f>+K112-VLOOKUP(Dulieu!$C$66&amp;"_PRE_M",Dulieu!$C$88:$N$400,9,FALSE)</f>
        <v>#VALUE!</v>
      </c>
      <c r="L113" s="40" t="e">
        <f>+L112-VLOOKUP(Dulieu!$C$66&amp;"_PRE_M",Dulieu!$C$88:$N$400,10,FALSE)</f>
        <v>#VALUE!</v>
      </c>
      <c r="M113" s="40" t="e">
        <f>+M112-VLOOKUP(Dulieu!$C$66&amp;"_PRE_M",Dulieu!$C$88:$N$400,11,FALSE)</f>
        <v>#VALUE!</v>
      </c>
      <c r="N113" s="40" t="e">
        <f>+N112-VLOOKUP(Dulieu!$C$66&amp;"_PRE_M",Dulieu!$C$88:$N$400,12,FALSE)</f>
        <v>#VALUE!</v>
      </c>
      <c r="O113" s="40" t="e">
        <f>+O112-VLOOKUP(Dulieu!$C$66&amp;"_PRE_M",Dulieu!$C$88:$Y$400,13,FALSE)</f>
        <v>#VALUE!</v>
      </c>
      <c r="P113" s="40" t="e">
        <f>+P112-VLOOKUP(Dulieu!$C$66&amp;"_PRE_M",Dulieu!$C$88:$Y$400,14,FALSE)</f>
        <v>#VALUE!</v>
      </c>
      <c r="Q113" s="40" t="e">
        <f>+Q112-VLOOKUP(Dulieu!$C$66&amp;"_PRE_M",Dulieu!$C$88:$Y$400,15,FALSE)</f>
        <v>#VALUE!</v>
      </c>
      <c r="R113" s="40" t="e">
        <f>+R112-VLOOKUP(Dulieu!$C$66&amp;"_PRE_M",Dulieu!$C$88:$Y$400,16,FALSE)</f>
        <v>#VALUE!</v>
      </c>
      <c r="S113" s="40" t="e">
        <f>+S112-VLOOKUP(Dulieu!$C$66&amp;"_PRE_M",Dulieu!$C$88:$Y$400,17,FALSE)</f>
        <v>#VALUE!</v>
      </c>
      <c r="T113" s="40" t="e">
        <f>+T112-VLOOKUP(Dulieu!$C$66&amp;"_PRE_M",Dulieu!$C$88:$Y$400,18,FALSE)</f>
        <v>#VALUE!</v>
      </c>
      <c r="U113" s="40" t="e">
        <f>+U112-VLOOKUP(Dulieu!$C$66&amp;"_PRE_M",Dulieu!$C$88:$Y$400,19,FALSE)</f>
        <v>#VALUE!</v>
      </c>
      <c r="V113" s="40" t="e">
        <f>+V112-VLOOKUP(Dulieu!$C$66&amp;"_PRE_M",Dulieu!$C$88:$Y$400,20,FALSE)</f>
        <v>#VALUE!</v>
      </c>
      <c r="W113" s="40" t="e">
        <f>+W112-VLOOKUP(Dulieu!$C$66&amp;"_PRE_M",Dulieu!$C$88:$Y$400,21,FALSE)</f>
        <v>#VALUE!</v>
      </c>
      <c r="X113" s="40" t="e">
        <f>+X112-VLOOKUP(Dulieu!$C$66&amp;"_PRE_M",Dulieu!$C$88:$Y$400,22,FALSE)</f>
        <v>#VALUE!</v>
      </c>
      <c r="Y113" s="40" t="e">
        <f>+Y112-VLOOKUP(Dulieu!$C$66&amp;"_PRE_M",Dulieu!$C$88:$Y$400,23,FALSE)</f>
        <v>#VALUE!</v>
      </c>
    </row>
    <row r="114" spans="1:25" s="41" customFormat="1" ht="12" x14ac:dyDescent="0.2">
      <c r="A114" s="38"/>
      <c r="B114" s="39" t="s">
        <v>839</v>
      </c>
      <c r="C114" s="40" t="e">
        <f t="shared" si="32"/>
        <v>#VALUE!</v>
      </c>
      <c r="D114" s="40" t="e">
        <f>+D112-VLOOKUP(Dulieu!$C$66&amp;"_PRE_Y",Dulieu!$C$88:$N$400,2,FALSE)</f>
        <v>#VALUE!</v>
      </c>
      <c r="E114" s="40" t="e">
        <f>+E112-VLOOKUP(Dulieu!$C$66&amp;"_PRE_Y",Dulieu!$C$88:$N$400,3,FALSE)</f>
        <v>#VALUE!</v>
      </c>
      <c r="F114" s="40" t="e">
        <f>+F112-VLOOKUP(Dulieu!$C$66&amp;"_PRE_Y",Dulieu!$C$88:$N$400,4,FALSE)</f>
        <v>#VALUE!</v>
      </c>
      <c r="G114" s="40" t="e">
        <f>+G112-VLOOKUP(Dulieu!$C$66&amp;"_PRE_Y",Dulieu!$C$88:$N$400,5,FALSE)</f>
        <v>#VALUE!</v>
      </c>
      <c r="H114" s="40" t="e">
        <f>+H112-VLOOKUP(Dulieu!$C$66&amp;"_PRE_Y",Dulieu!$C$88:$N$400,6,FALSE)</f>
        <v>#VALUE!</v>
      </c>
      <c r="I114" s="40" t="e">
        <f>+I112-VLOOKUP(Dulieu!$C$66&amp;"_PRE_Y",Dulieu!$C$88:$N$400,7,FALSE)</f>
        <v>#VALUE!</v>
      </c>
      <c r="J114" s="40" t="e">
        <f>+J112-VLOOKUP(Dulieu!$C$66&amp;"_PRE_Y",Dulieu!$C$88:$N$400,8,FALSE)</f>
        <v>#VALUE!</v>
      </c>
      <c r="K114" s="40" t="e">
        <f>+K112-VLOOKUP(Dulieu!$C$66&amp;"_PRE_Y",Dulieu!$C$88:$N$400,9,FALSE)</f>
        <v>#VALUE!</v>
      </c>
      <c r="L114" s="40" t="e">
        <f>+L112-VLOOKUP(Dulieu!$C$66&amp;"_PRE_Y",Dulieu!$C$88:$N$400,10,FALSE)</f>
        <v>#VALUE!</v>
      </c>
      <c r="M114" s="40" t="e">
        <f>+M112-VLOOKUP(Dulieu!$C$66&amp;"_PRE_Y",Dulieu!$C$88:$N$400,11,FALSE)</f>
        <v>#VALUE!</v>
      </c>
      <c r="N114" s="40" t="e">
        <f>+N112-VLOOKUP(Dulieu!$C$66&amp;"_PRE_Y",Dulieu!$C$88:$N$400,12,FALSE)</f>
        <v>#VALUE!</v>
      </c>
      <c r="O114" s="40" t="e">
        <f>+O112-VLOOKUP(Dulieu!$C$66&amp;"_PRE_Y",Dulieu!$C$88:$Y$400,13,FALSE)</f>
        <v>#VALUE!</v>
      </c>
      <c r="P114" s="40" t="e">
        <f>+P112-VLOOKUP(Dulieu!$C$66&amp;"_PRE_Y",Dulieu!$C$88:$Y$400,14,FALSE)</f>
        <v>#VALUE!</v>
      </c>
      <c r="Q114" s="40" t="e">
        <f>+Q112-VLOOKUP(Dulieu!$C$66&amp;"_PRE_Y",Dulieu!$C$88:$Y$400,15,FALSE)</f>
        <v>#VALUE!</v>
      </c>
      <c r="R114" s="40" t="e">
        <f>+R112-VLOOKUP(Dulieu!$C$66&amp;"_PRE_Y",Dulieu!$C$88:$Y$400,16,FALSE)</f>
        <v>#VALUE!</v>
      </c>
      <c r="S114" s="40" t="e">
        <f>+S112-VLOOKUP(Dulieu!$C$66&amp;"_PRE_Y",Dulieu!$C$88:$Y$400,17,FALSE)</f>
        <v>#VALUE!</v>
      </c>
      <c r="T114" s="40" t="e">
        <f>+T112-VLOOKUP(Dulieu!$C$66&amp;"_PRE_Y",Dulieu!$C$88:$Y$400,18,FALSE)</f>
        <v>#VALUE!</v>
      </c>
      <c r="U114" s="40" t="e">
        <f>+U112-VLOOKUP(Dulieu!$C$66&amp;"_PRE_Y",Dulieu!$C$88:$Y$400,19,FALSE)</f>
        <v>#VALUE!</v>
      </c>
      <c r="V114" s="40" t="e">
        <f>+V112-VLOOKUP(Dulieu!$C$66&amp;"_PRE_Y",Dulieu!$C$88:$Y$400,20,FALSE)</f>
        <v>#VALUE!</v>
      </c>
      <c r="W114" s="40" t="e">
        <f>+W112-VLOOKUP(Dulieu!$C$66&amp;"_PRE_Y",Dulieu!$C$88:$Y$400,21,FALSE)</f>
        <v>#VALUE!</v>
      </c>
      <c r="X114" s="40" t="e">
        <f>+X112-VLOOKUP(Dulieu!$C$66&amp;"_PRE_Y",Dulieu!$C$88:$Y$400,22,FALSE)</f>
        <v>#VALUE!</v>
      </c>
      <c r="Y114" s="40" t="e">
        <f>+Y112-VLOOKUP(Dulieu!$C$66&amp;"_PRE_Y",Dulieu!$C$88:$Y$400,23,FALSE)</f>
        <v>#VALUE!</v>
      </c>
    </row>
    <row r="115" spans="1:25" s="37" customFormat="1" ht="12" x14ac:dyDescent="0.2">
      <c r="A115" s="34">
        <v>9</v>
      </c>
      <c r="B115" s="53" t="s">
        <v>59</v>
      </c>
      <c r="C115" s="36">
        <f t="shared" si="32"/>
        <v>0</v>
      </c>
      <c r="D115" s="36">
        <f>+SUMIF(Dulieu!$C$8:$C$1000,LEFT(Dulieu!$C$67,12)&amp;"??",Dulieu!D8:D1000)</f>
        <v>0</v>
      </c>
      <c r="E115" s="36">
        <f>+SUMIF(Dulieu!$C$8:$C$1000,LEFT(Dulieu!$C$67,12)&amp;"??",Dulieu!E8:E1000)</f>
        <v>0</v>
      </c>
      <c r="F115" s="36">
        <f>+SUMIF(Dulieu!$C$8:$C$1000,LEFT(Dulieu!$C$67,12)&amp;"??",Dulieu!F8:F1000)</f>
        <v>0</v>
      </c>
      <c r="G115" s="36">
        <f>+SUMIF(Dulieu!$C$8:$C$1000,LEFT(Dulieu!$C$67,12)&amp;"??",Dulieu!G8:G1000)</f>
        <v>0</v>
      </c>
      <c r="H115" s="36">
        <f>+SUMIF(Dulieu!$C$8:$C$1000,LEFT(Dulieu!$C$67,12)&amp;"??",Dulieu!H8:H1000)</f>
        <v>0</v>
      </c>
      <c r="I115" s="36">
        <f>+SUMIF(Dulieu!$C$8:$C$1000,LEFT(Dulieu!$C$67,12)&amp;"??",Dulieu!I8:I1000)</f>
        <v>0</v>
      </c>
      <c r="J115" s="36">
        <f>+SUMIF(Dulieu!$C$8:$C$1000,LEFT(Dulieu!$C$67,12)&amp;"??",Dulieu!J8:J1000)</f>
        <v>0</v>
      </c>
      <c r="K115" s="36">
        <f>+SUMIF(Dulieu!$C$8:$C$1000,LEFT(Dulieu!$C$67,12)&amp;"??",Dulieu!K8:K1000)</f>
        <v>0</v>
      </c>
      <c r="L115" s="36">
        <f>+SUMIF(Dulieu!$C$8:$C$1000,LEFT(Dulieu!$C$67,12)&amp;"??",Dulieu!L8:L1000)</f>
        <v>0</v>
      </c>
      <c r="M115" s="36">
        <f>+SUMIF(Dulieu!$C$8:$C$1000,LEFT(Dulieu!$C$67,12)&amp;"??",Dulieu!M8:M1000)</f>
        <v>0</v>
      </c>
      <c r="N115" s="36">
        <f>+SUMIF(Dulieu!$C$8:$C$1000,LEFT(Dulieu!$C$67,12)&amp;"??",Dulieu!N8:N1000)</f>
        <v>0</v>
      </c>
      <c r="O115" s="36">
        <f>+SUMIF(Dulieu!$C$8:$C$1000,LEFT(Dulieu!$C$67,12)&amp;"??",Dulieu!O8:O1000)</f>
        <v>0</v>
      </c>
      <c r="P115" s="36">
        <f>+SUMIF(Dulieu!$C$8:$C$1000,LEFT(Dulieu!$C$67,12)&amp;"??",Dulieu!P8:P1000)</f>
        <v>0</v>
      </c>
      <c r="Q115" s="36">
        <f>+SUMIF(Dulieu!$C$8:$C$1000,LEFT(Dulieu!$C$67,12)&amp;"??",Dulieu!Q8:Q1000)</f>
        <v>0</v>
      </c>
      <c r="R115" s="36">
        <f>+SUMIF(Dulieu!$C$8:$C$1000,LEFT(Dulieu!$C$67,12)&amp;"??",Dulieu!R8:R1000)</f>
        <v>0</v>
      </c>
      <c r="S115" s="36">
        <f>+SUMIF(Dulieu!$C$8:$C$1000,LEFT(Dulieu!$C$67,12)&amp;"??",Dulieu!S8:S1000)</f>
        <v>0</v>
      </c>
      <c r="T115" s="36">
        <f>+SUMIF(Dulieu!$C$8:$C$1000,LEFT(Dulieu!$C$67,12)&amp;"??",Dulieu!T8:T1000)</f>
        <v>0</v>
      </c>
      <c r="U115" s="36">
        <f>+SUMIF(Dulieu!$C$8:$C$1000,LEFT(Dulieu!$C$67,12)&amp;"??",Dulieu!U8:U1000)</f>
        <v>0</v>
      </c>
      <c r="V115" s="36">
        <f>+SUMIF(Dulieu!$C$8:$C$1000,LEFT(Dulieu!$C$67,12)&amp;"??",Dulieu!V8:V1000)</f>
        <v>0</v>
      </c>
      <c r="W115" s="36">
        <f>+SUMIF(Dulieu!$C$8:$C$1000,LEFT(Dulieu!$C$67,12)&amp;"??",Dulieu!W8:W1000)</f>
        <v>0</v>
      </c>
      <c r="X115" s="36">
        <f>+SUMIF(Dulieu!$C$8:$C$1000,LEFT(Dulieu!$C$67,12)&amp;"??",Dulieu!X8:X1000)</f>
        <v>0</v>
      </c>
      <c r="Y115" s="36">
        <f>+SUMIF(Dulieu!$C$8:$C$1000,LEFT(Dulieu!$C$67,12)&amp;"??",Dulieu!Y8:Y1000)</f>
        <v>0</v>
      </c>
    </row>
    <row r="116" spans="1:25" s="41" customFormat="1" ht="12" x14ac:dyDescent="0.2">
      <c r="A116" s="38"/>
      <c r="B116" s="39" t="s">
        <v>838</v>
      </c>
      <c r="C116" s="40">
        <f t="shared" si="32"/>
        <v>0</v>
      </c>
      <c r="D116" s="40">
        <f>+D115-SUMIF(Dulieu!$C$8:$C$1000,LEFT(Dulieu!$C$67,12)&amp;"??_PRE_M",Dulieu!D8:D1000)</f>
        <v>0</v>
      </c>
      <c r="E116" s="40">
        <f>+E115-SUMIF(Dulieu!$C$8:$C$1000,LEFT(Dulieu!$C$67,12)&amp;"??_PRE_M",Dulieu!E8:E1000)</f>
        <v>0</v>
      </c>
      <c r="F116" s="40">
        <f>+F115-SUMIF(Dulieu!$C$8:$C$1000,LEFT(Dulieu!$C$67,12)&amp;"??_PRE_M",Dulieu!F8:F1000)</f>
        <v>0</v>
      </c>
      <c r="G116" s="40">
        <f>+G115-SUMIF(Dulieu!$C$8:$C$1000,LEFT(Dulieu!$C$67,12)&amp;"??_PRE_M",Dulieu!G8:G1000)</f>
        <v>0</v>
      </c>
      <c r="H116" s="40">
        <f>+H115-SUMIF(Dulieu!$C$8:$C$1000,LEFT(Dulieu!$C$67,12)&amp;"??_PRE_M",Dulieu!H8:H1000)</f>
        <v>0</v>
      </c>
      <c r="I116" s="40">
        <f>+I115-SUMIF(Dulieu!$C$8:$C$1000,LEFT(Dulieu!$C$67,12)&amp;"??_PRE_M",Dulieu!I8:I1000)</f>
        <v>0</v>
      </c>
      <c r="J116" s="40">
        <f>+J115-SUMIF(Dulieu!$C$8:$C$1000,LEFT(Dulieu!$C$67,12)&amp;"??_PRE_M",Dulieu!J8:J1000)</f>
        <v>0</v>
      </c>
      <c r="K116" s="40">
        <f>+K115-SUMIF(Dulieu!$C$8:$C$1000,LEFT(Dulieu!$C$67,12)&amp;"??_PRE_M",Dulieu!K8:K1000)</f>
        <v>0</v>
      </c>
      <c r="L116" s="40">
        <f>+L115-SUMIF(Dulieu!$C$8:$C$1000,LEFT(Dulieu!$C$67,12)&amp;"??_PRE_M",Dulieu!L8:L1000)</f>
        <v>0</v>
      </c>
      <c r="M116" s="40">
        <f>+M115-SUMIF(Dulieu!$C$8:$C$1000,LEFT(Dulieu!$C$67,12)&amp;"??_PRE_M",Dulieu!M8:M1000)</f>
        <v>0</v>
      </c>
      <c r="N116" s="40">
        <f>+N115-SUMIF(Dulieu!$C$8:$C$1000,LEFT(Dulieu!$C$67,12)&amp;"??_PRE_M",Dulieu!N8:N1000)</f>
        <v>0</v>
      </c>
      <c r="O116" s="40">
        <f>+O115-SUMIF(Dulieu!$C$8:$C$1000,LEFT(Dulieu!$C$67,12)&amp;"??_PRE_M",Dulieu!O8:O1000)</f>
        <v>0</v>
      </c>
      <c r="P116" s="40">
        <f>+P115-SUMIF(Dulieu!$C$8:$C$1000,LEFT(Dulieu!$C$67,12)&amp;"??_PRE_M",Dulieu!P8:P1000)</f>
        <v>0</v>
      </c>
      <c r="Q116" s="40">
        <f>+Q115-SUMIF(Dulieu!$C$8:$C$1000,LEFT(Dulieu!$C$67,12)&amp;"??_PRE_M",Dulieu!Q8:Q1000)</f>
        <v>0</v>
      </c>
      <c r="R116" s="40">
        <f>+R115-SUMIF(Dulieu!$C$8:$C$1000,LEFT(Dulieu!$C$67,12)&amp;"??_PRE_M",Dulieu!R8:R1000)</f>
        <v>0</v>
      </c>
      <c r="S116" s="40">
        <f>+S115-SUMIF(Dulieu!$C$8:$C$1000,LEFT(Dulieu!$C$67,12)&amp;"??_PRE_M",Dulieu!S8:S1000)</f>
        <v>0</v>
      </c>
      <c r="T116" s="40">
        <f>+T115-SUMIF(Dulieu!$C$8:$C$1000,LEFT(Dulieu!$C$67,12)&amp;"??_PRE_M",Dulieu!T8:T1000)</f>
        <v>0</v>
      </c>
      <c r="U116" s="40">
        <f>+U115-SUMIF(Dulieu!$C$8:$C$1000,LEFT(Dulieu!$C$67,12)&amp;"??_PRE_M",Dulieu!U8:U1000)</f>
        <v>0</v>
      </c>
      <c r="V116" s="40">
        <f>+V115-SUMIF(Dulieu!$C$8:$C$1000,LEFT(Dulieu!$C$67,12)&amp;"??_PRE_M",Dulieu!V8:V1000)</f>
        <v>0</v>
      </c>
      <c r="W116" s="40">
        <f>+W115-SUMIF(Dulieu!$C$8:$C$1000,LEFT(Dulieu!$C$67,12)&amp;"??_PRE_M",Dulieu!W8:W1000)</f>
        <v>0</v>
      </c>
      <c r="X116" s="40">
        <f>+X115-SUMIF(Dulieu!$C$8:$C$1000,LEFT(Dulieu!$C$67,12)&amp;"??_PRE_M",Dulieu!X8:X1000)</f>
        <v>0</v>
      </c>
      <c r="Y116" s="40">
        <f>+Y115-SUMIF(Dulieu!$C$8:$C$1000,LEFT(Dulieu!$C$67,12)&amp;"??_PRE_M",Dulieu!Y8:Y1000)</f>
        <v>0</v>
      </c>
    </row>
    <row r="117" spans="1:25" s="41" customFormat="1" ht="12" x14ac:dyDescent="0.2">
      <c r="A117" s="38"/>
      <c r="B117" s="39" t="s">
        <v>839</v>
      </c>
      <c r="C117" s="40">
        <f t="shared" si="32"/>
        <v>0</v>
      </c>
      <c r="D117" s="40">
        <f>+D115-SUMIF(Dulieu!$C$8:$C$1000,LEFT(Dulieu!$C$67,12)&amp;"??_PRE_Y",Dulieu!D8:D1000)</f>
        <v>0</v>
      </c>
      <c r="E117" s="40">
        <f>+E115-SUMIF(Dulieu!$C$8:$C$1000,LEFT(Dulieu!$C$67,12)&amp;"??_PRE_Y",Dulieu!E8:E1000)</f>
        <v>0</v>
      </c>
      <c r="F117" s="40">
        <f>+F115-SUMIF(Dulieu!$C$8:$C$1000,LEFT(Dulieu!$C$67,12)&amp;"??_PRE_Y",Dulieu!F8:F1000)</f>
        <v>0</v>
      </c>
      <c r="G117" s="40">
        <f>+G115-SUMIF(Dulieu!$C$8:$C$1000,LEFT(Dulieu!$C$67,12)&amp;"??_PRE_Y",Dulieu!G8:G1000)</f>
        <v>0</v>
      </c>
      <c r="H117" s="40">
        <f>+H115-SUMIF(Dulieu!$C$8:$C$1000,LEFT(Dulieu!$C$67,12)&amp;"??_PRE_Y",Dulieu!H8:H1000)</f>
        <v>0</v>
      </c>
      <c r="I117" s="40">
        <f>+I115-SUMIF(Dulieu!$C$8:$C$1000,LEFT(Dulieu!$C$67,12)&amp;"??_PRE_Y",Dulieu!I8:I1000)</f>
        <v>0</v>
      </c>
      <c r="J117" s="40">
        <f>+J115-SUMIF(Dulieu!$C$8:$C$1000,LEFT(Dulieu!$C$67,12)&amp;"??_PRE_Y",Dulieu!J8:J1000)</f>
        <v>0</v>
      </c>
      <c r="K117" s="40">
        <f>+K115-SUMIF(Dulieu!$C$8:$C$1000,LEFT(Dulieu!$C$67,12)&amp;"??_PRE_Y",Dulieu!K8:K1000)</f>
        <v>0</v>
      </c>
      <c r="L117" s="40">
        <f>+L115-SUMIF(Dulieu!$C$8:$C$1000,LEFT(Dulieu!$C$67,12)&amp;"??_PRE_Y",Dulieu!L8:L1000)</f>
        <v>0</v>
      </c>
      <c r="M117" s="40">
        <f>+M115-SUMIF(Dulieu!$C$8:$C$1000,LEFT(Dulieu!$C$67,12)&amp;"??_PRE_Y",Dulieu!M8:M1000)</f>
        <v>0</v>
      </c>
      <c r="N117" s="40">
        <f>+N115-SUMIF(Dulieu!$C$8:$C$1000,LEFT(Dulieu!$C$67,12)&amp;"??_PRE_Y",Dulieu!N8:N1000)</f>
        <v>0</v>
      </c>
      <c r="O117" s="40">
        <f>+O115-SUMIF(Dulieu!$C$8:$C$1000,LEFT(Dulieu!$C$67,12)&amp;"??_PRE_Y",Dulieu!O8:O1000)</f>
        <v>0</v>
      </c>
      <c r="P117" s="40">
        <f>+P115-SUMIF(Dulieu!$C$8:$C$1000,LEFT(Dulieu!$C$67,12)&amp;"??_PRE_Y",Dulieu!P8:P1000)</f>
        <v>0</v>
      </c>
      <c r="Q117" s="40">
        <f>+Q115-SUMIF(Dulieu!$C$8:$C$1000,LEFT(Dulieu!$C$67,12)&amp;"??_PRE_Y",Dulieu!Q8:Q1000)</f>
        <v>0</v>
      </c>
      <c r="R117" s="40">
        <f>+R115-SUMIF(Dulieu!$C$8:$C$1000,LEFT(Dulieu!$C$67,12)&amp;"??_PRE_Y",Dulieu!R8:R1000)</f>
        <v>0</v>
      </c>
      <c r="S117" s="40">
        <f>+S115-SUMIF(Dulieu!$C$8:$C$1000,LEFT(Dulieu!$C$67,12)&amp;"??_PRE_Y",Dulieu!S8:S1000)</f>
        <v>0</v>
      </c>
      <c r="T117" s="40">
        <f>+T115-SUMIF(Dulieu!$C$8:$C$1000,LEFT(Dulieu!$C$67,12)&amp;"??_PRE_Y",Dulieu!T8:T1000)</f>
        <v>0</v>
      </c>
      <c r="U117" s="40">
        <f>+U115-SUMIF(Dulieu!$C$8:$C$1000,LEFT(Dulieu!$C$67,12)&amp;"??_PRE_Y",Dulieu!U8:U1000)</f>
        <v>0</v>
      </c>
      <c r="V117" s="40">
        <f>+V115-SUMIF(Dulieu!$C$8:$C$1000,LEFT(Dulieu!$C$67,12)&amp;"??_PRE_Y",Dulieu!V8:V1000)</f>
        <v>0</v>
      </c>
      <c r="W117" s="40">
        <f>+W115-SUMIF(Dulieu!$C$8:$C$1000,LEFT(Dulieu!$C$67,12)&amp;"??_PRE_Y",Dulieu!W8:W1000)</f>
        <v>0</v>
      </c>
      <c r="X117" s="40">
        <f>+X115-SUMIF(Dulieu!$C$8:$C$1000,LEFT(Dulieu!$C$67,12)&amp;"??_PRE_Y",Dulieu!X8:X1000)</f>
        <v>0</v>
      </c>
      <c r="Y117" s="40">
        <f>+Y115-SUMIF(Dulieu!$C$8:$C$1000,LEFT(Dulieu!$C$67,12)&amp;"??_PRE_Y",Dulieu!Y8:Y1000)</f>
        <v>0</v>
      </c>
    </row>
    <row r="118" spans="1:25" s="32" customFormat="1" ht="12" x14ac:dyDescent="0.2">
      <c r="A118" s="42"/>
      <c r="B118" s="43" t="s">
        <v>42</v>
      </c>
      <c r="C118" s="44">
        <f t="shared" si="32"/>
        <v>0</v>
      </c>
      <c r="D118" s="44">
        <f>+SUMIF(Dulieu!$C$8:$C$1000,LEFT(Dulieu!$C$68,15)&amp;"??01",Dulieu!D8:D1000)</f>
        <v>0</v>
      </c>
      <c r="E118" s="44">
        <f>+SUMIF(Dulieu!$C$8:$C$1000,LEFT(Dulieu!$C$68,15)&amp;"??01",Dulieu!E8:E1000)</f>
        <v>0</v>
      </c>
      <c r="F118" s="44">
        <f>+SUMIF(Dulieu!$C$8:$C$1000,LEFT(Dulieu!$C$68,15)&amp;"??01",Dulieu!F8:F1000)</f>
        <v>0</v>
      </c>
      <c r="G118" s="44">
        <f>+SUMIF(Dulieu!$C$8:$C$1000,LEFT(Dulieu!$C$68,15)&amp;"??01",Dulieu!G8:G1000)</f>
        <v>0</v>
      </c>
      <c r="H118" s="44">
        <f>+SUMIF(Dulieu!$C$8:$C$1000,LEFT(Dulieu!$C$68,15)&amp;"??01",Dulieu!H8:H1000)</f>
        <v>0</v>
      </c>
      <c r="I118" s="44">
        <f>+SUMIF(Dulieu!$C$8:$C$1000,LEFT(Dulieu!$C$68,15)&amp;"??01",Dulieu!I8:I1000)</f>
        <v>0</v>
      </c>
      <c r="J118" s="44">
        <f>+SUMIF(Dulieu!$C$8:$C$1000,LEFT(Dulieu!$C$68,15)&amp;"??01",Dulieu!J8:J1000)</f>
        <v>0</v>
      </c>
      <c r="K118" s="44">
        <f>+SUMIF(Dulieu!$C$8:$C$1000,LEFT(Dulieu!$C$68,15)&amp;"??01",Dulieu!K8:K1000)</f>
        <v>0</v>
      </c>
      <c r="L118" s="44">
        <f>+SUMIF(Dulieu!$C$8:$C$1000,LEFT(Dulieu!$C$68,15)&amp;"??01",Dulieu!L8:L1000)</f>
        <v>0</v>
      </c>
      <c r="M118" s="44">
        <f>+SUMIF(Dulieu!$C$8:$C$1000,LEFT(Dulieu!$C$68,15)&amp;"??01",Dulieu!M8:M1000)</f>
        <v>0</v>
      </c>
      <c r="N118" s="44">
        <f>+SUMIF(Dulieu!$C$8:$C$1000,LEFT(Dulieu!$C$68,15)&amp;"??01",Dulieu!N8:N1000)</f>
        <v>0</v>
      </c>
      <c r="O118" s="44">
        <f>+SUMIF(Dulieu!$C$8:$C$1000,LEFT(Dulieu!$C$68,15)&amp;"??01",Dulieu!O8:O1000)</f>
        <v>0</v>
      </c>
      <c r="P118" s="44">
        <f>+SUMIF(Dulieu!$C$8:$C$1000,LEFT(Dulieu!$C$68,15)&amp;"??01",Dulieu!P8:P1000)</f>
        <v>0</v>
      </c>
      <c r="Q118" s="44">
        <f>+SUMIF(Dulieu!$C$8:$C$1000,LEFT(Dulieu!$C$68,15)&amp;"??01",Dulieu!Q8:Q1000)</f>
        <v>0</v>
      </c>
      <c r="R118" s="44">
        <f>+SUMIF(Dulieu!$C$8:$C$1000,LEFT(Dulieu!$C$68,15)&amp;"??01",Dulieu!R8:R1000)</f>
        <v>0</v>
      </c>
      <c r="S118" s="44">
        <f>+SUMIF(Dulieu!$C$8:$C$1000,LEFT(Dulieu!$C$68,15)&amp;"??01",Dulieu!S8:S1000)</f>
        <v>0</v>
      </c>
      <c r="T118" s="44">
        <f>+SUMIF(Dulieu!$C$8:$C$1000,LEFT(Dulieu!$C$68,15)&amp;"??01",Dulieu!T8:T1000)</f>
        <v>0</v>
      </c>
      <c r="U118" s="44">
        <f>+SUMIF(Dulieu!$C$8:$C$1000,LEFT(Dulieu!$C$68,15)&amp;"??01",Dulieu!U8:U1000)</f>
        <v>0</v>
      </c>
      <c r="V118" s="44">
        <f>+SUMIF(Dulieu!$C$8:$C$1000,LEFT(Dulieu!$C$68,15)&amp;"??01",Dulieu!V8:V1000)</f>
        <v>0</v>
      </c>
      <c r="W118" s="44">
        <f>+SUMIF(Dulieu!$C$8:$C$1000,LEFT(Dulieu!$C$68,15)&amp;"??01",Dulieu!W8:W1000)</f>
        <v>0</v>
      </c>
      <c r="X118" s="44">
        <f>+SUMIF(Dulieu!$C$8:$C$1000,LEFT(Dulieu!$C$68,15)&amp;"??01",Dulieu!X8:X1000)</f>
        <v>0</v>
      </c>
      <c r="Y118" s="44">
        <f>+SUMIF(Dulieu!$C$8:$C$1000,LEFT(Dulieu!$C$68,15)&amp;"??01",Dulieu!Y8:Y1000)</f>
        <v>0</v>
      </c>
    </row>
    <row r="119" spans="1:25" s="32" customFormat="1" ht="12" x14ac:dyDescent="0.2">
      <c r="A119" s="42"/>
      <c r="B119" s="43" t="s">
        <v>43</v>
      </c>
      <c r="C119" s="44">
        <f t="shared" si="32"/>
        <v>0</v>
      </c>
      <c r="D119" s="44">
        <f>+SUMIF(Dulieu!$C$8:$C$1000,LEFT(Dulieu!$C$68,15)&amp;"??02",Dulieu!D8:D1000)</f>
        <v>0</v>
      </c>
      <c r="E119" s="44">
        <f>+SUMIF(Dulieu!$C$8:$C$1000,LEFT(Dulieu!$C$68,15)&amp;"??02",Dulieu!E8:E1000)</f>
        <v>0</v>
      </c>
      <c r="F119" s="44">
        <f>+SUMIF(Dulieu!$C$8:$C$1000,LEFT(Dulieu!$C$68,15)&amp;"??02",Dulieu!F8:F1000)</f>
        <v>0</v>
      </c>
      <c r="G119" s="44">
        <f>+SUMIF(Dulieu!$C$8:$C$1000,LEFT(Dulieu!$C$68,15)&amp;"??02",Dulieu!G8:G1000)</f>
        <v>0</v>
      </c>
      <c r="H119" s="44">
        <f>+SUMIF(Dulieu!$C$8:$C$1000,LEFT(Dulieu!$C$68,15)&amp;"??02",Dulieu!H8:H1000)</f>
        <v>0</v>
      </c>
      <c r="I119" s="44">
        <f>+SUMIF(Dulieu!$C$8:$C$1000,LEFT(Dulieu!$C$68,15)&amp;"??02",Dulieu!I8:I1000)</f>
        <v>0</v>
      </c>
      <c r="J119" s="44">
        <f>+SUMIF(Dulieu!$C$8:$C$1000,LEFT(Dulieu!$C$68,15)&amp;"??02",Dulieu!J8:J1000)</f>
        <v>0</v>
      </c>
      <c r="K119" s="44">
        <f>+SUMIF(Dulieu!$C$8:$C$1000,LEFT(Dulieu!$C$68,15)&amp;"??02",Dulieu!K8:K1000)</f>
        <v>0</v>
      </c>
      <c r="L119" s="44">
        <f>+SUMIF(Dulieu!$C$8:$C$1000,LEFT(Dulieu!$C$68,15)&amp;"??02",Dulieu!L8:L1000)</f>
        <v>0</v>
      </c>
      <c r="M119" s="44">
        <f>+SUMIF(Dulieu!$C$8:$C$1000,LEFT(Dulieu!$C$68,15)&amp;"??02",Dulieu!M8:M1000)</f>
        <v>0</v>
      </c>
      <c r="N119" s="44">
        <f>+SUMIF(Dulieu!$C$8:$C$1000,LEFT(Dulieu!$C$68,15)&amp;"??02",Dulieu!N8:N1000)</f>
        <v>0</v>
      </c>
      <c r="O119" s="44">
        <f>+SUMIF(Dulieu!$C$8:$C$1000,LEFT(Dulieu!$C$68,15)&amp;"??02",Dulieu!O8:O1000)</f>
        <v>0</v>
      </c>
      <c r="P119" s="44">
        <f>+SUMIF(Dulieu!$C$8:$C$1000,LEFT(Dulieu!$C$68,15)&amp;"??02",Dulieu!P8:P1000)</f>
        <v>0</v>
      </c>
      <c r="Q119" s="44">
        <f>+SUMIF(Dulieu!$C$8:$C$1000,LEFT(Dulieu!$C$68,15)&amp;"??02",Dulieu!Q8:Q1000)</f>
        <v>0</v>
      </c>
      <c r="R119" s="44">
        <f>+SUMIF(Dulieu!$C$8:$C$1000,LEFT(Dulieu!$C$68,15)&amp;"??02",Dulieu!R8:R1000)</f>
        <v>0</v>
      </c>
      <c r="S119" s="44">
        <f>+SUMIF(Dulieu!$C$8:$C$1000,LEFT(Dulieu!$C$68,15)&amp;"??02",Dulieu!S8:S1000)</f>
        <v>0</v>
      </c>
      <c r="T119" s="44">
        <f>+SUMIF(Dulieu!$C$8:$C$1000,LEFT(Dulieu!$C$68,15)&amp;"??02",Dulieu!T8:T1000)</f>
        <v>0</v>
      </c>
      <c r="U119" s="44">
        <f>+SUMIF(Dulieu!$C$8:$C$1000,LEFT(Dulieu!$C$68,15)&amp;"??02",Dulieu!U8:U1000)</f>
        <v>0</v>
      </c>
      <c r="V119" s="44">
        <f>+SUMIF(Dulieu!$C$8:$C$1000,LEFT(Dulieu!$C$68,15)&amp;"??02",Dulieu!V8:V1000)</f>
        <v>0</v>
      </c>
      <c r="W119" s="44">
        <f>+SUMIF(Dulieu!$C$8:$C$1000,LEFT(Dulieu!$C$68,15)&amp;"??02",Dulieu!W8:W1000)</f>
        <v>0</v>
      </c>
      <c r="X119" s="44">
        <f>+SUMIF(Dulieu!$C$8:$C$1000,LEFT(Dulieu!$C$68,15)&amp;"??02",Dulieu!X8:X1000)</f>
        <v>0</v>
      </c>
      <c r="Y119" s="44">
        <f>+SUMIF(Dulieu!$C$8:$C$1000,LEFT(Dulieu!$C$68,15)&amp;"??02",Dulieu!Y8:Y1000)</f>
        <v>0</v>
      </c>
    </row>
    <row r="120" spans="1:25" s="37" customFormat="1" ht="12" x14ac:dyDescent="0.2">
      <c r="A120" s="34">
        <v>10</v>
      </c>
      <c r="B120" s="53" t="s">
        <v>60</v>
      </c>
      <c r="C120" s="36">
        <f t="shared" si="32"/>
        <v>0</v>
      </c>
      <c r="D120" s="36" t="str">
        <f>+Dulieu!D70</f>
        <v>${DN_CTR_QD_1010.D2}</v>
      </c>
      <c r="E120" s="36" t="str">
        <f>+Dulieu!E70</f>
        <v>${DN_CTR_QD_1010.D11}</v>
      </c>
      <c r="F120" s="36" t="str">
        <f>+Dulieu!F70</f>
        <v>${DN_CTR_QD_1010.D4}</v>
      </c>
      <c r="G120" s="36" t="str">
        <f>+Dulieu!G70</f>
        <v>${DN_CTR_QD_1010.D6}</v>
      </c>
      <c r="H120" s="36" t="str">
        <f>+Dulieu!H70</f>
        <v>${DN_CTR_QD_1010.D8}</v>
      </c>
      <c r="I120" s="36" t="str">
        <f>+Dulieu!I70</f>
        <v>${DN_CTR_QD_1010.D9}</v>
      </c>
      <c r="J120" s="36" t="str">
        <f>+Dulieu!J70</f>
        <v>${DN_CTR_QD_1010.D3}</v>
      </c>
      <c r="K120" s="36" t="str">
        <f>+Dulieu!K70</f>
        <v>${DN_CTR_QD_1010.D10}</v>
      </c>
      <c r="L120" s="36" t="str">
        <f>+Dulieu!L70</f>
        <v>${DN_CTR_QD_1010.D5}</v>
      </c>
      <c r="M120" s="36" t="str">
        <f>+Dulieu!M70</f>
        <v>${DN_CTR_QD_1010.D7}</v>
      </c>
      <c r="N120" s="36" t="str">
        <f>+Dulieu!N70</f>
        <v>${DN_CTR_QD_1010.D12}</v>
      </c>
      <c r="O120" s="36" t="str">
        <f>+Dulieu!O70</f>
        <v>${DN_CTR_QD_1010.D13}</v>
      </c>
      <c r="P120" s="36" t="str">
        <f>+Dulieu!P70</f>
        <v>${DN_CTR_QD_1010.D14}</v>
      </c>
      <c r="Q120" s="36" t="str">
        <f>+Dulieu!Q70</f>
        <v>${DN_CTR_QD_1010.D15}</v>
      </c>
      <c r="R120" s="36" t="str">
        <f>+Dulieu!R70</f>
        <v>${DN_CTR_QD_1010.D16}</v>
      </c>
      <c r="S120" s="36" t="str">
        <f>+Dulieu!S70</f>
        <v>${DN_CTR_QD_1010.D17}</v>
      </c>
      <c r="T120" s="36" t="str">
        <f>+Dulieu!T70</f>
        <v>${DN_CTR_QD_1010.D18}</v>
      </c>
      <c r="U120" s="36" t="str">
        <f>+Dulieu!U70</f>
        <v>${DN_CTR_QD_1010.D19}</v>
      </c>
      <c r="V120" s="36" t="str">
        <f>+Dulieu!V70</f>
        <v>${DN_CTR_QD_1010.D20}</v>
      </c>
      <c r="W120" s="36" t="str">
        <f>+Dulieu!W70</f>
        <v>${DN_CTR_QD_1010.D21}</v>
      </c>
      <c r="X120" s="36" t="str">
        <f>+Dulieu!X70</f>
        <v>${DN_CTR_QD_1010.D22}</v>
      </c>
      <c r="Y120" s="36" t="str">
        <f>+Dulieu!Y70</f>
        <v>${DN_CTR_QD_1010.D23}</v>
      </c>
    </row>
    <row r="121" spans="1:25" s="41" customFormat="1" ht="12" x14ac:dyDescent="0.2">
      <c r="A121" s="38"/>
      <c r="B121" s="39" t="s">
        <v>838</v>
      </c>
      <c r="C121" s="40" t="e">
        <f t="shared" si="32"/>
        <v>#VALUE!</v>
      </c>
      <c r="D121" s="40" t="e">
        <f>+D120-VLOOKUP(Dulieu!$C$70&amp;"_PRE_M",Dulieu!$C$88:$N$400,2,FALSE)</f>
        <v>#VALUE!</v>
      </c>
      <c r="E121" s="40" t="e">
        <f>+E120-VLOOKUP(Dulieu!$C$70&amp;"_PRE_M",Dulieu!$C$88:$N$400,3,FALSE)</f>
        <v>#VALUE!</v>
      </c>
      <c r="F121" s="40" t="e">
        <f>+F120-VLOOKUP(Dulieu!$C$70&amp;"_PRE_M",Dulieu!$C$88:$N$400,4,FALSE)</f>
        <v>#VALUE!</v>
      </c>
      <c r="G121" s="40" t="e">
        <f>+G120-VLOOKUP(Dulieu!$C$70&amp;"_PRE_M",Dulieu!$C$88:$N$400,5,FALSE)</f>
        <v>#VALUE!</v>
      </c>
      <c r="H121" s="40" t="e">
        <f>+H120-VLOOKUP(Dulieu!$C$70&amp;"_PRE_M",Dulieu!$C$88:$N$400,6,FALSE)</f>
        <v>#VALUE!</v>
      </c>
      <c r="I121" s="40" t="e">
        <f>+I120-VLOOKUP(Dulieu!$C$70&amp;"_PRE_M",Dulieu!$C$88:$N$400,7,FALSE)</f>
        <v>#VALUE!</v>
      </c>
      <c r="J121" s="40" t="e">
        <f>+J120-VLOOKUP(Dulieu!$C$70&amp;"_PRE_M",Dulieu!$C$88:$N$400,8,FALSE)</f>
        <v>#VALUE!</v>
      </c>
      <c r="K121" s="40" t="e">
        <f>+K120-VLOOKUP(Dulieu!$C$70&amp;"_PRE_M",Dulieu!$C$88:$N$400,9,FALSE)</f>
        <v>#VALUE!</v>
      </c>
      <c r="L121" s="40" t="e">
        <f>+L120-VLOOKUP(Dulieu!$C$70&amp;"_PRE_M",Dulieu!$C$88:$N$400,10,FALSE)</f>
        <v>#VALUE!</v>
      </c>
      <c r="M121" s="40" t="e">
        <f>+M120-VLOOKUP(Dulieu!$C$70&amp;"_PRE_M",Dulieu!$C$88:$N$400,11,FALSE)</f>
        <v>#VALUE!</v>
      </c>
      <c r="N121" s="40" t="e">
        <f>+N120-VLOOKUP(Dulieu!$C$70&amp;"_PRE_M",Dulieu!$C$88:$N$400,12,FALSE)</f>
        <v>#VALUE!</v>
      </c>
      <c r="O121" s="40" t="e">
        <f>+O120-VLOOKUP(Dulieu!$C$70&amp;"_PRE_M",Dulieu!$C$88:$Y$400,13,FALSE)</f>
        <v>#VALUE!</v>
      </c>
      <c r="P121" s="40" t="e">
        <f>+P120-VLOOKUP(Dulieu!$C$70&amp;"_PRE_M",Dulieu!$C$88:$Y$400,14,FALSE)</f>
        <v>#VALUE!</v>
      </c>
      <c r="Q121" s="40" t="e">
        <f>+Q120-VLOOKUP(Dulieu!$C$70&amp;"_PRE_M",Dulieu!$C$88:$Y$400,15,FALSE)</f>
        <v>#VALUE!</v>
      </c>
      <c r="R121" s="40" t="e">
        <f>+R120-VLOOKUP(Dulieu!$C$70&amp;"_PRE_M",Dulieu!$C$88:$Y$400,16,FALSE)</f>
        <v>#VALUE!</v>
      </c>
      <c r="S121" s="40" t="e">
        <f>+S120-VLOOKUP(Dulieu!$C$70&amp;"_PRE_M",Dulieu!$C$88:$Y$400,17,FALSE)</f>
        <v>#VALUE!</v>
      </c>
      <c r="T121" s="40" t="e">
        <f>+T120-VLOOKUP(Dulieu!$C$70&amp;"_PRE_M",Dulieu!$C$88:$Y$400,18,FALSE)</f>
        <v>#VALUE!</v>
      </c>
      <c r="U121" s="40" t="e">
        <f>+U120-VLOOKUP(Dulieu!$C$70&amp;"_PRE_M",Dulieu!$C$88:$Y$400,19,FALSE)</f>
        <v>#VALUE!</v>
      </c>
      <c r="V121" s="40" t="e">
        <f>+V120-VLOOKUP(Dulieu!$C$70&amp;"_PRE_M",Dulieu!$C$88:$Y$400,20,FALSE)</f>
        <v>#VALUE!</v>
      </c>
      <c r="W121" s="40" t="e">
        <f>+W120-VLOOKUP(Dulieu!$C$70&amp;"_PRE_M",Dulieu!$C$88:$Y$400,21,FALSE)</f>
        <v>#VALUE!</v>
      </c>
      <c r="X121" s="40" t="e">
        <f>+X120-VLOOKUP(Dulieu!$C$70&amp;"_PRE_M",Dulieu!$C$88:$Y$400,22,FALSE)</f>
        <v>#VALUE!</v>
      </c>
      <c r="Y121" s="40" t="e">
        <f>+Y120-VLOOKUP(Dulieu!$C$70&amp;"_PRE_M",Dulieu!$C$88:$Y$400,23,FALSE)</f>
        <v>#VALUE!</v>
      </c>
    </row>
    <row r="122" spans="1:25" s="41" customFormat="1" ht="12" x14ac:dyDescent="0.2">
      <c r="A122" s="38"/>
      <c r="B122" s="39" t="s">
        <v>839</v>
      </c>
      <c r="C122" s="40" t="e">
        <f t="shared" si="32"/>
        <v>#VALUE!</v>
      </c>
      <c r="D122" s="40" t="e">
        <f>+D120-VLOOKUP(Dulieu!$C$70&amp;"_PRE_Y",Dulieu!$C$88:$N$400,2,FALSE)</f>
        <v>#VALUE!</v>
      </c>
      <c r="E122" s="40" t="e">
        <f>+E120-VLOOKUP(Dulieu!$C$70&amp;"_PRE_Y",Dulieu!$C$88:$N$400,3,FALSE)</f>
        <v>#VALUE!</v>
      </c>
      <c r="F122" s="40" t="e">
        <f>+F120-VLOOKUP(Dulieu!$C$70&amp;"_PRE_Y",Dulieu!$C$88:$N$400,4,FALSE)</f>
        <v>#VALUE!</v>
      </c>
      <c r="G122" s="40" t="e">
        <f>+G120-VLOOKUP(Dulieu!$C$70&amp;"_PRE_Y",Dulieu!$C$88:$N$400,5,FALSE)</f>
        <v>#VALUE!</v>
      </c>
      <c r="H122" s="40" t="e">
        <f>+H120-VLOOKUP(Dulieu!$C$70&amp;"_PRE_Y",Dulieu!$C$88:$N$400,6,FALSE)</f>
        <v>#VALUE!</v>
      </c>
      <c r="I122" s="40" t="e">
        <f>+I120-VLOOKUP(Dulieu!$C$70&amp;"_PRE_Y",Dulieu!$C$88:$N$400,7,FALSE)</f>
        <v>#VALUE!</v>
      </c>
      <c r="J122" s="40" t="e">
        <f>+J120-VLOOKUP(Dulieu!$C$70&amp;"_PRE_Y",Dulieu!$C$88:$N$400,8,FALSE)</f>
        <v>#VALUE!</v>
      </c>
      <c r="K122" s="40" t="e">
        <f>+K120-VLOOKUP(Dulieu!$C$70&amp;"_PRE_Y",Dulieu!$C$88:$N$400,9,FALSE)</f>
        <v>#VALUE!</v>
      </c>
      <c r="L122" s="40" t="e">
        <f>+L120-VLOOKUP(Dulieu!$C$70&amp;"_PRE_Y",Dulieu!$C$88:$N$400,10,FALSE)</f>
        <v>#VALUE!</v>
      </c>
      <c r="M122" s="40" t="e">
        <f>+M120-VLOOKUP(Dulieu!$C$70&amp;"_PRE_Y",Dulieu!$C$88:$N$400,11,FALSE)</f>
        <v>#VALUE!</v>
      </c>
      <c r="N122" s="40" t="e">
        <f>+N120-VLOOKUP(Dulieu!$C$70&amp;"_PRE_Y",Dulieu!$C$88:$N$400,12,FALSE)</f>
        <v>#VALUE!</v>
      </c>
      <c r="O122" s="40" t="e">
        <f>+O120-VLOOKUP(Dulieu!$C$70&amp;"_PRE_Y",Dulieu!$C$88:$Y$400,13,FALSE)</f>
        <v>#VALUE!</v>
      </c>
      <c r="P122" s="40" t="e">
        <f>+P120-VLOOKUP(Dulieu!$C$70&amp;"_PRE_Y",Dulieu!$C$88:$Y$400,14,FALSE)</f>
        <v>#VALUE!</v>
      </c>
      <c r="Q122" s="40" t="e">
        <f>+Q120-VLOOKUP(Dulieu!$C$70&amp;"_PRE_Y",Dulieu!$C$88:$Y$400,15,FALSE)</f>
        <v>#VALUE!</v>
      </c>
      <c r="R122" s="40" t="e">
        <f>+R120-VLOOKUP(Dulieu!$C$70&amp;"_PRE_Y",Dulieu!$C$88:$Y$400,16,FALSE)</f>
        <v>#VALUE!</v>
      </c>
      <c r="S122" s="40" t="e">
        <f>+S120-VLOOKUP(Dulieu!$C$70&amp;"_PRE_Y",Dulieu!$C$88:$Y$400,17,FALSE)</f>
        <v>#VALUE!</v>
      </c>
      <c r="T122" s="40" t="e">
        <f>+T120-VLOOKUP(Dulieu!$C$70&amp;"_PRE_Y",Dulieu!$C$88:$Y$400,18,FALSE)</f>
        <v>#VALUE!</v>
      </c>
      <c r="U122" s="40" t="e">
        <f>+U120-VLOOKUP(Dulieu!$C$70&amp;"_PRE_Y",Dulieu!$C$88:$Y$400,19,FALSE)</f>
        <v>#VALUE!</v>
      </c>
      <c r="V122" s="40" t="e">
        <f>+V120-VLOOKUP(Dulieu!$C$70&amp;"_PRE_Y",Dulieu!$C$88:$Y$400,20,FALSE)</f>
        <v>#VALUE!</v>
      </c>
      <c r="W122" s="40" t="e">
        <f>+W120-VLOOKUP(Dulieu!$C$70&amp;"_PRE_Y",Dulieu!$C$88:$Y$400,21,FALSE)</f>
        <v>#VALUE!</v>
      </c>
      <c r="X122" s="40" t="e">
        <f>+X120-VLOOKUP(Dulieu!$C$70&amp;"_PRE_Y",Dulieu!$C$88:$Y$400,22,FALSE)</f>
        <v>#VALUE!</v>
      </c>
      <c r="Y122" s="40" t="e">
        <f>+Y120-VLOOKUP(Dulieu!$C$70&amp;"_PRE_Y",Dulieu!$C$88:$Y$400,23,FALSE)</f>
        <v>#VALUE!</v>
      </c>
    </row>
    <row r="123" spans="1:25" s="41" customFormat="1" ht="12" x14ac:dyDescent="0.2">
      <c r="A123" s="38"/>
      <c r="B123" s="43" t="s">
        <v>42</v>
      </c>
      <c r="C123" s="40">
        <f>SUM(D123:Y123)</f>
        <v>0</v>
      </c>
      <c r="D123" s="64">
        <f>+IFERROR(VLOOKUP(LEFT(Dulieu!$C$44,10)&amp;"NV_101001",Dulieu!$C$88:$Y$400,2,FALSE),0)</f>
        <v>0</v>
      </c>
      <c r="E123" s="64">
        <f>+IFERROR(VLOOKUP(LEFT(Dulieu!$C$44,10)&amp;"NV_101001",Dulieu!$C$88:$Y$400,3,FALSE),0)</f>
        <v>0</v>
      </c>
      <c r="F123" s="64">
        <f>+IFERROR(VLOOKUP(LEFT(Dulieu!$C$44,10)&amp;"NV_101001",Dulieu!$C$88:$Y$400,4,FALSE),0)</f>
        <v>0</v>
      </c>
      <c r="G123" s="64">
        <f>+IFERROR(VLOOKUP(LEFT(Dulieu!$C$44,10)&amp;"NV_101001",Dulieu!$C$88:$Y$400,5,FALSE),0)</f>
        <v>0</v>
      </c>
      <c r="H123" s="64">
        <f>+IFERROR(VLOOKUP(LEFT(Dulieu!$C$44,10)&amp;"NV_101001",Dulieu!$C$88:$Y$400,6,FALSE),0)</f>
        <v>0</v>
      </c>
      <c r="I123" s="64">
        <f>+IFERROR(VLOOKUP(LEFT(Dulieu!$C$44,10)&amp;"NV_101001",Dulieu!$C$88:$Y$400,7,FALSE),0)</f>
        <v>0</v>
      </c>
      <c r="J123" s="64">
        <f>+IFERROR(VLOOKUP(LEFT(Dulieu!$C$44,10)&amp;"NV_101001",Dulieu!$C$88:$Y$400,8,FALSE),0)</f>
        <v>0</v>
      </c>
      <c r="K123" s="64">
        <f>+IFERROR(VLOOKUP(LEFT(Dulieu!$C$44,10)&amp;"NV_101001",Dulieu!$C$88:$Y$400,9,FALSE),0)</f>
        <v>0</v>
      </c>
      <c r="L123" s="64">
        <f>+IFERROR(VLOOKUP(LEFT(Dulieu!$C$44,10)&amp;"NV_101001",Dulieu!$C$88:$Y$400,10,FALSE),0)</f>
        <v>0</v>
      </c>
      <c r="M123" s="64">
        <f>+IFERROR(VLOOKUP(LEFT(Dulieu!$C$44,10)&amp;"NV_101001",Dulieu!$C$88:$Y$400,11,FALSE),0)</f>
        <v>0</v>
      </c>
      <c r="N123" s="64">
        <f>+IFERROR(VLOOKUP(LEFT(Dulieu!$C$44,10)&amp;"NV_101001",Dulieu!$C$88:$Y$400,12,FALSE),0)</f>
        <v>0</v>
      </c>
      <c r="O123" s="64">
        <f>+IFERROR(VLOOKUP(LEFT(Dulieu!$C$44,10)&amp;"NV_101001",Dulieu!$C$88:$Y$400,13,FALSE),0)</f>
        <v>0</v>
      </c>
      <c r="P123" s="64">
        <f>+IFERROR(VLOOKUP(LEFT(Dulieu!$C$44,10)&amp;"NV_101001",Dulieu!$C$88:$Y$400,14,FALSE),0)</f>
        <v>0</v>
      </c>
      <c r="Q123" s="64">
        <f>+IFERROR(VLOOKUP(LEFT(Dulieu!$C$44,10)&amp;"NV_101001",Dulieu!$C$88:$Y$400,15,FALSE),0)</f>
        <v>0</v>
      </c>
      <c r="R123" s="64">
        <f>+IFERROR(VLOOKUP(LEFT(Dulieu!$C$44,10)&amp;"NV_101001",Dulieu!$C$88:$Y$400,16,FALSE),0)</f>
        <v>0</v>
      </c>
      <c r="S123" s="64">
        <f>+IFERROR(VLOOKUP(LEFT(Dulieu!$C$44,10)&amp;"NV_101001",Dulieu!$C$88:$Y$400,17,FALSE),0)</f>
        <v>0</v>
      </c>
      <c r="T123" s="64">
        <f>+IFERROR(VLOOKUP(LEFT(Dulieu!$C$44,10)&amp;"NV_101001",Dulieu!$C$88:$Y$400,18,FALSE),0)</f>
        <v>0</v>
      </c>
      <c r="U123" s="64">
        <f>+IFERROR(VLOOKUP(LEFT(Dulieu!$C$44,10)&amp;"NV_101001",Dulieu!$C$88:$Y$400,19,FALSE),0)</f>
        <v>0</v>
      </c>
      <c r="V123" s="64">
        <f>+IFERROR(VLOOKUP(LEFT(Dulieu!$C$44,10)&amp;"NV_101001",Dulieu!$C$88:$Y$400,20,FALSE),0)</f>
        <v>0</v>
      </c>
      <c r="W123" s="64">
        <f>+IFERROR(VLOOKUP(LEFT(Dulieu!$C$44,10)&amp;"NV_101001",Dulieu!$C$88:$Y$400,21,FALSE),0)</f>
        <v>0</v>
      </c>
      <c r="X123" s="64">
        <f>+IFERROR(VLOOKUP(LEFT(Dulieu!$C$44,10)&amp;"NV_101001",Dulieu!$C$88:$Y$400,22,FALSE),0)</f>
        <v>0</v>
      </c>
      <c r="Y123" s="64">
        <f>+IFERROR(VLOOKUP(LEFT(Dulieu!$C$44,10)&amp;"NV_101001",Dulieu!$C$88:$Y$400,23,FALSE),0)</f>
        <v>0</v>
      </c>
    </row>
    <row r="124" spans="1:25" s="41" customFormat="1" ht="12" x14ac:dyDescent="0.2">
      <c r="A124" s="38"/>
      <c r="B124" s="43" t="s">
        <v>43</v>
      </c>
      <c r="C124" s="40">
        <f>SUM(D124:Y124)</f>
        <v>0</v>
      </c>
      <c r="D124" s="64">
        <f>+IFERROR(VLOOKUP(LEFT(Dulieu!$C$44,10)&amp;"NV_101002",Dulieu!$C$88:$Y$400,2,FALSE),0)</f>
        <v>0</v>
      </c>
      <c r="E124" s="64">
        <f>+IFERROR(VLOOKUP(LEFT(Dulieu!$C$44,10)&amp;"NV_101002",Dulieu!$C$88:$Y$400,3,FALSE),0)</f>
        <v>0</v>
      </c>
      <c r="F124" s="64">
        <f>+IFERROR(VLOOKUP(LEFT(Dulieu!$C$44,10)&amp;"NV_101002",Dulieu!$C$88:$Y$400,4,FALSE),0)</f>
        <v>0</v>
      </c>
      <c r="G124" s="64">
        <f>+IFERROR(VLOOKUP(LEFT(Dulieu!$C$44,10)&amp;"NV_101002",Dulieu!$C$88:$Y$400,5,FALSE),0)</f>
        <v>0</v>
      </c>
      <c r="H124" s="64">
        <f>+IFERROR(VLOOKUP(LEFT(Dulieu!$C$44,10)&amp;"NV_101002",Dulieu!$C$88:$Y$400,6,FALSE),0)</f>
        <v>0</v>
      </c>
      <c r="I124" s="64">
        <f>+IFERROR(VLOOKUP(LEFT(Dulieu!$C$44,10)&amp;"NV_101002",Dulieu!$C$88:$Y$400,7,FALSE),0)</f>
        <v>0</v>
      </c>
      <c r="J124" s="64">
        <f>+IFERROR(VLOOKUP(LEFT(Dulieu!$C$44,10)&amp;"NV_101002",Dulieu!$C$88:$Y$400,8,FALSE),0)</f>
        <v>0</v>
      </c>
      <c r="K124" s="64">
        <f>+IFERROR(VLOOKUP(LEFT(Dulieu!$C$44,10)&amp;"NV_101002",Dulieu!$C$88:$Y$400,9,FALSE),0)</f>
        <v>0</v>
      </c>
      <c r="L124" s="64">
        <f>+IFERROR(VLOOKUP(LEFT(Dulieu!$C$44,10)&amp;"NV_101002",Dulieu!$C$88:$Y$400,10,FALSE),0)</f>
        <v>0</v>
      </c>
      <c r="M124" s="64">
        <f>+IFERROR(VLOOKUP(LEFT(Dulieu!$C$44,10)&amp;"NV_101002",Dulieu!$C$88:$Y$400,11,FALSE),0)</f>
        <v>0</v>
      </c>
      <c r="N124" s="64">
        <f>+IFERROR(VLOOKUP(LEFT(Dulieu!$C$44,10)&amp;"NV_101002",Dulieu!$C$88:$Y$400,12,FALSE),0)</f>
        <v>0</v>
      </c>
      <c r="O124" s="64">
        <f>+IFERROR(VLOOKUP(LEFT(Dulieu!$C$44,10)&amp;"NV_101002",Dulieu!$C$88:$Y$400,13,FALSE),0)</f>
        <v>0</v>
      </c>
      <c r="P124" s="64">
        <f>+IFERROR(VLOOKUP(LEFT(Dulieu!$C$44,10)&amp;"NV_101002",Dulieu!$C$88:$Y$400,14,FALSE),0)</f>
        <v>0</v>
      </c>
      <c r="Q124" s="64">
        <f>+IFERROR(VLOOKUP(LEFT(Dulieu!$C$44,10)&amp;"NV_101002",Dulieu!$C$88:$Y$400,15,FALSE),0)</f>
        <v>0</v>
      </c>
      <c r="R124" s="64">
        <f>+IFERROR(VLOOKUP(LEFT(Dulieu!$C$44,10)&amp;"NV_101002",Dulieu!$C$88:$Y$400,16,FALSE),0)</f>
        <v>0</v>
      </c>
      <c r="S124" s="64">
        <f>+IFERROR(VLOOKUP(LEFT(Dulieu!$C$44,10)&amp;"NV_101002",Dulieu!$C$88:$Y$400,17,FALSE),0)</f>
        <v>0</v>
      </c>
      <c r="T124" s="64">
        <f>+IFERROR(VLOOKUP(LEFT(Dulieu!$C$44,10)&amp;"NV_101002",Dulieu!$C$88:$Y$400,18,FALSE),0)</f>
        <v>0</v>
      </c>
      <c r="U124" s="64">
        <f>+IFERROR(VLOOKUP(LEFT(Dulieu!$C$44,10)&amp;"NV_101002",Dulieu!$C$88:$Y$400,19,FALSE),0)</f>
        <v>0</v>
      </c>
      <c r="V124" s="64">
        <f>+IFERROR(VLOOKUP(LEFT(Dulieu!$C$44,10)&amp;"NV_101002",Dulieu!$C$88:$Y$400,20,FALSE),0)</f>
        <v>0</v>
      </c>
      <c r="W124" s="64">
        <f>+IFERROR(VLOOKUP(LEFT(Dulieu!$C$44,10)&amp;"NV_101002",Dulieu!$C$88:$Y$400,21,FALSE),0)</f>
        <v>0</v>
      </c>
      <c r="X124" s="64">
        <f>+IFERROR(VLOOKUP(LEFT(Dulieu!$C$44,10)&amp;"NV_101002",Dulieu!$C$88:$Y$400,22,FALSE),0)</f>
        <v>0</v>
      </c>
      <c r="Y124" s="64">
        <f>+IFERROR(VLOOKUP(LEFT(Dulieu!$C$44,10)&amp;"NV_101002",Dulieu!$C$88:$Y$400,23,FALSE),0)</f>
        <v>0</v>
      </c>
    </row>
    <row r="125" spans="1:25" s="37" customFormat="1" ht="12" x14ac:dyDescent="0.2">
      <c r="A125" s="34">
        <v>11</v>
      </c>
      <c r="B125" s="53" t="s">
        <v>61</v>
      </c>
      <c r="C125" s="36">
        <f t="shared" ref="C125:C156" si="34">SUM(D125:Y125)</f>
        <v>0</v>
      </c>
      <c r="D125" s="36" t="str">
        <f>+Dulieu!D71</f>
        <v>${DN_CTR_QD_1515.D2}</v>
      </c>
      <c r="E125" s="36" t="str">
        <f>+Dulieu!E71</f>
        <v>${DN_CTR_QD_1515.D11}</v>
      </c>
      <c r="F125" s="36" t="str">
        <f>+Dulieu!F71</f>
        <v>${DN_CTR_QD_1515.D4}</v>
      </c>
      <c r="G125" s="36" t="str">
        <f>+Dulieu!G71</f>
        <v>${DN_CTR_QD_1515.D6}</v>
      </c>
      <c r="H125" s="36" t="str">
        <f>+Dulieu!H71</f>
        <v>${DN_CTR_QD_1515.D8}</v>
      </c>
      <c r="I125" s="36" t="str">
        <f>+Dulieu!I71</f>
        <v>${DN_CTR_QD_1515.D9}</v>
      </c>
      <c r="J125" s="36" t="str">
        <f>+Dulieu!J71</f>
        <v>${DN_CTR_QD_1515.D3}</v>
      </c>
      <c r="K125" s="36" t="str">
        <f>+Dulieu!K71</f>
        <v>${DN_CTR_QD_1515.D10}</v>
      </c>
      <c r="L125" s="36" t="str">
        <f>+Dulieu!L71</f>
        <v>${DN_CTR_QD_1515.D5}</v>
      </c>
      <c r="M125" s="36" t="str">
        <f>+Dulieu!M71</f>
        <v>${DN_CTR_QD_1515.D7}</v>
      </c>
      <c r="N125" s="36" t="str">
        <f>+Dulieu!N71</f>
        <v>${DN_CTR_QD_1515.D12}</v>
      </c>
      <c r="O125" s="36" t="str">
        <f>+Dulieu!O71</f>
        <v>${DN_CTR_QD_1515.D13}</v>
      </c>
      <c r="P125" s="36" t="str">
        <f>+Dulieu!P71</f>
        <v>${DN_CTR_QD_1515.D14}</v>
      </c>
      <c r="Q125" s="36" t="str">
        <f>+Dulieu!Q71</f>
        <v>${DN_CTR_QD_1515.D15}</v>
      </c>
      <c r="R125" s="36" t="str">
        <f>+Dulieu!R71</f>
        <v>${DN_CTR_QD_1515.D16}</v>
      </c>
      <c r="S125" s="36" t="str">
        <f>+Dulieu!S71</f>
        <v>${DN_CTR_QD_1515.D17}</v>
      </c>
      <c r="T125" s="36" t="str">
        <f>+Dulieu!T71</f>
        <v>${DN_CTR_QD_1515.D18}</v>
      </c>
      <c r="U125" s="36" t="str">
        <f>+Dulieu!U71</f>
        <v>${DN_CTR_QD_1515.D19}</v>
      </c>
      <c r="V125" s="36" t="str">
        <f>+Dulieu!V71</f>
        <v>${DN_CTR_QD_1515.D20}</v>
      </c>
      <c r="W125" s="36" t="str">
        <f>+Dulieu!W71</f>
        <v>${DN_CTR_QD_1515.D21}</v>
      </c>
      <c r="X125" s="36" t="str">
        <f>+Dulieu!X71</f>
        <v>${DN_CTR_QD_1515.D22}</v>
      </c>
      <c r="Y125" s="36" t="str">
        <f>+Dulieu!Y71</f>
        <v>${DN_CTR_QD_1515.D23}</v>
      </c>
    </row>
    <row r="126" spans="1:25" s="41" customFormat="1" ht="12" x14ac:dyDescent="0.2">
      <c r="A126" s="38"/>
      <c r="B126" s="39" t="s">
        <v>838</v>
      </c>
      <c r="C126" s="40" t="e">
        <f t="shared" si="34"/>
        <v>#VALUE!</v>
      </c>
      <c r="D126" s="40" t="e">
        <f>+D125-VLOOKUP(Dulieu!$C$71&amp;"_PRE_M",Dulieu!$C$88:$N$400,2,FALSE)</f>
        <v>#VALUE!</v>
      </c>
      <c r="E126" s="40" t="e">
        <f>+E125-VLOOKUP(Dulieu!$C$71&amp;"_PRE_M",Dulieu!$C$88:$N$400,3,FALSE)</f>
        <v>#VALUE!</v>
      </c>
      <c r="F126" s="40" t="e">
        <f>+F125-VLOOKUP(Dulieu!$C$71&amp;"_PRE_M",Dulieu!$C$88:$N$400,4,FALSE)</f>
        <v>#VALUE!</v>
      </c>
      <c r="G126" s="40" t="e">
        <f>+G125-VLOOKUP(Dulieu!$C$71&amp;"_PRE_M",Dulieu!$C$88:$N$400,5,FALSE)</f>
        <v>#VALUE!</v>
      </c>
      <c r="H126" s="40" t="e">
        <f>+H125-VLOOKUP(Dulieu!$C$71&amp;"_PRE_M",Dulieu!$C$88:$N$400,6,FALSE)</f>
        <v>#VALUE!</v>
      </c>
      <c r="I126" s="40" t="e">
        <f>+I125-VLOOKUP(Dulieu!$C$71&amp;"_PRE_M",Dulieu!$C$88:$N$400,7,FALSE)</f>
        <v>#VALUE!</v>
      </c>
      <c r="J126" s="40" t="e">
        <f>+J125-VLOOKUP(Dulieu!$C$71&amp;"_PRE_M",Dulieu!$C$88:$N$400,8,FALSE)</f>
        <v>#VALUE!</v>
      </c>
      <c r="K126" s="40" t="e">
        <f>+K125-VLOOKUP(Dulieu!$C$71&amp;"_PRE_M",Dulieu!$C$88:$N$400,9,FALSE)</f>
        <v>#VALUE!</v>
      </c>
      <c r="L126" s="40" t="e">
        <f>+L125-VLOOKUP(Dulieu!$C$71&amp;"_PRE_M",Dulieu!$C$88:$N$400,10,FALSE)</f>
        <v>#VALUE!</v>
      </c>
      <c r="M126" s="40" t="e">
        <f>+M125-VLOOKUP(Dulieu!$C$71&amp;"_PRE_M",Dulieu!$C$88:$N$400,11,FALSE)</f>
        <v>#VALUE!</v>
      </c>
      <c r="N126" s="40" t="e">
        <f>+N125-VLOOKUP(Dulieu!$C$71&amp;"_PRE_M",Dulieu!$C$88:$N$400,12,FALSE)</f>
        <v>#VALUE!</v>
      </c>
      <c r="O126" s="40" t="e">
        <f>+O125-VLOOKUP(Dulieu!$C$71&amp;"_PRE_M",Dulieu!$C$88:$Y$400,13,FALSE)</f>
        <v>#VALUE!</v>
      </c>
      <c r="P126" s="40" t="e">
        <f>+P125-VLOOKUP(Dulieu!$C$71&amp;"_PRE_M",Dulieu!$C$88:$Y$400,14,FALSE)</f>
        <v>#VALUE!</v>
      </c>
      <c r="Q126" s="40" t="e">
        <f>+Q125-VLOOKUP(Dulieu!$C$71&amp;"_PRE_M",Dulieu!$C$88:$Y$400,15,FALSE)</f>
        <v>#VALUE!</v>
      </c>
      <c r="R126" s="40" t="e">
        <f>+R125-VLOOKUP(Dulieu!$C$71&amp;"_PRE_M",Dulieu!$C$88:$Y$400,16,FALSE)</f>
        <v>#VALUE!</v>
      </c>
      <c r="S126" s="40" t="e">
        <f>+S125-VLOOKUP(Dulieu!$C$71&amp;"_PRE_M",Dulieu!$C$88:$Y$400,17,FALSE)</f>
        <v>#VALUE!</v>
      </c>
      <c r="T126" s="40" t="e">
        <f>+T125-VLOOKUP(Dulieu!$C$71&amp;"_PRE_M",Dulieu!$C$88:$Y$400,18,FALSE)</f>
        <v>#VALUE!</v>
      </c>
      <c r="U126" s="40" t="e">
        <f>+U125-VLOOKUP(Dulieu!$C$71&amp;"_PRE_M",Dulieu!$C$88:$Y$400,19,FALSE)</f>
        <v>#VALUE!</v>
      </c>
      <c r="V126" s="40" t="e">
        <f>+V125-VLOOKUP(Dulieu!$C$71&amp;"_PRE_M",Dulieu!$C$88:$Y$400,20,FALSE)</f>
        <v>#VALUE!</v>
      </c>
      <c r="W126" s="40" t="e">
        <f>+W125-VLOOKUP(Dulieu!$C$71&amp;"_PRE_M",Dulieu!$C$88:$Y$400,21,FALSE)</f>
        <v>#VALUE!</v>
      </c>
      <c r="X126" s="40" t="e">
        <f>+X125-VLOOKUP(Dulieu!$C$71&amp;"_PRE_M",Dulieu!$C$88:$Y$400,22,FALSE)</f>
        <v>#VALUE!</v>
      </c>
      <c r="Y126" s="40" t="e">
        <f>+Y125-VLOOKUP(Dulieu!$C$71&amp;"_PRE_M",Dulieu!$C$88:$Y$400,23,FALSE)</f>
        <v>#VALUE!</v>
      </c>
    </row>
    <row r="127" spans="1:25" s="41" customFormat="1" ht="12" x14ac:dyDescent="0.2">
      <c r="A127" s="38"/>
      <c r="B127" s="39" t="s">
        <v>839</v>
      </c>
      <c r="C127" s="40" t="e">
        <f t="shared" si="34"/>
        <v>#VALUE!</v>
      </c>
      <c r="D127" s="40" t="e">
        <f>+D125-VLOOKUP(Dulieu!$C$71&amp;"_PRE_Y",Dulieu!$C$88:$N$400,2,FALSE)</f>
        <v>#VALUE!</v>
      </c>
      <c r="E127" s="40" t="e">
        <f>+E125-VLOOKUP(Dulieu!$C$71&amp;"_PRE_Y",Dulieu!$C$88:$N$400,3,FALSE)</f>
        <v>#VALUE!</v>
      </c>
      <c r="F127" s="40" t="e">
        <f>+F125-VLOOKUP(Dulieu!$C$71&amp;"_PRE_Y",Dulieu!$C$88:$N$400,4,FALSE)</f>
        <v>#VALUE!</v>
      </c>
      <c r="G127" s="40" t="e">
        <f>+G125-VLOOKUP(Dulieu!$C$71&amp;"_PRE_Y",Dulieu!$C$88:$N$400,5,FALSE)</f>
        <v>#VALUE!</v>
      </c>
      <c r="H127" s="40" t="e">
        <f>+H125-VLOOKUP(Dulieu!$C$71&amp;"_PRE_Y",Dulieu!$C$88:$N$400,6,FALSE)</f>
        <v>#VALUE!</v>
      </c>
      <c r="I127" s="40" t="e">
        <f>+I125-VLOOKUP(Dulieu!$C$71&amp;"_PRE_Y",Dulieu!$C$88:$N$400,7,FALSE)</f>
        <v>#VALUE!</v>
      </c>
      <c r="J127" s="40" t="e">
        <f>+J125-VLOOKUP(Dulieu!$C$71&amp;"_PRE_Y",Dulieu!$C$88:$N$400,8,FALSE)</f>
        <v>#VALUE!</v>
      </c>
      <c r="K127" s="40" t="e">
        <f>+K125-VLOOKUP(Dulieu!$C$71&amp;"_PRE_Y",Dulieu!$C$88:$N$400,9,FALSE)</f>
        <v>#VALUE!</v>
      </c>
      <c r="L127" s="40" t="e">
        <f>+L125-VLOOKUP(Dulieu!$C$71&amp;"_PRE_Y",Dulieu!$C$88:$N$400,10,FALSE)</f>
        <v>#VALUE!</v>
      </c>
      <c r="M127" s="40" t="e">
        <f>+M125-VLOOKUP(Dulieu!$C$71&amp;"_PRE_Y",Dulieu!$C$88:$N$400,11,FALSE)</f>
        <v>#VALUE!</v>
      </c>
      <c r="N127" s="40" t="e">
        <f>+N125-VLOOKUP(Dulieu!$C$71&amp;"_PRE_Y",Dulieu!$C$88:$N$400,12,FALSE)</f>
        <v>#VALUE!</v>
      </c>
      <c r="O127" s="40" t="e">
        <f>+O125-VLOOKUP(Dulieu!$C$71&amp;"_PRE_Y",Dulieu!$C$88:$Y$400,13,FALSE)</f>
        <v>#VALUE!</v>
      </c>
      <c r="P127" s="40" t="e">
        <f>+P125-VLOOKUP(Dulieu!$C$71&amp;"_PRE_Y",Dulieu!$C$88:$Y$400,14,FALSE)</f>
        <v>#VALUE!</v>
      </c>
      <c r="Q127" s="40" t="e">
        <f>+Q125-VLOOKUP(Dulieu!$C$71&amp;"_PRE_Y",Dulieu!$C$88:$Y$400,15,FALSE)</f>
        <v>#VALUE!</v>
      </c>
      <c r="R127" s="40" t="e">
        <f>+R125-VLOOKUP(Dulieu!$C$71&amp;"_PRE_Y",Dulieu!$C$88:$Y$400,16,FALSE)</f>
        <v>#VALUE!</v>
      </c>
      <c r="S127" s="40" t="e">
        <f>+S125-VLOOKUP(Dulieu!$C$71&amp;"_PRE_Y",Dulieu!$C$88:$Y$400,17,FALSE)</f>
        <v>#VALUE!</v>
      </c>
      <c r="T127" s="40" t="e">
        <f>+T125-VLOOKUP(Dulieu!$C$71&amp;"_PRE_Y",Dulieu!$C$88:$Y$400,18,FALSE)</f>
        <v>#VALUE!</v>
      </c>
      <c r="U127" s="40" t="e">
        <f>+U125-VLOOKUP(Dulieu!$C$71&amp;"_PRE_Y",Dulieu!$C$88:$Y$400,19,FALSE)</f>
        <v>#VALUE!</v>
      </c>
      <c r="V127" s="40" t="e">
        <f>+V125-VLOOKUP(Dulieu!$C$71&amp;"_PRE_Y",Dulieu!$C$88:$Y$400,20,FALSE)</f>
        <v>#VALUE!</v>
      </c>
      <c r="W127" s="40" t="e">
        <f>+W125-VLOOKUP(Dulieu!$C$71&amp;"_PRE_Y",Dulieu!$C$88:$Y$400,21,FALSE)</f>
        <v>#VALUE!</v>
      </c>
      <c r="X127" s="40" t="e">
        <f>+X125-VLOOKUP(Dulieu!$C$71&amp;"_PRE_Y",Dulieu!$C$88:$Y$400,22,FALSE)</f>
        <v>#VALUE!</v>
      </c>
      <c r="Y127" s="40" t="e">
        <f>+Y125-VLOOKUP(Dulieu!$C$71&amp;"_PRE_Y",Dulieu!$C$88:$Y$400,23,FALSE)</f>
        <v>#VALUE!</v>
      </c>
    </row>
    <row r="128" spans="1:25" s="37" customFormat="1" ht="12" x14ac:dyDescent="0.2">
      <c r="A128" s="34">
        <v>12</v>
      </c>
      <c r="B128" s="35" t="s">
        <v>62</v>
      </c>
      <c r="C128" s="36">
        <f t="shared" si="34"/>
        <v>0</v>
      </c>
      <c r="D128" s="36" t="str">
        <f>+Dulieu!D72</f>
        <v>${DN_CTR_QD_1717.D2}</v>
      </c>
      <c r="E128" s="36" t="str">
        <f>+Dulieu!E72</f>
        <v>${DN_CTR_QD_1717.D11}</v>
      </c>
      <c r="F128" s="36" t="str">
        <f>+Dulieu!F72</f>
        <v>${DN_CTR_QD_1717.D4}</v>
      </c>
      <c r="G128" s="36" t="str">
        <f>+Dulieu!G72</f>
        <v>${DN_CTR_QD_1717.D6}</v>
      </c>
      <c r="H128" s="36" t="str">
        <f>+Dulieu!H72</f>
        <v>${DN_CTR_QD_1717.D8}</v>
      </c>
      <c r="I128" s="36" t="str">
        <f>+Dulieu!I72</f>
        <v>${DN_CTR_QD_1717.D9}</v>
      </c>
      <c r="J128" s="36" t="str">
        <f>+Dulieu!J72</f>
        <v>${DN_CTR_QD_1717.D3}</v>
      </c>
      <c r="K128" s="36" t="str">
        <f>+Dulieu!K72</f>
        <v>${DN_CTR_QD_1717.D10}</v>
      </c>
      <c r="L128" s="36" t="str">
        <f>+Dulieu!L72</f>
        <v>${DN_CTR_QD_1717.D5}</v>
      </c>
      <c r="M128" s="36" t="str">
        <f>+Dulieu!M72</f>
        <v>${DN_CTR_QD_1717.D7}</v>
      </c>
      <c r="N128" s="36" t="str">
        <f>+Dulieu!N72</f>
        <v>${DN_CTR_QD_1717.D12}</v>
      </c>
      <c r="O128" s="36" t="str">
        <f>+Dulieu!O72</f>
        <v>${DN_CTR_QD_1717.D13}</v>
      </c>
      <c r="P128" s="36" t="str">
        <f>+Dulieu!P72</f>
        <v>${DN_CTR_QD_1717.D14}</v>
      </c>
      <c r="Q128" s="36" t="str">
        <f>+Dulieu!Q72</f>
        <v>${DN_CTR_QD_1717.D15}</v>
      </c>
      <c r="R128" s="36" t="str">
        <f>+Dulieu!R72</f>
        <v>${DN_CTR_QD_1717.D16}</v>
      </c>
      <c r="S128" s="36" t="str">
        <f>+Dulieu!S72</f>
        <v>${DN_CTR_QD_1717.D17}</v>
      </c>
      <c r="T128" s="36" t="str">
        <f>+Dulieu!T72</f>
        <v>${DN_CTR_QD_1717.D18}</v>
      </c>
      <c r="U128" s="36" t="str">
        <f>+Dulieu!U72</f>
        <v>${DN_CTR_QD_1717.D19}</v>
      </c>
      <c r="V128" s="36" t="str">
        <f>+Dulieu!V72</f>
        <v>${DN_CTR_QD_1717.D20}</v>
      </c>
      <c r="W128" s="36" t="str">
        <f>+Dulieu!W72</f>
        <v>${DN_CTR_QD_1717.D21}</v>
      </c>
      <c r="X128" s="36" t="str">
        <f>+Dulieu!X72</f>
        <v>${DN_CTR_QD_1717.D22}</v>
      </c>
      <c r="Y128" s="36" t="str">
        <f>+Dulieu!Y72</f>
        <v>${DN_CTR_QD_1717.D23}</v>
      </c>
    </row>
    <row r="129" spans="1:25" s="41" customFormat="1" ht="12" x14ac:dyDescent="0.2">
      <c r="A129" s="38"/>
      <c r="B129" s="39" t="s">
        <v>838</v>
      </c>
      <c r="C129" s="40" t="e">
        <f t="shared" si="34"/>
        <v>#VALUE!</v>
      </c>
      <c r="D129" s="40" t="e">
        <f>+D128-VLOOKUP(Dulieu!$C$72&amp;"_PRE_M",Dulieu!$C$88:$N$400,2,FALSE)</f>
        <v>#VALUE!</v>
      </c>
      <c r="E129" s="40" t="e">
        <f>+E128-VLOOKUP(Dulieu!$C$72&amp;"_PRE_M",Dulieu!$C$88:$N$400,3,FALSE)</f>
        <v>#VALUE!</v>
      </c>
      <c r="F129" s="40" t="e">
        <f>+F128-VLOOKUP(Dulieu!$C$72&amp;"_PRE_M",Dulieu!$C$88:$N$400,4,FALSE)</f>
        <v>#VALUE!</v>
      </c>
      <c r="G129" s="40" t="e">
        <f>+G128-VLOOKUP(Dulieu!$C$72&amp;"_PRE_M",Dulieu!$C$88:$N$400,5,FALSE)</f>
        <v>#VALUE!</v>
      </c>
      <c r="H129" s="40" t="e">
        <f>+H128-VLOOKUP(Dulieu!$C$72&amp;"_PRE_M",Dulieu!$C$88:$N$400,6,FALSE)</f>
        <v>#VALUE!</v>
      </c>
      <c r="I129" s="40" t="e">
        <f>+I128-VLOOKUP(Dulieu!$C$72&amp;"_PRE_M",Dulieu!$C$88:$N$400,7,FALSE)</f>
        <v>#VALUE!</v>
      </c>
      <c r="J129" s="40" t="e">
        <f>+J128-VLOOKUP(Dulieu!$C$72&amp;"_PRE_M",Dulieu!$C$88:$N$400,8,FALSE)</f>
        <v>#VALUE!</v>
      </c>
      <c r="K129" s="40" t="e">
        <f>+K128-VLOOKUP(Dulieu!$C$72&amp;"_PRE_M",Dulieu!$C$88:$N$400,9,FALSE)</f>
        <v>#VALUE!</v>
      </c>
      <c r="L129" s="40" t="e">
        <f>+L128-VLOOKUP(Dulieu!$C$72&amp;"_PRE_M",Dulieu!$C$88:$N$400,10,FALSE)</f>
        <v>#VALUE!</v>
      </c>
      <c r="M129" s="40" t="e">
        <f>+M128-VLOOKUP(Dulieu!$C$72&amp;"_PRE_M",Dulieu!$C$88:$N$400,11,FALSE)</f>
        <v>#VALUE!</v>
      </c>
      <c r="N129" s="40" t="e">
        <f>+N128-VLOOKUP(Dulieu!$C$72&amp;"_PRE_M",Dulieu!$C$88:$N$400,12,FALSE)</f>
        <v>#VALUE!</v>
      </c>
      <c r="O129" s="40" t="e">
        <f>+O128-VLOOKUP(Dulieu!$C$72&amp;"_PRE_M",Dulieu!$C$88:$Y$400,13,FALSE)</f>
        <v>#VALUE!</v>
      </c>
      <c r="P129" s="40" t="e">
        <f>+P128-VLOOKUP(Dulieu!$C$72&amp;"_PRE_M",Dulieu!$C$88:$Y$400,14,FALSE)</f>
        <v>#VALUE!</v>
      </c>
      <c r="Q129" s="40" t="e">
        <f>+Q128-VLOOKUP(Dulieu!$C$72&amp;"_PRE_M",Dulieu!$C$88:$Y$400,15,FALSE)</f>
        <v>#VALUE!</v>
      </c>
      <c r="R129" s="40" t="e">
        <f>+R128-VLOOKUP(Dulieu!$C$72&amp;"_PRE_M",Dulieu!$C$88:$Y$400,16,FALSE)</f>
        <v>#VALUE!</v>
      </c>
      <c r="S129" s="40" t="e">
        <f>+S128-VLOOKUP(Dulieu!$C$72&amp;"_PRE_M",Dulieu!$C$88:$Y$400,17,FALSE)</f>
        <v>#VALUE!</v>
      </c>
      <c r="T129" s="40" t="e">
        <f>+T128-VLOOKUP(Dulieu!$C$72&amp;"_PRE_M",Dulieu!$C$88:$Y$400,18,FALSE)</f>
        <v>#VALUE!</v>
      </c>
      <c r="U129" s="40" t="e">
        <f>+U128-VLOOKUP(Dulieu!$C$72&amp;"_PRE_M",Dulieu!$C$88:$Y$400,19,FALSE)</f>
        <v>#VALUE!</v>
      </c>
      <c r="V129" s="40" t="e">
        <f>+V128-VLOOKUP(Dulieu!$C$72&amp;"_PRE_M",Dulieu!$C$88:$Y$400,20,FALSE)</f>
        <v>#VALUE!</v>
      </c>
      <c r="W129" s="40" t="e">
        <f>+W128-VLOOKUP(Dulieu!$C$72&amp;"_PRE_M",Dulieu!$C$88:$Y$400,21,FALSE)</f>
        <v>#VALUE!</v>
      </c>
      <c r="X129" s="40" t="e">
        <f>+X128-VLOOKUP(Dulieu!$C$72&amp;"_PRE_M",Dulieu!$C$88:$Y$400,22,FALSE)</f>
        <v>#VALUE!</v>
      </c>
      <c r="Y129" s="40" t="e">
        <f>+Y128-VLOOKUP(Dulieu!$C$72&amp;"_PRE_M",Dulieu!$C$88:$Y$400,23,FALSE)</f>
        <v>#VALUE!</v>
      </c>
    </row>
    <row r="130" spans="1:25" s="41" customFormat="1" ht="12" x14ac:dyDescent="0.2">
      <c r="A130" s="38"/>
      <c r="B130" s="39" t="s">
        <v>839</v>
      </c>
      <c r="C130" s="40" t="e">
        <f t="shared" si="34"/>
        <v>#VALUE!</v>
      </c>
      <c r="D130" s="40" t="e">
        <f>+D128-VLOOKUP(Dulieu!$C$72&amp;"_PRE_Y",Dulieu!$C$88:$N$400,2,FALSE)</f>
        <v>#VALUE!</v>
      </c>
      <c r="E130" s="40" t="e">
        <f>+E128-VLOOKUP(Dulieu!$C$72&amp;"_PRE_Y",Dulieu!$C$88:$N$400,3,FALSE)</f>
        <v>#VALUE!</v>
      </c>
      <c r="F130" s="40" t="e">
        <f>+F128-VLOOKUP(Dulieu!$C$72&amp;"_PRE_Y",Dulieu!$C$88:$N$400,4,FALSE)</f>
        <v>#VALUE!</v>
      </c>
      <c r="G130" s="40" t="e">
        <f>+G128-VLOOKUP(Dulieu!$C$72&amp;"_PRE_Y",Dulieu!$C$88:$N$400,5,FALSE)</f>
        <v>#VALUE!</v>
      </c>
      <c r="H130" s="40" t="e">
        <f>+H128-VLOOKUP(Dulieu!$C$72&amp;"_PRE_Y",Dulieu!$C$88:$N$400,6,FALSE)</f>
        <v>#VALUE!</v>
      </c>
      <c r="I130" s="40" t="e">
        <f>+I128-VLOOKUP(Dulieu!$C$72&amp;"_PRE_Y",Dulieu!$C$88:$N$400,7,FALSE)</f>
        <v>#VALUE!</v>
      </c>
      <c r="J130" s="40" t="e">
        <f>+J128-VLOOKUP(Dulieu!$C$72&amp;"_PRE_Y",Dulieu!$C$88:$N$400,8,FALSE)</f>
        <v>#VALUE!</v>
      </c>
      <c r="K130" s="40" t="e">
        <f>+K128-VLOOKUP(Dulieu!$C$72&amp;"_PRE_Y",Dulieu!$C$88:$N$400,9,FALSE)</f>
        <v>#VALUE!</v>
      </c>
      <c r="L130" s="40" t="e">
        <f>+L128-VLOOKUP(Dulieu!$C$72&amp;"_PRE_Y",Dulieu!$C$88:$N$400,10,FALSE)</f>
        <v>#VALUE!</v>
      </c>
      <c r="M130" s="40" t="e">
        <f>+M128-VLOOKUP(Dulieu!$C$72&amp;"_PRE_Y",Dulieu!$C$88:$N$400,11,FALSE)</f>
        <v>#VALUE!</v>
      </c>
      <c r="N130" s="40" t="e">
        <f>+N128-VLOOKUP(Dulieu!$C$72&amp;"_PRE_Y",Dulieu!$C$88:$N$400,12,FALSE)</f>
        <v>#VALUE!</v>
      </c>
      <c r="O130" s="40" t="e">
        <f>+O128-VLOOKUP(Dulieu!$C$72&amp;"_PRE_Y",Dulieu!$C$88:$Y$400,13,FALSE)</f>
        <v>#VALUE!</v>
      </c>
      <c r="P130" s="40" t="e">
        <f>+P128-VLOOKUP(Dulieu!$C$72&amp;"_PRE_Y",Dulieu!$C$88:$Y$400,14,FALSE)</f>
        <v>#VALUE!</v>
      </c>
      <c r="Q130" s="40" t="e">
        <f>+Q128-VLOOKUP(Dulieu!$C$72&amp;"_PRE_Y",Dulieu!$C$88:$Y$400,15,FALSE)</f>
        <v>#VALUE!</v>
      </c>
      <c r="R130" s="40" t="e">
        <f>+R128-VLOOKUP(Dulieu!$C$72&amp;"_PRE_Y",Dulieu!$C$88:$Y$400,16,FALSE)</f>
        <v>#VALUE!</v>
      </c>
      <c r="S130" s="40" t="e">
        <f>+S128-VLOOKUP(Dulieu!$C$72&amp;"_PRE_Y",Dulieu!$C$88:$Y$400,17,FALSE)</f>
        <v>#VALUE!</v>
      </c>
      <c r="T130" s="40" t="e">
        <f>+T128-VLOOKUP(Dulieu!$C$72&amp;"_PRE_Y",Dulieu!$C$88:$Y$400,18,FALSE)</f>
        <v>#VALUE!</v>
      </c>
      <c r="U130" s="40" t="e">
        <f>+U128-VLOOKUP(Dulieu!$C$72&amp;"_PRE_Y",Dulieu!$C$88:$Y$400,19,FALSE)</f>
        <v>#VALUE!</v>
      </c>
      <c r="V130" s="40" t="e">
        <f>+V128-VLOOKUP(Dulieu!$C$72&amp;"_PRE_Y",Dulieu!$C$88:$Y$400,20,FALSE)</f>
        <v>#VALUE!</v>
      </c>
      <c r="W130" s="40" t="e">
        <f>+W128-VLOOKUP(Dulieu!$C$72&amp;"_PRE_Y",Dulieu!$C$88:$Y$400,21,FALSE)</f>
        <v>#VALUE!</v>
      </c>
      <c r="X130" s="40" t="e">
        <f>+X128-VLOOKUP(Dulieu!$C$72&amp;"_PRE_Y",Dulieu!$C$88:$Y$400,22,FALSE)</f>
        <v>#VALUE!</v>
      </c>
      <c r="Y130" s="40" t="e">
        <f>+Y128-VLOOKUP(Dulieu!$C$72&amp;"_PRE_Y",Dulieu!$C$88:$Y$400,23,FALSE)</f>
        <v>#VALUE!</v>
      </c>
    </row>
    <row r="131" spans="1:25" s="32" customFormat="1" ht="12" x14ac:dyDescent="0.2">
      <c r="A131" s="42"/>
      <c r="B131" s="43" t="s">
        <v>42</v>
      </c>
      <c r="C131" s="44">
        <f t="shared" si="34"/>
        <v>0</v>
      </c>
      <c r="D131" s="44" t="str">
        <f>+Dulieu!D73</f>
        <v>${DN_CTR_QD_NV_171701.D2}</v>
      </c>
      <c r="E131" s="44" t="str">
        <f>+Dulieu!E73</f>
        <v>${DN_CTR_QD_NV_171701.D11}</v>
      </c>
      <c r="F131" s="44" t="str">
        <f>+Dulieu!F73</f>
        <v>${DN_CTR_QD_NV_171701.D4}</v>
      </c>
      <c r="G131" s="44" t="str">
        <f>+Dulieu!G73</f>
        <v>${DN_CTR_QD_NV_171701.D6}</v>
      </c>
      <c r="H131" s="44" t="str">
        <f>+Dulieu!H73</f>
        <v>${DN_CTR_QD_NV_171701.D8}</v>
      </c>
      <c r="I131" s="44" t="str">
        <f>+Dulieu!I73</f>
        <v>${DN_CTR_QD_NV_171701.D9}</v>
      </c>
      <c r="J131" s="44" t="str">
        <f>+Dulieu!J73</f>
        <v>${DN_CTR_QD_NV_171701.D3}</v>
      </c>
      <c r="K131" s="44" t="str">
        <f>+Dulieu!K73</f>
        <v>${DN_CTR_QD_NV_171701.D10}</v>
      </c>
      <c r="L131" s="44" t="str">
        <f>+Dulieu!L73</f>
        <v>${DN_CTR_QD_NV_171701.D5}</v>
      </c>
      <c r="M131" s="44" t="str">
        <f>+Dulieu!M73</f>
        <v>${DN_CTR_QD_NV_171701.D7}</v>
      </c>
      <c r="N131" s="44" t="str">
        <f>+Dulieu!N73</f>
        <v>${DN_CTR_QD_NV_171701.D12}</v>
      </c>
      <c r="O131" s="44" t="str">
        <f>+Dulieu!O73</f>
        <v>${DN_CTR_QD_NV_171701.D13}</v>
      </c>
      <c r="P131" s="44" t="str">
        <f>+Dulieu!P73</f>
        <v>${DN_CTR_QD_NV_171701.D14}</v>
      </c>
      <c r="Q131" s="44" t="str">
        <f>+Dulieu!Q73</f>
        <v>${DN_CTR_QD_NV_171701.D15}</v>
      </c>
      <c r="R131" s="44" t="str">
        <f>+Dulieu!R73</f>
        <v>${DN_CTR_QD_NV_171701.D16}</v>
      </c>
      <c r="S131" s="44" t="str">
        <f>+Dulieu!S73</f>
        <v>${DN_CTR_QD_NV_171701.D17}</v>
      </c>
      <c r="T131" s="44" t="str">
        <f>+Dulieu!T73</f>
        <v>${DN_CTR_QD_NV_171701.D18}</v>
      </c>
      <c r="U131" s="44" t="str">
        <f>+Dulieu!U73</f>
        <v>${DN_CTR_QD_NV_171701.D19}</v>
      </c>
      <c r="V131" s="44" t="str">
        <f>+Dulieu!V73</f>
        <v>${DN_CTR_QD_NV_171701.D20}</v>
      </c>
      <c r="W131" s="44" t="str">
        <f>+Dulieu!W73</f>
        <v>${DN_CTR_QD_NV_171701.D21}</v>
      </c>
      <c r="X131" s="44" t="str">
        <f>+Dulieu!X73</f>
        <v>${DN_CTR_QD_NV_171701.D22}</v>
      </c>
      <c r="Y131" s="44" t="str">
        <f>+Dulieu!Y73</f>
        <v>${DN_CTR_QD_NV_171701.D23}</v>
      </c>
    </row>
    <row r="132" spans="1:25" s="32" customFormat="1" ht="12" x14ac:dyDescent="0.2">
      <c r="A132" s="42"/>
      <c r="B132" s="43" t="s">
        <v>43</v>
      </c>
      <c r="C132" s="44">
        <f t="shared" si="34"/>
        <v>0</v>
      </c>
      <c r="D132" s="44" t="str">
        <f>+Dulieu!D74</f>
        <v>${DN_CTR_QD_NV_171702.D2}</v>
      </c>
      <c r="E132" s="44" t="str">
        <f>+Dulieu!E74</f>
        <v>${DN_CTR_QD_NV_171702.D11}</v>
      </c>
      <c r="F132" s="44" t="str">
        <f>+Dulieu!F74</f>
        <v>${DN_CTR_QD_NV_171702.D4}</v>
      </c>
      <c r="G132" s="44" t="str">
        <f>+Dulieu!G74</f>
        <v>${DN_CTR_QD_NV_171702.D6}</v>
      </c>
      <c r="H132" s="44" t="str">
        <f>+Dulieu!H74</f>
        <v>${DN_CTR_QD_NV_171702.D8}</v>
      </c>
      <c r="I132" s="44" t="str">
        <f>+Dulieu!I74</f>
        <v>${DN_CTR_QD_NV_171702.D9}</v>
      </c>
      <c r="J132" s="44" t="str">
        <f>+Dulieu!J74</f>
        <v>${DN_CTR_QD_NV_171702.D3}</v>
      </c>
      <c r="K132" s="44" t="str">
        <f>+Dulieu!K74</f>
        <v>${DN_CTR_QD_NV_171702.D10}</v>
      </c>
      <c r="L132" s="44" t="str">
        <f>+Dulieu!L74</f>
        <v>${DN_CTR_QD_NV_171702.D5}</v>
      </c>
      <c r="M132" s="44" t="str">
        <f>+Dulieu!M74</f>
        <v>${DN_CTR_QD_NV_171702.D7}</v>
      </c>
      <c r="N132" s="44" t="str">
        <f>+Dulieu!N74</f>
        <v>${DN_CTR_QD_NV_171702.D12}</v>
      </c>
      <c r="O132" s="44" t="str">
        <f>+Dulieu!O74</f>
        <v>${DN_CTR_QD_NV_171702.D13}</v>
      </c>
      <c r="P132" s="44" t="str">
        <f>+Dulieu!P74</f>
        <v>${DN_CTR_QD_NV_171702.D14}</v>
      </c>
      <c r="Q132" s="44" t="str">
        <f>+Dulieu!Q74</f>
        <v>${DN_CTR_QD_NV_171702.D15}</v>
      </c>
      <c r="R132" s="44" t="str">
        <f>+Dulieu!R74</f>
        <v>${DN_CTR_QD_NV_171702.D16}</v>
      </c>
      <c r="S132" s="44" t="str">
        <f>+Dulieu!S74</f>
        <v>${DN_CTR_QD_NV_171702.D17}</v>
      </c>
      <c r="T132" s="44" t="str">
        <f>+Dulieu!T74</f>
        <v>${DN_CTR_QD_NV_171702.D18}</v>
      </c>
      <c r="U132" s="44" t="str">
        <f>+Dulieu!U74</f>
        <v>${DN_CTR_QD_NV_171702.D19}</v>
      </c>
      <c r="V132" s="44" t="str">
        <f>+Dulieu!V74</f>
        <v>${DN_CTR_QD_NV_171702.D20}</v>
      </c>
      <c r="W132" s="44" t="str">
        <f>+Dulieu!W74</f>
        <v>${DN_CTR_QD_NV_171702.D21}</v>
      </c>
      <c r="X132" s="44" t="str">
        <f>+Dulieu!X74</f>
        <v>${DN_CTR_QD_NV_171702.D22}</v>
      </c>
      <c r="Y132" s="44" t="str">
        <f>+Dulieu!Y74</f>
        <v>${DN_CTR_QD_NV_171702.D23}</v>
      </c>
    </row>
    <row r="133" spans="1:25" s="37" customFormat="1" ht="12" x14ac:dyDescent="0.2">
      <c r="A133" s="34">
        <v>13</v>
      </c>
      <c r="B133" s="35" t="s">
        <v>63</v>
      </c>
      <c r="C133" s="36">
        <f t="shared" si="34"/>
        <v>0</v>
      </c>
      <c r="D133" s="36" t="str">
        <f>+Dulieu!D75</f>
        <v>${DN_CTR_QD_2127.D2}</v>
      </c>
      <c r="E133" s="36" t="str">
        <f>+Dulieu!E75</f>
        <v>${DN_CTR_QD_2127.D11}</v>
      </c>
      <c r="F133" s="36" t="str">
        <f>+Dulieu!F75</f>
        <v>${DN_CTR_QD_2127.D4}</v>
      </c>
      <c r="G133" s="36" t="str">
        <f>+Dulieu!G75</f>
        <v>${DN_CTR_QD_2127.D6}</v>
      </c>
      <c r="H133" s="36" t="str">
        <f>+Dulieu!H75</f>
        <v>${DN_CTR_QD_2127.D8}</v>
      </c>
      <c r="I133" s="36" t="str">
        <f>+Dulieu!I75</f>
        <v>${DN_CTR_QD_2127.D9}</v>
      </c>
      <c r="J133" s="36" t="str">
        <f>+Dulieu!J75</f>
        <v>${DN_CTR_QD_2127.D3}</v>
      </c>
      <c r="K133" s="36" t="str">
        <f>+Dulieu!K75</f>
        <v>${DN_CTR_QD_2127.D10}</v>
      </c>
      <c r="L133" s="36" t="str">
        <f>+Dulieu!L75</f>
        <v>${DN_CTR_QD_2127.D5}</v>
      </c>
      <c r="M133" s="36" t="str">
        <f>+Dulieu!M75</f>
        <v>${DN_CTR_QD_2127.D7}</v>
      </c>
      <c r="N133" s="36" t="str">
        <f>+Dulieu!N75</f>
        <v>${DN_CTR_QD_2127.D12}</v>
      </c>
      <c r="O133" s="36" t="str">
        <f>+Dulieu!O75</f>
        <v>${DN_CTR_QD_2127.D13}</v>
      </c>
      <c r="P133" s="36" t="str">
        <f>+Dulieu!P75</f>
        <v>${DN_CTR_QD_2127.D14}</v>
      </c>
      <c r="Q133" s="36" t="str">
        <f>+Dulieu!Q75</f>
        <v>${DN_CTR_QD_2127.D15}</v>
      </c>
      <c r="R133" s="36" t="str">
        <f>+Dulieu!R75</f>
        <v>${DN_CTR_QD_2127.D16}</v>
      </c>
      <c r="S133" s="36" t="str">
        <f>+Dulieu!S75</f>
        <v>${DN_CTR_QD_2127.D17}</v>
      </c>
      <c r="T133" s="36" t="str">
        <f>+Dulieu!T75</f>
        <v>${DN_CTR_QD_2127.D18}</v>
      </c>
      <c r="U133" s="36" t="str">
        <f>+Dulieu!U75</f>
        <v>${DN_CTR_QD_2127.D19}</v>
      </c>
      <c r="V133" s="36" t="str">
        <f>+Dulieu!V75</f>
        <v>${DN_CTR_QD_2127.D20}</v>
      </c>
      <c r="W133" s="36" t="str">
        <f>+Dulieu!W75</f>
        <v>${DN_CTR_QD_2127.D21}</v>
      </c>
      <c r="X133" s="36" t="str">
        <f>+Dulieu!X75</f>
        <v>${DN_CTR_QD_2127.D22}</v>
      </c>
      <c r="Y133" s="36" t="str">
        <f>+Dulieu!Y75</f>
        <v>${DN_CTR_QD_2127.D23}</v>
      </c>
    </row>
    <row r="134" spans="1:25" s="41" customFormat="1" ht="12" x14ac:dyDescent="0.2">
      <c r="A134" s="38"/>
      <c r="B134" s="39" t="s">
        <v>838</v>
      </c>
      <c r="C134" s="40" t="e">
        <f t="shared" si="34"/>
        <v>#VALUE!</v>
      </c>
      <c r="D134" s="40" t="e" cm="1">
        <f t="array" ref="D134">+D133-IFERROR(VLOOKUP(Dulieu!$C$75&amp;_PRE_M,Dulieu!$C$88:$N$400,2,FALSE),0)</f>
        <v>#VALUE!</v>
      </c>
      <c r="E134" s="40" t="e" cm="1">
        <f t="array" ref="E134">+E133-IFERROR(VLOOKUP(Dulieu!$C$75&amp;_PRE_M,Dulieu!$C$88:$N$400,3,FALSE),0)</f>
        <v>#VALUE!</v>
      </c>
      <c r="F134" s="40" t="e" cm="1">
        <f t="array" ref="F134">+F133-IFERROR(VLOOKUP(Dulieu!$C$75&amp;_PRE_M,Dulieu!$C$88:$N$400,4,FALSE),0)</f>
        <v>#VALUE!</v>
      </c>
      <c r="G134" s="40" t="e" cm="1">
        <f t="array" ref="G134">+G133-IFERROR(VLOOKUP(Dulieu!$C$75&amp;_PRE_M,Dulieu!$C$88:$N$400,5,FALSE),0)</f>
        <v>#VALUE!</v>
      </c>
      <c r="H134" s="40" t="e" cm="1">
        <f t="array" ref="H134">+H133-IFERROR(VLOOKUP(Dulieu!$C$75&amp;_PRE_M,Dulieu!$C$88:$N$400,6,FALSE),0)</f>
        <v>#VALUE!</v>
      </c>
      <c r="I134" s="40" t="e" cm="1">
        <f t="array" ref="I134">+I133-IFERROR(VLOOKUP(Dulieu!$C$75&amp;_PRE_M,Dulieu!$C$88:$N$400,7,FALSE),0)</f>
        <v>#VALUE!</v>
      </c>
      <c r="J134" s="40" t="e" cm="1">
        <f t="array" ref="J134">+J133-IFERROR(VLOOKUP(Dulieu!$C$75&amp;_PRE_M,Dulieu!$C$88:$N$400,8,FALSE),0)</f>
        <v>#VALUE!</v>
      </c>
      <c r="K134" s="40" t="e" cm="1">
        <f t="array" ref="K134">+K133-IFERROR(VLOOKUP(Dulieu!$C$75&amp;_PRE_M,Dulieu!$C$88:$N$400,9,FALSE),0)</f>
        <v>#VALUE!</v>
      </c>
      <c r="L134" s="40" t="e" cm="1">
        <f t="array" ref="L134">+L133-IFERROR(VLOOKUP(Dulieu!$C$75&amp;_PRE_M,Dulieu!$C$88:$N$400,10,FALSE),0)</f>
        <v>#VALUE!</v>
      </c>
      <c r="M134" s="40" t="e" cm="1">
        <f t="array" ref="M134">+M133-IFERROR(VLOOKUP(Dulieu!$C$75&amp;_PRE_M,Dulieu!$C$88:$N$400,11,FALSE),0)</f>
        <v>#VALUE!</v>
      </c>
      <c r="N134" s="40" t="e" cm="1">
        <f t="array" ref="N134">+N133-IFERROR(VLOOKUP(Dulieu!$C$75&amp;_PRE_M,Dulieu!$C$88:$N$400,12,FALSE),0)</f>
        <v>#VALUE!</v>
      </c>
      <c r="O134" s="40" t="e" cm="1">
        <f t="array" ref="O134">+O133-IFERROR(VLOOKUP(Dulieu!$C$75&amp;_PRE_M,Dulieu!$C$88:$Y$400,13,FALSE),0)</f>
        <v>#VALUE!</v>
      </c>
      <c r="P134" s="40" t="e" cm="1">
        <f t="array" ref="P134">+P133-IFERROR(VLOOKUP(Dulieu!$C$75&amp;_PRE_M,Dulieu!$C$88:$Y$400,14,FALSE),0)</f>
        <v>#VALUE!</v>
      </c>
      <c r="Q134" s="40" t="e" cm="1">
        <f t="array" ref="Q134">+Q133-IFERROR(VLOOKUP(Dulieu!$C$75&amp;_PRE_M,Dulieu!$C$88:$Y$400,15,FALSE),0)</f>
        <v>#VALUE!</v>
      </c>
      <c r="R134" s="40" t="e" cm="1">
        <f t="array" ref="R134">+R133-IFERROR(VLOOKUP(Dulieu!$C$75&amp;_PRE_M,Dulieu!$C$88:$Y$400,16,FALSE),0)</f>
        <v>#VALUE!</v>
      </c>
      <c r="S134" s="40" t="e" cm="1">
        <f t="array" ref="S134">+S133-IFERROR(VLOOKUP(Dulieu!$C$75&amp;_PRE_M,Dulieu!$C$88:$Y$400,17,FALSE),0)</f>
        <v>#VALUE!</v>
      </c>
      <c r="T134" s="40" t="e" cm="1">
        <f t="array" ref="T134">+T133-IFERROR(VLOOKUP(Dulieu!$C$75&amp;_PRE_M,Dulieu!$C$88:$Y$400,18,FALSE),0)</f>
        <v>#VALUE!</v>
      </c>
      <c r="U134" s="40" t="e" cm="1">
        <f t="array" ref="U134">+U133-IFERROR(VLOOKUP(Dulieu!$C$75&amp;_PRE_M,Dulieu!$C$88:$Y$400,19,FALSE),0)</f>
        <v>#VALUE!</v>
      </c>
      <c r="V134" s="40" t="e" cm="1">
        <f t="array" ref="V134">+V133-IFERROR(VLOOKUP(Dulieu!$C$75&amp;_PRE_M,Dulieu!$C$88:$Y$400,20,FALSE),0)</f>
        <v>#VALUE!</v>
      </c>
      <c r="W134" s="40" t="e" cm="1">
        <f t="array" ref="W134">+W133-IFERROR(VLOOKUP(Dulieu!$C$75&amp;_PRE_M,Dulieu!$C$88:$Y$400,21,FALSE),0)</f>
        <v>#VALUE!</v>
      </c>
      <c r="X134" s="40" t="e" cm="1">
        <f t="array" ref="X134">+X133-IFERROR(VLOOKUP(Dulieu!$C$75&amp;_PRE_M,Dulieu!$C$88:$Y$400,22,FALSE),0)</f>
        <v>#VALUE!</v>
      </c>
      <c r="Y134" s="40" t="e" cm="1">
        <f t="array" ref="Y134">+Y133-IFERROR(VLOOKUP(Dulieu!$C$75&amp;_PRE_M,Dulieu!$C$88:$Y$400,23,FALSE),0)</f>
        <v>#VALUE!</v>
      </c>
    </row>
    <row r="135" spans="1:25" s="41" customFormat="1" ht="12" x14ac:dyDescent="0.2">
      <c r="A135" s="38"/>
      <c r="B135" s="39" t="s">
        <v>839</v>
      </c>
      <c r="C135" s="40" t="e">
        <f t="shared" si="34"/>
        <v>#VALUE!</v>
      </c>
      <c r="D135" s="40" t="e" cm="1">
        <f t="array" ref="D135">+D133-IFERROR(VLOOKUP(Dulieu!$C$75&amp;_PRE_Y,Dulieu!$C$88:$N$400,2,FALSE),0)</f>
        <v>#VALUE!</v>
      </c>
      <c r="E135" s="40" t="e" cm="1">
        <f t="array" ref="E135">+E133-IFERROR(VLOOKUP(Dulieu!$C$75&amp;_PRE_Y,Dulieu!$C$88:$N$400,3,FALSE),0)</f>
        <v>#VALUE!</v>
      </c>
      <c r="F135" s="40" t="e" cm="1">
        <f t="array" ref="F135">+F133-IFERROR(VLOOKUP(Dulieu!$C$75&amp;_PRE_Y,Dulieu!$C$88:$N$400,4,FALSE),0)</f>
        <v>#VALUE!</v>
      </c>
      <c r="G135" s="40" t="e" cm="1">
        <f t="array" ref="G135">+G133-IFERROR(VLOOKUP(Dulieu!$C$75&amp;_PRE_Y,Dulieu!$C$88:$N$400,5,FALSE),0)</f>
        <v>#VALUE!</v>
      </c>
      <c r="H135" s="40" t="e" cm="1">
        <f t="array" ref="H135">+H133-IFERROR(VLOOKUP(Dulieu!$C$75&amp;_PRE_Y,Dulieu!$C$88:$N$400,6,FALSE),0)</f>
        <v>#VALUE!</v>
      </c>
      <c r="I135" s="40" t="e" cm="1">
        <f t="array" ref="I135">+I133-IFERROR(VLOOKUP(Dulieu!$C$75&amp;_PRE_Y,Dulieu!$C$88:$N$400,7,FALSE),0)</f>
        <v>#VALUE!</v>
      </c>
      <c r="J135" s="40" t="e" cm="1">
        <f t="array" ref="J135">+J133-IFERROR(VLOOKUP(Dulieu!$C$75&amp;_PRE_Y,Dulieu!$C$88:$N$400,8,FALSE),0)</f>
        <v>#VALUE!</v>
      </c>
      <c r="K135" s="40" t="e" cm="1">
        <f t="array" ref="K135">+K133-IFERROR(VLOOKUP(Dulieu!$C$75&amp;_PRE_Y,Dulieu!$C$88:$N$400,9,FALSE),0)</f>
        <v>#VALUE!</v>
      </c>
      <c r="L135" s="40" t="e" cm="1">
        <f t="array" ref="L135">+L133-IFERROR(VLOOKUP(Dulieu!$C$75&amp;_PRE_Y,Dulieu!$C$88:$N$400,10,FALSE),0)</f>
        <v>#VALUE!</v>
      </c>
      <c r="M135" s="40" t="e" cm="1">
        <f t="array" ref="M135">+M133-IFERROR(VLOOKUP(Dulieu!$C$75&amp;_PRE_Y,Dulieu!$C$88:$N$400,11,FALSE),0)</f>
        <v>#VALUE!</v>
      </c>
      <c r="N135" s="40" t="e" cm="1">
        <f t="array" ref="N135">+N133-IFERROR(VLOOKUP(Dulieu!$C$75&amp;_PRE_Y,Dulieu!$C$88:$N$400,12,FALSE),0)</f>
        <v>#VALUE!</v>
      </c>
      <c r="O135" s="40" t="e" cm="1">
        <f t="array" ref="O135">+O133-IFERROR(VLOOKUP(Dulieu!$C$75&amp;_PRE_Y,Dulieu!$C$88:$Y$400,13,FALSE),0)</f>
        <v>#VALUE!</v>
      </c>
      <c r="P135" s="40" t="e" cm="1">
        <f t="array" ref="P135">+P133-IFERROR(VLOOKUP(Dulieu!$C$75&amp;_PRE_Y,Dulieu!$C$88:$Y$400,14,FALSE),0)</f>
        <v>#VALUE!</v>
      </c>
      <c r="Q135" s="40" t="e" cm="1">
        <f t="array" ref="Q135">+Q133-IFERROR(VLOOKUP(Dulieu!$C$75&amp;_PRE_Y,Dulieu!$C$88:$Y$400,15,FALSE),0)</f>
        <v>#VALUE!</v>
      </c>
      <c r="R135" s="40" t="e" cm="1">
        <f t="array" ref="R135">+R133-IFERROR(VLOOKUP(Dulieu!$C$75&amp;_PRE_Y,Dulieu!$C$88:$Y$400,16,FALSE),0)</f>
        <v>#VALUE!</v>
      </c>
      <c r="S135" s="40" t="e" cm="1">
        <f t="array" ref="S135">+S133-IFERROR(VLOOKUP(Dulieu!$C$75&amp;_PRE_Y,Dulieu!$C$88:$Y$400,17,FALSE),0)</f>
        <v>#VALUE!</v>
      </c>
      <c r="T135" s="40" t="e" cm="1">
        <f t="array" ref="T135">+T133-IFERROR(VLOOKUP(Dulieu!$C$75&amp;_PRE_Y,Dulieu!$C$88:$Y$400,18,FALSE),0)</f>
        <v>#VALUE!</v>
      </c>
      <c r="U135" s="40" t="e" cm="1">
        <f t="array" ref="U135">+U133-IFERROR(VLOOKUP(Dulieu!$C$75&amp;_PRE_Y,Dulieu!$C$88:$Y$400,19,FALSE),0)</f>
        <v>#VALUE!</v>
      </c>
      <c r="V135" s="40" t="e" cm="1">
        <f t="array" ref="V135">+V133-IFERROR(VLOOKUP(Dulieu!$C$75&amp;_PRE_Y,Dulieu!$C$88:$Y$400,20,FALSE),0)</f>
        <v>#VALUE!</v>
      </c>
      <c r="W135" s="40" t="e" cm="1">
        <f t="array" ref="W135">+W133-IFERROR(VLOOKUP(Dulieu!$C$75&amp;_PRE_Y,Dulieu!$C$88:$Y$400,21,FALSE),0)</f>
        <v>#VALUE!</v>
      </c>
      <c r="X135" s="40" t="e" cm="1">
        <f t="array" ref="X135">+X133-IFERROR(VLOOKUP(Dulieu!$C$75&amp;_PRE_Y,Dulieu!$C$88:$Y$400,22,FALSE),0)</f>
        <v>#VALUE!</v>
      </c>
      <c r="Y135" s="40" t="e" cm="1">
        <f t="array" ref="Y135">+Y133-IFERROR(VLOOKUP(Dulieu!$C$75&amp;_PRE_Y,Dulieu!$C$88:$Y$400,23,FALSE),0)</f>
        <v>#VALUE!</v>
      </c>
    </row>
    <row r="136" spans="1:25" s="32" customFormat="1" ht="12" x14ac:dyDescent="0.2">
      <c r="A136" s="42"/>
      <c r="B136" s="43" t="s">
        <v>42</v>
      </c>
      <c r="C136" s="44">
        <f t="shared" si="34"/>
        <v>0</v>
      </c>
      <c r="D136" s="44" t="str">
        <f>+Dulieu!D76</f>
        <v>${DN_CTR_QD_NV_212701.D2}</v>
      </c>
      <c r="E136" s="44" t="str">
        <f>+Dulieu!E76</f>
        <v>${DN_CTR_QD_NV_212701.D11}</v>
      </c>
      <c r="F136" s="44" t="str">
        <f>+Dulieu!F76</f>
        <v>${DN_CTR_QD_NV_212701.D4}</v>
      </c>
      <c r="G136" s="44" t="str">
        <f>+Dulieu!G76</f>
        <v>${DN_CTR_QD_NV_212701.D6}</v>
      </c>
      <c r="H136" s="44" t="str">
        <f>+Dulieu!H76</f>
        <v>${DN_CTR_QD_NV_212701.D8}</v>
      </c>
      <c r="I136" s="44" t="str">
        <f>+Dulieu!I76</f>
        <v>${DN_CTR_QD_NV_212701.D9}</v>
      </c>
      <c r="J136" s="44" t="str">
        <f>+Dulieu!J76</f>
        <v>${DN_CTR_QD_NV_212701.D3}</v>
      </c>
      <c r="K136" s="44" t="str">
        <f>+Dulieu!K76</f>
        <v>${DN_CTR_QD_NV_212701.D10}</v>
      </c>
      <c r="L136" s="44" t="str">
        <f>+Dulieu!L76</f>
        <v>${DN_CTR_QD_NV_212701.D5}</v>
      </c>
      <c r="M136" s="44" t="str">
        <f>+Dulieu!M76</f>
        <v>${DN_CTR_QD_NV_212701.D7}</v>
      </c>
      <c r="N136" s="44" t="str">
        <f>+Dulieu!N76</f>
        <v>${DN_CTR_QD_NV_212701.D12}</v>
      </c>
      <c r="O136" s="44" t="str">
        <f>+Dulieu!O76</f>
        <v>${DN_CTR_QD_NV_212701.D13}</v>
      </c>
      <c r="P136" s="44" t="str">
        <f>+Dulieu!P76</f>
        <v>${DN_CTR_QD_NV_212701.D14}</v>
      </c>
      <c r="Q136" s="44" t="str">
        <f>+Dulieu!Q76</f>
        <v>${DN_CTR_QD_NV_212701.D15}</v>
      </c>
      <c r="R136" s="44" t="str">
        <f>+Dulieu!R76</f>
        <v>${DN_CTR_QD_NV_212701.D16}</v>
      </c>
      <c r="S136" s="44" t="str">
        <f>+Dulieu!S76</f>
        <v>${DN_CTR_QD_NV_212701.D17}</v>
      </c>
      <c r="T136" s="44" t="str">
        <f>+Dulieu!T76</f>
        <v>${DN_CTR_QD_NV_212701.D18}</v>
      </c>
      <c r="U136" s="44" t="str">
        <f>+Dulieu!U76</f>
        <v>${DN_CTR_QD_NV_212701.D19}</v>
      </c>
      <c r="V136" s="44" t="str">
        <f>+Dulieu!V76</f>
        <v>${DN_CTR_QD_NV_212701.D20}</v>
      </c>
      <c r="W136" s="44" t="str">
        <f>+Dulieu!W76</f>
        <v>${DN_CTR_QD_NV_212701.D21}</v>
      </c>
      <c r="X136" s="44" t="str">
        <f>+Dulieu!X76</f>
        <v>${DN_CTR_QD_NV_212701.D22}</v>
      </c>
      <c r="Y136" s="44" t="str">
        <f>+Dulieu!Y76</f>
        <v>${DN_CTR_QD_NV_212701.D23}</v>
      </c>
    </row>
    <row r="137" spans="1:25" s="32" customFormat="1" ht="12" x14ac:dyDescent="0.2">
      <c r="A137" s="42"/>
      <c r="B137" s="43" t="s">
        <v>43</v>
      </c>
      <c r="C137" s="44">
        <f t="shared" si="34"/>
        <v>0</v>
      </c>
      <c r="D137" s="44" t="str">
        <f>+Dulieu!D77</f>
        <v>${DN_CTR_QD_NV_212702.D2}</v>
      </c>
      <c r="E137" s="44" t="str">
        <f>+Dulieu!E77</f>
        <v>${DN_CTR_QD_NV_212702.D11}</v>
      </c>
      <c r="F137" s="44" t="str">
        <f>+Dulieu!F77</f>
        <v>${DN_CTR_QD_NV_212702.D4}</v>
      </c>
      <c r="G137" s="44" t="str">
        <f>+Dulieu!G77</f>
        <v>${DN_CTR_QD_NV_212702.D6}</v>
      </c>
      <c r="H137" s="44" t="str">
        <f>+Dulieu!H77</f>
        <v>${DN_CTR_QD_NV_212702.D8}</v>
      </c>
      <c r="I137" s="44" t="str">
        <f>+Dulieu!I77</f>
        <v>${DN_CTR_QD_NV_212702.D9}</v>
      </c>
      <c r="J137" s="44" t="str">
        <f>+Dulieu!J77</f>
        <v>${DN_CTR_QD_NV_212702.D3}</v>
      </c>
      <c r="K137" s="44" t="str">
        <f>+Dulieu!K77</f>
        <v>${DN_CTR_QD_NV_212702.D10}</v>
      </c>
      <c r="L137" s="44" t="str">
        <f>+Dulieu!L77</f>
        <v>${DN_CTR_QD_NV_212702.D5}</v>
      </c>
      <c r="M137" s="44" t="str">
        <f>+Dulieu!M77</f>
        <v>${DN_CTR_QD_NV_212702.D7}</v>
      </c>
      <c r="N137" s="44" t="str">
        <f>+Dulieu!N77</f>
        <v>${DN_CTR_QD_NV_212702.D12}</v>
      </c>
      <c r="O137" s="44" t="str">
        <f>+Dulieu!O77</f>
        <v>${DN_CTR_QD_NV_212702.D13}</v>
      </c>
      <c r="P137" s="44" t="str">
        <f>+Dulieu!P77</f>
        <v>${DN_CTR_QD_NV_212702.D14}</v>
      </c>
      <c r="Q137" s="44" t="str">
        <f>+Dulieu!Q77</f>
        <v>${DN_CTR_QD_NV_212702.D15}</v>
      </c>
      <c r="R137" s="44" t="str">
        <f>+Dulieu!R77</f>
        <v>${DN_CTR_QD_NV_212702.D16}</v>
      </c>
      <c r="S137" s="44" t="str">
        <f>+Dulieu!S77</f>
        <v>${DN_CTR_QD_NV_212702.D17}</v>
      </c>
      <c r="T137" s="44" t="str">
        <f>+Dulieu!T77</f>
        <v>${DN_CTR_QD_NV_212702.D18}</v>
      </c>
      <c r="U137" s="44" t="str">
        <f>+Dulieu!U77</f>
        <v>${DN_CTR_QD_NV_212702.D19}</v>
      </c>
      <c r="V137" s="44" t="str">
        <f>+Dulieu!V77</f>
        <v>${DN_CTR_QD_NV_212702.D20}</v>
      </c>
      <c r="W137" s="44" t="str">
        <f>+Dulieu!W77</f>
        <v>${DN_CTR_QD_NV_212702.D21}</v>
      </c>
      <c r="X137" s="44" t="str">
        <f>+Dulieu!X77</f>
        <v>${DN_CTR_QD_NV_212702.D22}</v>
      </c>
      <c r="Y137" s="44" t="str">
        <f>+Dulieu!Y77</f>
        <v>${DN_CTR_QD_NV_212702.D23}</v>
      </c>
    </row>
    <row r="138" spans="1:25" s="37" customFormat="1" ht="12" x14ac:dyDescent="0.2">
      <c r="A138" s="34">
        <v>14</v>
      </c>
      <c r="B138" s="35" t="s">
        <v>64</v>
      </c>
      <c r="C138" s="36">
        <f t="shared" si="34"/>
        <v>0</v>
      </c>
      <c r="D138" s="36" t="str">
        <f>+Dulieu!D78</f>
        <v>${DN_CTR_QD_04__.D2}</v>
      </c>
      <c r="E138" s="36" t="str">
        <f>+Dulieu!E78</f>
        <v>${DN_CTR_QD_04__.D11}</v>
      </c>
      <c r="F138" s="36" t="str">
        <f>+Dulieu!F78</f>
        <v>${DN_CTR_QD_04__.D4}</v>
      </c>
      <c r="G138" s="36" t="str">
        <f>+Dulieu!G78</f>
        <v>${DN_CTR_QD_04__.D6}</v>
      </c>
      <c r="H138" s="36" t="str">
        <f>+Dulieu!H78</f>
        <v>${DN_CTR_QD_04__.D8}</v>
      </c>
      <c r="I138" s="36" t="str">
        <f>+Dulieu!I78</f>
        <v>${DN_CTR_QD_04__.D9}</v>
      </c>
      <c r="J138" s="36" t="str">
        <f>+Dulieu!J78</f>
        <v>${DN_CTR_QD_04__.D3}</v>
      </c>
      <c r="K138" s="36" t="str">
        <f>+Dulieu!K78</f>
        <v>${DN_CTR_QD_04__.D10}</v>
      </c>
      <c r="L138" s="36" t="str">
        <f>+Dulieu!L78</f>
        <v>${DN_CTR_QD_04__.D5}</v>
      </c>
      <c r="M138" s="36" t="str">
        <f>+Dulieu!M78</f>
        <v>${DN_CTR_QD_04__.D7}</v>
      </c>
      <c r="N138" s="36" t="str">
        <f>+Dulieu!N78</f>
        <v>${DN_CTR_QD_04__.D12}</v>
      </c>
      <c r="O138" s="36" t="str">
        <f>+Dulieu!O78</f>
        <v>${DN_CTR_QD_04__.D13}</v>
      </c>
      <c r="P138" s="36" t="str">
        <f>+Dulieu!P78</f>
        <v>${DN_CTR_QD_04__.D14}</v>
      </c>
      <c r="Q138" s="36" t="str">
        <f>+Dulieu!Q78</f>
        <v>${DN_CTR_QD_04__.D15}</v>
      </c>
      <c r="R138" s="36" t="str">
        <f>+Dulieu!R78</f>
        <v>${DN_CTR_QD_04__.D16}</v>
      </c>
      <c r="S138" s="36" t="str">
        <f>+Dulieu!S78</f>
        <v>${DN_CTR_QD_04__.D17}</v>
      </c>
      <c r="T138" s="36" t="str">
        <f>+Dulieu!T78</f>
        <v>${DN_CTR_QD_04__.D18}</v>
      </c>
      <c r="U138" s="36" t="str">
        <f>+Dulieu!U78</f>
        <v>${DN_CTR_QD_04__.D19}</v>
      </c>
      <c r="V138" s="36" t="str">
        <f>+Dulieu!V78</f>
        <v>${DN_CTR_QD_04__.D20}</v>
      </c>
      <c r="W138" s="36" t="str">
        <f>+Dulieu!W78</f>
        <v>${DN_CTR_QD_04__.D21}</v>
      </c>
      <c r="X138" s="36" t="str">
        <f>+Dulieu!X78</f>
        <v>${DN_CTR_QD_04__.D22}</v>
      </c>
      <c r="Y138" s="36" t="str">
        <f>+Dulieu!Y78</f>
        <v>${DN_CTR_QD_04__.D23}</v>
      </c>
    </row>
    <row r="139" spans="1:25" s="41" customFormat="1" ht="12" x14ac:dyDescent="0.2">
      <c r="A139" s="38"/>
      <c r="B139" s="39" t="s">
        <v>838</v>
      </c>
      <c r="C139" s="40" t="e">
        <f t="shared" si="34"/>
        <v>#VALUE!</v>
      </c>
      <c r="D139" s="40" t="e">
        <f>+D138-VLOOKUP(Dulieu!$C$78&amp;"_PRE_M",Dulieu!$C$88:$N$400,2,FALSE)</f>
        <v>#VALUE!</v>
      </c>
      <c r="E139" s="40" t="e">
        <f>+E138-VLOOKUP(Dulieu!$C$78&amp;"_PRE_M",Dulieu!$C$88:$N$400,3,FALSE)</f>
        <v>#VALUE!</v>
      </c>
      <c r="F139" s="40" t="e">
        <f>+F138-VLOOKUP(Dulieu!$C$78&amp;"_PRE_M",Dulieu!$C$88:$N$400,4,FALSE)</f>
        <v>#VALUE!</v>
      </c>
      <c r="G139" s="40" t="e">
        <f>+G138-VLOOKUP(Dulieu!$C$78&amp;"_PRE_M",Dulieu!$C$88:$N$400,5,FALSE)</f>
        <v>#VALUE!</v>
      </c>
      <c r="H139" s="40" t="e">
        <f>+H138-VLOOKUP(Dulieu!$C$78&amp;"_PRE_M",Dulieu!$C$88:$N$400,6,FALSE)</f>
        <v>#VALUE!</v>
      </c>
      <c r="I139" s="40" t="e">
        <f>+I138-VLOOKUP(Dulieu!$C$78&amp;"_PRE_M",Dulieu!$C$88:$N$400,7,FALSE)</f>
        <v>#VALUE!</v>
      </c>
      <c r="J139" s="40" t="e">
        <f>+J138-VLOOKUP(Dulieu!$C$78&amp;"_PRE_M",Dulieu!$C$88:$N$400,8,FALSE)</f>
        <v>#VALUE!</v>
      </c>
      <c r="K139" s="40" t="e">
        <f>+K138-VLOOKUP(Dulieu!$C$78&amp;"_PRE_M",Dulieu!$C$88:$N$400,9,FALSE)</f>
        <v>#VALUE!</v>
      </c>
      <c r="L139" s="40" t="e">
        <f>+L138-VLOOKUP(Dulieu!$C$78&amp;"_PRE_M",Dulieu!$C$88:$N$400,10,FALSE)</f>
        <v>#VALUE!</v>
      </c>
      <c r="M139" s="40" t="e">
        <f>+M138-VLOOKUP(Dulieu!$C$78&amp;"_PRE_M",Dulieu!$C$88:$N$400,11,FALSE)</f>
        <v>#VALUE!</v>
      </c>
      <c r="N139" s="40" t="e">
        <f>+N138-VLOOKUP(Dulieu!$C$78&amp;"_PRE_M",Dulieu!$C$88:$N$400,12,FALSE)</f>
        <v>#VALUE!</v>
      </c>
      <c r="O139" s="40" t="e">
        <f>+O138-VLOOKUP(Dulieu!$C$78&amp;"_PRE_M",Dulieu!$C$88:$Y$400,13,FALSE)</f>
        <v>#VALUE!</v>
      </c>
      <c r="P139" s="40" t="e">
        <f>+P138-VLOOKUP(Dulieu!$C$78&amp;"_PRE_M",Dulieu!$C$88:$Y$400,14,FALSE)</f>
        <v>#VALUE!</v>
      </c>
      <c r="Q139" s="40" t="e">
        <f>+Q138-VLOOKUP(Dulieu!$C$78&amp;"_PRE_M",Dulieu!$C$88:$Y$400,15,FALSE)</f>
        <v>#VALUE!</v>
      </c>
      <c r="R139" s="40" t="e">
        <f>+R138-VLOOKUP(Dulieu!$C$78&amp;"_PRE_M",Dulieu!$C$88:$Y$400,16,FALSE)</f>
        <v>#VALUE!</v>
      </c>
      <c r="S139" s="40" t="e">
        <f>+S138-VLOOKUP(Dulieu!$C$78&amp;"_PRE_M",Dulieu!$C$88:$Y$400,17,FALSE)</f>
        <v>#VALUE!</v>
      </c>
      <c r="T139" s="40" t="e">
        <f>+T138-VLOOKUP(Dulieu!$C$78&amp;"_PRE_M",Dulieu!$C$88:$Y$400,18,FALSE)</f>
        <v>#VALUE!</v>
      </c>
      <c r="U139" s="40" t="e">
        <f>+U138-VLOOKUP(Dulieu!$C$78&amp;"_PRE_M",Dulieu!$C$88:$Y$400,19,FALSE)</f>
        <v>#VALUE!</v>
      </c>
      <c r="V139" s="40" t="e">
        <f>+V138-VLOOKUP(Dulieu!$C$78&amp;"_PRE_M",Dulieu!$C$88:$Y$400,20,FALSE)</f>
        <v>#VALUE!</v>
      </c>
      <c r="W139" s="40" t="e">
        <f>+W138-VLOOKUP(Dulieu!$C$78&amp;"_PRE_M",Dulieu!$C$88:$Y$400,21,FALSE)</f>
        <v>#VALUE!</v>
      </c>
      <c r="X139" s="40" t="e">
        <f>+X138-VLOOKUP(Dulieu!$C$78&amp;"_PRE_M",Dulieu!$C$88:$Y$400,22,FALSE)</f>
        <v>#VALUE!</v>
      </c>
      <c r="Y139" s="40" t="e">
        <f>+Y138-VLOOKUP(Dulieu!$C$78&amp;"_PRE_M",Dulieu!$C$88:$Y$400,23,FALSE)</f>
        <v>#VALUE!</v>
      </c>
    </row>
    <row r="140" spans="1:25" s="41" customFormat="1" ht="12" x14ac:dyDescent="0.2">
      <c r="A140" s="38"/>
      <c r="B140" s="39" t="s">
        <v>839</v>
      </c>
      <c r="C140" s="40" t="e">
        <f t="shared" si="34"/>
        <v>#VALUE!</v>
      </c>
      <c r="D140" s="40" t="e">
        <f>+D138-VLOOKUP(Dulieu!$C$78&amp;"_PRE_Y",Dulieu!$C$88:$N$400,2,FALSE)</f>
        <v>#VALUE!</v>
      </c>
      <c r="E140" s="40" t="e">
        <f>+E138-VLOOKUP(Dulieu!$C$78&amp;"_PRE_Y",Dulieu!$C$88:$N$400,3,FALSE)</f>
        <v>#VALUE!</v>
      </c>
      <c r="F140" s="40" t="e">
        <f>+F138-VLOOKUP(Dulieu!$C$78&amp;"_PRE_Y",Dulieu!$C$88:$N$400,4,FALSE)</f>
        <v>#VALUE!</v>
      </c>
      <c r="G140" s="40" t="e">
        <f>+G138-VLOOKUP(Dulieu!$C$78&amp;"_PRE_Y",Dulieu!$C$88:$N$400,5,FALSE)</f>
        <v>#VALUE!</v>
      </c>
      <c r="H140" s="40" t="e">
        <f>+H138-VLOOKUP(Dulieu!$C$78&amp;"_PRE_Y",Dulieu!$C$88:$N$400,6,FALSE)</f>
        <v>#VALUE!</v>
      </c>
      <c r="I140" s="40" t="e">
        <f>+I138-VLOOKUP(Dulieu!$C$78&amp;"_PRE_Y",Dulieu!$C$88:$N$400,7,FALSE)</f>
        <v>#VALUE!</v>
      </c>
      <c r="J140" s="40" t="e">
        <f>+J138-VLOOKUP(Dulieu!$C$78&amp;"_PRE_Y",Dulieu!$C$88:$N$400,8,FALSE)</f>
        <v>#VALUE!</v>
      </c>
      <c r="K140" s="40" t="e">
        <f>+K138-VLOOKUP(Dulieu!$C$78&amp;"_PRE_Y",Dulieu!$C$88:$N$400,9,FALSE)</f>
        <v>#VALUE!</v>
      </c>
      <c r="L140" s="40" t="e">
        <f>+L138-VLOOKUP(Dulieu!$C$78&amp;"_PRE_Y",Dulieu!$C$88:$N$400,10,FALSE)</f>
        <v>#VALUE!</v>
      </c>
      <c r="M140" s="40" t="e">
        <f>+M138-VLOOKUP(Dulieu!$C$78&amp;"_PRE_Y",Dulieu!$C$88:$N$400,11,FALSE)</f>
        <v>#VALUE!</v>
      </c>
      <c r="N140" s="40" t="e">
        <f>+N138-VLOOKUP(Dulieu!$C$78&amp;"_PRE_Y",Dulieu!$C$88:$N$400,12,FALSE)</f>
        <v>#VALUE!</v>
      </c>
      <c r="O140" s="40" t="e">
        <f>+O138-VLOOKUP(Dulieu!$C$78&amp;"_PRE_Y",Dulieu!$C$88:$Y$400,13,FALSE)</f>
        <v>#VALUE!</v>
      </c>
      <c r="P140" s="40" t="e">
        <f>+P138-VLOOKUP(Dulieu!$C$78&amp;"_PRE_Y",Dulieu!$C$88:$Y$400,14,FALSE)</f>
        <v>#VALUE!</v>
      </c>
      <c r="Q140" s="40" t="e">
        <f>+Q138-VLOOKUP(Dulieu!$C$78&amp;"_PRE_Y",Dulieu!$C$88:$Y$400,15,FALSE)</f>
        <v>#VALUE!</v>
      </c>
      <c r="R140" s="40" t="e">
        <f>+R138-VLOOKUP(Dulieu!$C$78&amp;"_PRE_Y",Dulieu!$C$88:$Y$400,16,FALSE)</f>
        <v>#VALUE!</v>
      </c>
      <c r="S140" s="40" t="e">
        <f>+S138-VLOOKUP(Dulieu!$C$78&amp;"_PRE_Y",Dulieu!$C$88:$Y$400,17,FALSE)</f>
        <v>#VALUE!</v>
      </c>
      <c r="T140" s="40" t="e">
        <f>+T138-VLOOKUP(Dulieu!$C$78&amp;"_PRE_Y",Dulieu!$C$88:$Y$400,18,FALSE)</f>
        <v>#VALUE!</v>
      </c>
      <c r="U140" s="40" t="e">
        <f>+U138-VLOOKUP(Dulieu!$C$78&amp;"_PRE_Y",Dulieu!$C$88:$Y$400,19,FALSE)</f>
        <v>#VALUE!</v>
      </c>
      <c r="V140" s="40" t="e">
        <f>+V138-VLOOKUP(Dulieu!$C$78&amp;"_PRE_Y",Dulieu!$C$88:$Y$400,20,FALSE)</f>
        <v>#VALUE!</v>
      </c>
      <c r="W140" s="40" t="e">
        <f>+W138-VLOOKUP(Dulieu!$C$78&amp;"_PRE_Y",Dulieu!$C$88:$Y$400,21,FALSE)</f>
        <v>#VALUE!</v>
      </c>
      <c r="X140" s="40" t="e">
        <f>+X138-VLOOKUP(Dulieu!$C$78&amp;"_PRE_Y",Dulieu!$C$88:$Y$400,22,FALSE)</f>
        <v>#VALUE!</v>
      </c>
      <c r="Y140" s="40" t="e">
        <f>+Y138-VLOOKUP(Dulieu!$C$78&amp;"_PRE_Y",Dulieu!$C$88:$Y$400,23,FALSE)</f>
        <v>#VALUE!</v>
      </c>
    </row>
    <row r="141" spans="1:25" s="32" customFormat="1" ht="12" x14ac:dyDescent="0.2">
      <c r="A141" s="42"/>
      <c r="B141" s="43" t="s">
        <v>65</v>
      </c>
      <c r="C141" s="44">
        <f t="shared" si="34"/>
        <v>0</v>
      </c>
      <c r="D141" s="44" t="str">
        <f>+Dulieu!D79</f>
        <v>${DN_CTR_QD_NV_042401.D2}</v>
      </c>
      <c r="E141" s="44" t="str">
        <f>+Dulieu!E79</f>
        <v>${DN_CTR_QD_NV_042401.D11}</v>
      </c>
      <c r="F141" s="44" t="str">
        <f>+Dulieu!F79</f>
        <v>${DN_CTR_QD_NV_042401.D4}</v>
      </c>
      <c r="G141" s="44" t="str">
        <f>+Dulieu!G79</f>
        <v>${DN_CTR_QD_NV_042401.D6}</v>
      </c>
      <c r="H141" s="44" t="str">
        <f>+Dulieu!H79</f>
        <v>${DN_CTR_QD_NV_042401.D8}</v>
      </c>
      <c r="I141" s="44" t="str">
        <f>+Dulieu!I79</f>
        <v>${DN_CTR_QD_NV_042401.D9}</v>
      </c>
      <c r="J141" s="44" t="str">
        <f>+Dulieu!J79</f>
        <v>${DN_CTR_QD_NV_042401.D3}</v>
      </c>
      <c r="K141" s="44" t="str">
        <f>+Dulieu!K79</f>
        <v>${DN_CTR_QD_NV_042401.D10}</v>
      </c>
      <c r="L141" s="44" t="str">
        <f>+Dulieu!L79</f>
        <v>${DN_CTR_QD_NV_042401.D5}</v>
      </c>
      <c r="M141" s="44" t="str">
        <f>+Dulieu!M79</f>
        <v>${DN_CTR_QD_NV_042401.D7}</v>
      </c>
      <c r="N141" s="44" t="str">
        <f>+Dulieu!N79</f>
        <v>${DN_CTR_QD_NV_042401.D12}</v>
      </c>
      <c r="O141" s="44" t="str">
        <f>+Dulieu!O79</f>
        <v>${DN_CTR_QD_NV_042401.D13}</v>
      </c>
      <c r="P141" s="44" t="str">
        <f>+Dulieu!P79</f>
        <v>${DN_CTR_QD_NV_042401.D14}</v>
      </c>
      <c r="Q141" s="44" t="str">
        <f>+Dulieu!Q79</f>
        <v>${DN_CTR_QD_NV_042401.D15}</v>
      </c>
      <c r="R141" s="44" t="str">
        <f>+Dulieu!R79</f>
        <v>${DN_CTR_QD_NV_042401.D16}</v>
      </c>
      <c r="S141" s="44" t="str">
        <f>+Dulieu!S79</f>
        <v>${DN_CTR_QD_NV_042401.D17}</v>
      </c>
      <c r="T141" s="44" t="str">
        <f>+Dulieu!T79</f>
        <v>${DN_CTR_QD_NV_042401.D18}</v>
      </c>
      <c r="U141" s="44" t="str">
        <f>+Dulieu!U79</f>
        <v>${DN_CTR_QD_NV_042401.D19}</v>
      </c>
      <c r="V141" s="44" t="str">
        <f>+Dulieu!V79</f>
        <v>${DN_CTR_QD_NV_042401.D20}</v>
      </c>
      <c r="W141" s="44" t="str">
        <f>+Dulieu!W79</f>
        <v>${DN_CTR_QD_NV_042401.D21}</v>
      </c>
      <c r="X141" s="44" t="str">
        <f>+Dulieu!X79</f>
        <v>${DN_CTR_QD_NV_042401.D22}</v>
      </c>
      <c r="Y141" s="44" t="str">
        <f>+Dulieu!Y79</f>
        <v>${DN_CTR_QD_NV_042401.D23}</v>
      </c>
    </row>
    <row r="142" spans="1:25" s="59" customFormat="1" ht="12" x14ac:dyDescent="0.2">
      <c r="A142" s="56">
        <v>15</v>
      </c>
      <c r="B142" s="57" t="s">
        <v>66</v>
      </c>
      <c r="C142" s="58">
        <f t="shared" si="34"/>
        <v>0</v>
      </c>
      <c r="D142" s="58" t="str">
        <f>+Dulieu!D80</f>
        <v>${DN_CTR_QD_9999.D2}</v>
      </c>
      <c r="E142" s="58" t="str">
        <f>+Dulieu!E80</f>
        <v>${DN_CTR_QD_9999.D11}</v>
      </c>
      <c r="F142" s="58" t="str">
        <f>+Dulieu!F80</f>
        <v>${DN_CTR_QD_9999.D4}</v>
      </c>
      <c r="G142" s="58" t="str">
        <f>+Dulieu!G80</f>
        <v>${DN_CTR_QD_9999.D6}</v>
      </c>
      <c r="H142" s="58" t="str">
        <f>+Dulieu!H80</f>
        <v>${DN_CTR_QD_9999.D8}</v>
      </c>
      <c r="I142" s="58" t="str">
        <f>+Dulieu!I80</f>
        <v>${DN_CTR_QD_9999.D9}</v>
      </c>
      <c r="J142" s="58" t="str">
        <f>+Dulieu!J80</f>
        <v>${DN_CTR_QD_9999.D3}</v>
      </c>
      <c r="K142" s="58" t="str">
        <f>+Dulieu!K80</f>
        <v>${DN_CTR_QD_9999.D10}</v>
      </c>
      <c r="L142" s="58" t="str">
        <f>+Dulieu!L80</f>
        <v>${DN_CTR_QD_9999.D5}</v>
      </c>
      <c r="M142" s="58" t="str">
        <f>+Dulieu!M80</f>
        <v>${DN_CTR_QD_9999.D7}</v>
      </c>
      <c r="N142" s="58" t="str">
        <f>+Dulieu!N80</f>
        <v>${DN_CTR_QD_9999.D12}</v>
      </c>
      <c r="O142" s="58" t="str">
        <f>+Dulieu!O80</f>
        <v>${DN_CTR_QD_9999.D13}</v>
      </c>
      <c r="P142" s="58" t="str">
        <f>+Dulieu!P80</f>
        <v>${DN_CTR_QD_9999.D14}</v>
      </c>
      <c r="Q142" s="58" t="str">
        <f>+Dulieu!Q80</f>
        <v>${DN_CTR_QD_9999.D15}</v>
      </c>
      <c r="R142" s="58" t="str">
        <f>+Dulieu!R80</f>
        <v>${DN_CTR_QD_9999.D16}</v>
      </c>
      <c r="S142" s="58" t="str">
        <f>+Dulieu!S80</f>
        <v>${DN_CTR_QD_9999.D17}</v>
      </c>
      <c r="T142" s="58" t="str">
        <f>+Dulieu!T80</f>
        <v>${DN_CTR_QD_9999.D18}</v>
      </c>
      <c r="U142" s="58" t="str">
        <f>+Dulieu!U80</f>
        <v>${DN_CTR_QD_9999.D19}</v>
      </c>
      <c r="V142" s="58" t="str">
        <f>+Dulieu!V80</f>
        <v>${DN_CTR_QD_9999.D20}</v>
      </c>
      <c r="W142" s="58" t="str">
        <f>+Dulieu!W80</f>
        <v>${DN_CTR_QD_9999.D21}</v>
      </c>
      <c r="X142" s="58" t="str">
        <f>+Dulieu!X80</f>
        <v>${DN_CTR_QD_9999.D22}</v>
      </c>
      <c r="Y142" s="58" t="str">
        <f>+Dulieu!Y80</f>
        <v>${DN_CTR_QD_9999.D23}</v>
      </c>
    </row>
    <row r="143" spans="1:25" s="63" customFormat="1" ht="12" x14ac:dyDescent="0.2">
      <c r="A143" s="60"/>
      <c r="B143" s="61" t="s">
        <v>838</v>
      </c>
      <c r="C143" s="62" t="e">
        <f t="shared" si="34"/>
        <v>#VALUE!</v>
      </c>
      <c r="D143" s="62" t="e">
        <f>+D142-IFERROR(VLOOKUP(Dulieu!$C$80&amp;"_PRE_M",Dulieu!$C$88:$N$400,2,FALSE),0)</f>
        <v>#VALUE!</v>
      </c>
      <c r="E143" s="62" t="e">
        <f>+E142-IFERROR(VLOOKUP(Dulieu!$C$80&amp;"_PRE_M",Dulieu!$C$88:$N$400,3,FALSE),0)</f>
        <v>#VALUE!</v>
      </c>
      <c r="F143" s="62" t="e">
        <f>+F142-IFERROR(VLOOKUP(Dulieu!$C$80&amp;"_PRE_M",Dulieu!$C$88:$N$400,4,FALSE),0)</f>
        <v>#VALUE!</v>
      </c>
      <c r="G143" s="62" t="e">
        <f>+G142-IFERROR(VLOOKUP(Dulieu!$C$80&amp;"_PRE_M",Dulieu!$C$88:$N$400,5,FALSE),0)</f>
        <v>#VALUE!</v>
      </c>
      <c r="H143" s="62" t="e">
        <f>+H142-IFERROR(VLOOKUP(Dulieu!$C$80&amp;"_PRE_M",Dulieu!$C$88:$N$400,6,FALSE),0)</f>
        <v>#VALUE!</v>
      </c>
      <c r="I143" s="62" t="e">
        <f>+I142-IFERROR(VLOOKUP(Dulieu!$C$80&amp;"_PRE_M",Dulieu!$C$88:$N$400,7,FALSE),0)</f>
        <v>#VALUE!</v>
      </c>
      <c r="J143" s="62" t="e">
        <f>+J142-IFERROR(VLOOKUP(Dulieu!$C$80&amp;"_PRE_M",Dulieu!$C$88:$N$400,8,FALSE),0)</f>
        <v>#VALUE!</v>
      </c>
      <c r="K143" s="62" t="e">
        <f>+K142-IFERROR(VLOOKUP(Dulieu!$C$80&amp;"_PRE_M",Dulieu!$C$88:$N$400,9,FALSE),0)</f>
        <v>#VALUE!</v>
      </c>
      <c r="L143" s="62" t="e">
        <f>+L142-IFERROR(VLOOKUP(Dulieu!$C$80&amp;"_PRE_M",Dulieu!$C$88:$N$400,10,FALSE),0)</f>
        <v>#VALUE!</v>
      </c>
      <c r="M143" s="62" t="e">
        <f>+M142-IFERROR(VLOOKUP(Dulieu!$C$80&amp;"_PRE_M",Dulieu!$C$88:$N$400,11,FALSE),0)</f>
        <v>#VALUE!</v>
      </c>
      <c r="N143" s="62" t="e">
        <f>+N142-IFERROR(VLOOKUP(Dulieu!$C$80&amp;"_PRE_M",Dulieu!$C$88:$N$400,12,FALSE),0)</f>
        <v>#VALUE!</v>
      </c>
      <c r="O143" s="62" t="e">
        <f>+O142-IFERROR(VLOOKUP(Dulieu!$C$80&amp;"_PRE_M",Dulieu!$C$88:$Y$400,13,FALSE),0)</f>
        <v>#VALUE!</v>
      </c>
      <c r="P143" s="62" t="e">
        <f>+P142-IFERROR(VLOOKUP(Dulieu!$C$80&amp;"_PRE_M",Dulieu!$C$88:$Y$400,14,FALSE),0)</f>
        <v>#VALUE!</v>
      </c>
      <c r="Q143" s="62" t="e">
        <f>+Q142-IFERROR(VLOOKUP(Dulieu!$C$80&amp;"_PRE_M",Dulieu!$C$88:$Y$400,15,FALSE),0)</f>
        <v>#VALUE!</v>
      </c>
      <c r="R143" s="62" t="e">
        <f>+R142-IFERROR(VLOOKUP(Dulieu!$C$80&amp;"_PRE_M",Dulieu!$C$88:$Y$400,16,FALSE),0)</f>
        <v>#VALUE!</v>
      </c>
      <c r="S143" s="62" t="e">
        <f>+S142-IFERROR(VLOOKUP(Dulieu!$C$80&amp;"_PRE_M",Dulieu!$C$88:$Y$400,17,FALSE),0)</f>
        <v>#VALUE!</v>
      </c>
      <c r="T143" s="62" t="e">
        <f>+T142-IFERROR(VLOOKUP(Dulieu!$C$80&amp;"_PRE_M",Dulieu!$C$88:$Y$400,18,FALSE),0)</f>
        <v>#VALUE!</v>
      </c>
      <c r="U143" s="62" t="e">
        <f>+U142-IFERROR(VLOOKUP(Dulieu!$C$80&amp;"_PRE_M",Dulieu!$C$88:$Y$400,19,FALSE),0)</f>
        <v>#VALUE!</v>
      </c>
      <c r="V143" s="62" t="e">
        <f>+V142-IFERROR(VLOOKUP(Dulieu!$C$80&amp;"_PRE_M",Dulieu!$C$88:$Y$400,20,FALSE),0)</f>
        <v>#VALUE!</v>
      </c>
      <c r="W143" s="62" t="e">
        <f>+W142-IFERROR(VLOOKUP(Dulieu!$C$80&amp;"_PRE_M",Dulieu!$C$88:$Y$400,21,FALSE),0)</f>
        <v>#VALUE!</v>
      </c>
      <c r="X143" s="62" t="e">
        <f>+X142-IFERROR(VLOOKUP(Dulieu!$C$80&amp;"_PRE_M",Dulieu!$C$88:$Y$400,22,FALSE),0)</f>
        <v>#VALUE!</v>
      </c>
      <c r="Y143" s="62" t="e">
        <f>+Y142-IFERROR(VLOOKUP(Dulieu!$C$80&amp;"_PRE_M",Dulieu!$C$88:$Y$400,23,FALSE),0)</f>
        <v>#VALUE!</v>
      </c>
    </row>
    <row r="144" spans="1:25" s="63" customFormat="1" ht="12" x14ac:dyDescent="0.2">
      <c r="A144" s="60"/>
      <c r="B144" s="61" t="s">
        <v>839</v>
      </c>
      <c r="C144" s="62" t="e">
        <f t="shared" si="34"/>
        <v>#VALUE!</v>
      </c>
      <c r="D144" s="62" t="e">
        <f>+D142-IFERROR(VLOOKUP(Dulieu!$C$80&amp;"_PRE_Y",Dulieu!$C$88:$N$400,2,FALSE),0)</f>
        <v>#VALUE!</v>
      </c>
      <c r="E144" s="62" t="e">
        <f>+E142-IFERROR(VLOOKUP(Dulieu!$C$80&amp;"_PRE_Y",Dulieu!$C$88:$N$400,3,FALSE),0)</f>
        <v>#VALUE!</v>
      </c>
      <c r="F144" s="62" t="e">
        <f>+F142-IFERROR(VLOOKUP(Dulieu!$C$80&amp;"_PRE_Y",Dulieu!$C$88:$N$400,4,FALSE),0)</f>
        <v>#VALUE!</v>
      </c>
      <c r="G144" s="62" t="e">
        <f>+G142-IFERROR(VLOOKUP(Dulieu!$C$80&amp;"_PRE_Y",Dulieu!$C$88:$N$400,5,FALSE),0)</f>
        <v>#VALUE!</v>
      </c>
      <c r="H144" s="62" t="e">
        <f>+H142-IFERROR(VLOOKUP(Dulieu!$C$80&amp;"_PRE_Y",Dulieu!$C$88:$N$400,6,FALSE),0)</f>
        <v>#VALUE!</v>
      </c>
      <c r="I144" s="62" t="e">
        <f>+I142-IFERROR(VLOOKUP(Dulieu!$C$80&amp;"_PRE_Y",Dulieu!$C$88:$N$400,7,FALSE),0)</f>
        <v>#VALUE!</v>
      </c>
      <c r="J144" s="62" t="e">
        <f>+J142-IFERROR(VLOOKUP(Dulieu!$C$80&amp;"_PRE_Y",Dulieu!$C$88:$N$400,8,FALSE),0)</f>
        <v>#VALUE!</v>
      </c>
      <c r="K144" s="62" t="e">
        <f>+K142-IFERROR(VLOOKUP(Dulieu!$C$80&amp;"_PRE_Y",Dulieu!$C$88:$N$400,9,FALSE),0)</f>
        <v>#VALUE!</v>
      </c>
      <c r="L144" s="62" t="e">
        <f>+L142-IFERROR(VLOOKUP(Dulieu!$C$80&amp;"_PRE_Y",Dulieu!$C$88:$N$400,10,FALSE),0)</f>
        <v>#VALUE!</v>
      </c>
      <c r="M144" s="62" t="e">
        <f>+M142-IFERROR(VLOOKUP(Dulieu!$C$80&amp;"_PRE_Y",Dulieu!$C$88:$N$400,11,FALSE),0)</f>
        <v>#VALUE!</v>
      </c>
      <c r="N144" s="62" t="e">
        <f>+N142-IFERROR(VLOOKUP(Dulieu!$C$80&amp;"_PRE_Y",Dulieu!$C$88:$N$400,12,FALSE),0)</f>
        <v>#VALUE!</v>
      </c>
      <c r="O144" s="62" t="e">
        <f>+O142-IFERROR(VLOOKUP(Dulieu!$C$80&amp;"_PRE_Y",Dulieu!$C$88:$Y$400,13,FALSE),0)</f>
        <v>#VALUE!</v>
      </c>
      <c r="P144" s="62" t="e">
        <f>+P142-IFERROR(VLOOKUP(Dulieu!$C$80&amp;"_PRE_Y",Dulieu!$C$88:$Y$400,14,FALSE),0)</f>
        <v>#VALUE!</v>
      </c>
      <c r="Q144" s="62" t="e">
        <f>+Q142-IFERROR(VLOOKUP(Dulieu!$C$80&amp;"_PRE_Y",Dulieu!$C$88:$Y$400,15,FALSE),0)</f>
        <v>#VALUE!</v>
      </c>
      <c r="R144" s="62" t="e">
        <f>+R142-IFERROR(VLOOKUP(Dulieu!$C$80&amp;"_PRE_Y",Dulieu!$C$88:$Y$400,16,FALSE),0)</f>
        <v>#VALUE!</v>
      </c>
      <c r="S144" s="62" t="e">
        <f>+S142-IFERROR(VLOOKUP(Dulieu!$C$80&amp;"_PRE_Y",Dulieu!$C$88:$Y$400,17,FALSE),0)</f>
        <v>#VALUE!</v>
      </c>
      <c r="T144" s="62" t="e">
        <f>+T142-IFERROR(VLOOKUP(Dulieu!$C$80&amp;"_PRE_Y",Dulieu!$C$88:$Y$400,18,FALSE),0)</f>
        <v>#VALUE!</v>
      </c>
      <c r="U144" s="62" t="e">
        <f>+U142-IFERROR(VLOOKUP(Dulieu!$C$80&amp;"_PRE_Y",Dulieu!$C$88:$Y$400,19,FALSE),0)</f>
        <v>#VALUE!</v>
      </c>
      <c r="V144" s="62" t="e">
        <f>+V142-IFERROR(VLOOKUP(Dulieu!$C$80&amp;"_PRE_Y",Dulieu!$C$88:$Y$400,20,FALSE),0)</f>
        <v>#VALUE!</v>
      </c>
      <c r="W144" s="62" t="e">
        <f>+W142-IFERROR(VLOOKUP(Dulieu!$C$80&amp;"_PRE_Y",Dulieu!$C$88:$Y$400,21,FALSE),0)</f>
        <v>#VALUE!</v>
      </c>
      <c r="X144" s="62" t="e">
        <f>+X142-IFERROR(VLOOKUP(Dulieu!$C$80&amp;"_PRE_Y",Dulieu!$C$88:$Y$400,22,FALSE),0)</f>
        <v>#VALUE!</v>
      </c>
      <c r="Y144" s="62" t="e">
        <f>+Y142-IFERROR(VLOOKUP(Dulieu!$C$80&amp;"_PRE_Y",Dulieu!$C$88:$Y$400,23,FALSE),0)</f>
        <v>#VALUE!</v>
      </c>
    </row>
    <row r="145" spans="1:25" s="59" customFormat="1" ht="12" x14ac:dyDescent="0.2">
      <c r="A145" s="56">
        <v>16</v>
      </c>
      <c r="B145" s="57" t="s">
        <v>67</v>
      </c>
      <c r="C145" s="58" t="e">
        <f t="shared" si="34"/>
        <v>#VALUE!</v>
      </c>
      <c r="D145" s="58" t="e">
        <f>+Dulieu!D81 + VLOOKUP(LEFT(Dulieu!$C$81,12)&amp;"32",Dulieu!$C$88:$N$400,2,FALSE)</f>
        <v>#VALUE!</v>
      </c>
      <c r="E145" s="58" t="e">
        <f>+Dulieu!E81 + VLOOKUP(LEFT(Dulieu!$C$81,12)&amp;"32",Dulieu!$C$88:$N$400,3,FALSE)</f>
        <v>#VALUE!</v>
      </c>
      <c r="F145" s="58" t="e">
        <f>+Dulieu!F81 + VLOOKUP(LEFT(Dulieu!$C$81,12)&amp;"32",Dulieu!$C$88:$N$400,4,FALSE)</f>
        <v>#VALUE!</v>
      </c>
      <c r="G145" s="58" t="e">
        <f>+Dulieu!G81 + VLOOKUP(LEFT(Dulieu!$C$81,12)&amp;"32",Dulieu!$C$88:$N$400,5,FALSE)</f>
        <v>#VALUE!</v>
      </c>
      <c r="H145" s="58" t="e">
        <f>+Dulieu!H81 + VLOOKUP(LEFT(Dulieu!$C$81,12)&amp;"32",Dulieu!$C$88:$N$400,6,FALSE)</f>
        <v>#VALUE!</v>
      </c>
      <c r="I145" s="58" t="e">
        <f>+Dulieu!I81 + VLOOKUP(LEFT(Dulieu!$C$81,12)&amp;"32",Dulieu!$C$88:$N$400,7,FALSE)</f>
        <v>#VALUE!</v>
      </c>
      <c r="J145" s="58" t="e">
        <f>+Dulieu!J81 + VLOOKUP(LEFT(Dulieu!$C$81,12)&amp;"32",Dulieu!$C$88:$N$400,8,FALSE)</f>
        <v>#VALUE!</v>
      </c>
      <c r="K145" s="58" t="e">
        <f>+Dulieu!K81 + VLOOKUP(LEFT(Dulieu!$C$81,12)&amp;"32",Dulieu!$C$88:$N$400,9,FALSE)</f>
        <v>#VALUE!</v>
      </c>
      <c r="L145" s="58" t="e">
        <f>+Dulieu!L81 + VLOOKUP(LEFT(Dulieu!$C$81,12)&amp;"32",Dulieu!$C$88:$N$400,10,FALSE)</f>
        <v>#VALUE!</v>
      </c>
      <c r="M145" s="58" t="e">
        <f>+Dulieu!M81 + VLOOKUP(LEFT(Dulieu!$C$81,12)&amp;"32",Dulieu!$C$88:$N$400,11,FALSE)</f>
        <v>#VALUE!</v>
      </c>
      <c r="N145" s="58" t="e">
        <f>+Dulieu!N81 + VLOOKUP(LEFT(Dulieu!$C$81,12)&amp;"32",Dulieu!$C$88:$N$400,12,FALSE)</f>
        <v>#VALUE!</v>
      </c>
      <c r="O145" s="58" t="e">
        <f>+Dulieu!O81 + VLOOKUP(LEFT(Dulieu!$C$81,12)&amp;"32",Dulieu!$C$88:$Y$400,13,FALSE)</f>
        <v>#VALUE!</v>
      </c>
      <c r="P145" s="58" t="e">
        <f>+Dulieu!P81 + VLOOKUP(LEFT(Dulieu!$C$81,12)&amp;"32",Dulieu!$C$88:$Y$400,14,FALSE)</f>
        <v>#VALUE!</v>
      </c>
      <c r="Q145" s="58" t="e">
        <f>+Dulieu!Q81 + VLOOKUP(LEFT(Dulieu!$C$81,12)&amp;"32",Dulieu!$C$88:$Y$400,15,FALSE)</f>
        <v>#VALUE!</v>
      </c>
      <c r="R145" s="58" t="e">
        <f>+Dulieu!R81 + VLOOKUP(LEFT(Dulieu!$C$81,12)&amp;"32",Dulieu!$C$88:$Y$400,16,FALSE)</f>
        <v>#VALUE!</v>
      </c>
      <c r="S145" s="58" t="e">
        <f>+Dulieu!S81 + VLOOKUP(LEFT(Dulieu!$C$81,12)&amp;"32",Dulieu!$C$88:$Y$400,17,FALSE)</f>
        <v>#VALUE!</v>
      </c>
      <c r="T145" s="58" t="e">
        <f>+Dulieu!T81 + VLOOKUP(LEFT(Dulieu!$C$81,12)&amp;"32",Dulieu!$C$88:$Y$400,18,FALSE)</f>
        <v>#VALUE!</v>
      </c>
      <c r="U145" s="58" t="e">
        <f>+Dulieu!U81 + VLOOKUP(LEFT(Dulieu!$C$81,12)&amp;"32",Dulieu!$C$88:$Y$400,19,FALSE)</f>
        <v>#VALUE!</v>
      </c>
      <c r="V145" s="58" t="e">
        <f>+Dulieu!V81 + VLOOKUP(LEFT(Dulieu!$C$81,12)&amp;"32",Dulieu!$C$88:$Y$400,20,FALSE)</f>
        <v>#VALUE!</v>
      </c>
      <c r="W145" s="58" t="e">
        <f>+Dulieu!W81 + VLOOKUP(LEFT(Dulieu!$C$81,12)&amp;"32",Dulieu!$C$88:$Y$400,21,FALSE)</f>
        <v>#VALUE!</v>
      </c>
      <c r="X145" s="58" t="e">
        <f>+Dulieu!X81 + VLOOKUP(LEFT(Dulieu!$C$81,12)&amp;"32",Dulieu!$C$88:$Y$400,22,FALSE)</f>
        <v>#VALUE!</v>
      </c>
      <c r="Y145" s="58" t="e">
        <f>+Dulieu!Y81 + VLOOKUP(LEFT(Dulieu!$C$81,12)&amp;"32",Dulieu!$C$88:$Y$400,23,FALSE)</f>
        <v>#VALUE!</v>
      </c>
    </row>
    <row r="146" spans="1:25" s="63" customFormat="1" ht="12" x14ac:dyDescent="0.2">
      <c r="A146" s="60"/>
      <c r="B146" s="61" t="s">
        <v>838</v>
      </c>
      <c r="C146" s="62" t="e">
        <f t="shared" si="34"/>
        <v>#VALUE!</v>
      </c>
      <c r="D146" s="62" t="e">
        <f>+D145-IFERROR(VLOOKUP(Dulieu!$C$81&amp;"_PRE_M",Dulieu!$C$88:$N$400,2,FALSE),0)-VLOOKUP(LEFT(Dulieu!$C$81,12)&amp;"32"&amp;"_PRE_M",Dulieu!$C$88:$N$400,2,FALSE)</f>
        <v>#VALUE!</v>
      </c>
      <c r="E146" s="62" t="e">
        <f>+E145-IFERROR(VLOOKUP(Dulieu!$C$81&amp;"_PRE_M",Dulieu!$C$88:$N$400,3,FALSE),0)-VLOOKUP(LEFT(Dulieu!$C$81,12)&amp;"32"&amp;"_PRE_M",Dulieu!$C$88:$N$400,3,FALSE)</f>
        <v>#VALUE!</v>
      </c>
      <c r="F146" s="62" t="e">
        <f>+F145-IFERROR(VLOOKUP(Dulieu!$C$81&amp;"_PRE_M",Dulieu!$C$88:$N$400,4,FALSE),0)-VLOOKUP(LEFT(Dulieu!$C$81,12)&amp;"32"&amp;"_PRE_M",Dulieu!$C$88:$N$400,4,FALSE)</f>
        <v>#VALUE!</v>
      </c>
      <c r="G146" s="62" t="e">
        <f>+G145-IFERROR(VLOOKUP(Dulieu!$C$81&amp;"_PRE_M",Dulieu!$C$88:$N$400,5,FALSE),0)-VLOOKUP(LEFT(Dulieu!$C$81,12)&amp;"32"&amp;"_PRE_M",Dulieu!$C$88:$N$400,5,FALSE)</f>
        <v>#VALUE!</v>
      </c>
      <c r="H146" s="62" t="e">
        <f>+H145-IFERROR(VLOOKUP(Dulieu!$C$81&amp;"_PRE_M",Dulieu!$C$88:$N$400,6,FALSE),0)-VLOOKUP(LEFT(Dulieu!$C$81,12)&amp;"32"&amp;"_PRE_M",Dulieu!$C$88:$N$400,6,FALSE)</f>
        <v>#VALUE!</v>
      </c>
      <c r="I146" s="62" t="e">
        <f>+I145-IFERROR(VLOOKUP(Dulieu!$C$81&amp;"_PRE_M",Dulieu!$C$88:$N$400,7,FALSE),0)-VLOOKUP(LEFT(Dulieu!$C$81,12)&amp;"32"&amp;"_PRE_M",Dulieu!$C$88:$N$400,7,FALSE)</f>
        <v>#VALUE!</v>
      </c>
      <c r="J146" s="62" t="e">
        <f>+J145-IFERROR(VLOOKUP(Dulieu!$C$81&amp;"_PRE_M",Dulieu!$C$88:$N$400,8,FALSE),0)-VLOOKUP(LEFT(Dulieu!$C$81,12)&amp;"32"&amp;"_PRE_M",Dulieu!$C$88:$N$400,8,FALSE)</f>
        <v>#VALUE!</v>
      </c>
      <c r="K146" s="62" t="e">
        <f>+K145-IFERROR(VLOOKUP(Dulieu!$C$81&amp;"_PRE_M",Dulieu!$C$88:$N$400,9,FALSE),0)-VLOOKUP(LEFT(Dulieu!$C$81,12)&amp;"32"&amp;"_PRE_M",Dulieu!$C$88:$N$400,9,FALSE)</f>
        <v>#VALUE!</v>
      </c>
      <c r="L146" s="62" t="e">
        <f>+L145-IFERROR(VLOOKUP(Dulieu!$C$81&amp;"_PRE_M",Dulieu!$C$88:$N$400,10,FALSE),0)-VLOOKUP(LEFT(Dulieu!$C$81,12)&amp;"32"&amp;"_PRE_M",Dulieu!$C$88:$N$400,10,FALSE)</f>
        <v>#VALUE!</v>
      </c>
      <c r="M146" s="62" t="e">
        <f>+M145-IFERROR(VLOOKUP(Dulieu!$C$81&amp;"_PRE_M",Dulieu!$C$88:$N$400,11,FALSE),0)-VLOOKUP(LEFT(Dulieu!$C$81,12)&amp;"32"&amp;"_PRE_M",Dulieu!$C$88:$N$400,11,FALSE)</f>
        <v>#VALUE!</v>
      </c>
      <c r="N146" s="62" t="e">
        <f>+N145-IFERROR(VLOOKUP(Dulieu!$C$81&amp;"_PRE_M",Dulieu!$C$88:$N$400,12,FALSE),0)-VLOOKUP(LEFT(Dulieu!$C$81,12)&amp;"32"&amp;"_PRE_M",Dulieu!$C$88:$N$400,12,FALSE)</f>
        <v>#VALUE!</v>
      </c>
      <c r="O146" s="62" t="e">
        <f>+O145-IFERROR(VLOOKUP(Dulieu!$C$81&amp;"_PRE_M",Dulieu!$C$88:$Y$400,13,FALSE),0)-VLOOKUP(LEFT(Dulieu!$C$81,12)&amp;"32"&amp;"_PRE_M",Dulieu!$C$88:$Y$400,13,FALSE)</f>
        <v>#VALUE!</v>
      </c>
      <c r="P146" s="62" t="e">
        <f>+P145-IFERROR(VLOOKUP(Dulieu!$C$81&amp;"_PRE_M",Dulieu!$C$88:$Y$400,14,FALSE),0)-VLOOKUP(LEFT(Dulieu!$C$81,12)&amp;"32"&amp;"_PRE_M",Dulieu!$C$88:$Y$400,14,FALSE)</f>
        <v>#VALUE!</v>
      </c>
      <c r="Q146" s="62" t="e">
        <f>+Q145-IFERROR(VLOOKUP(Dulieu!$C$81&amp;"_PRE_M",Dulieu!$C$88:$Y$400,15,FALSE),0)-VLOOKUP(LEFT(Dulieu!$C$81,12)&amp;"32"&amp;"_PRE_M",Dulieu!$C$88:$Y$400,15,FALSE)</f>
        <v>#VALUE!</v>
      </c>
      <c r="R146" s="62" t="e">
        <f>+R145-IFERROR(VLOOKUP(Dulieu!$C$81&amp;"_PRE_M",Dulieu!$C$88:$Y$400,16,FALSE),0)-VLOOKUP(LEFT(Dulieu!$C$81,12)&amp;"32"&amp;"_PRE_M",Dulieu!$C$88:$Y$400,16,FALSE)</f>
        <v>#VALUE!</v>
      </c>
      <c r="S146" s="62" t="e">
        <f>+S145-IFERROR(VLOOKUP(Dulieu!$C$81&amp;"_PRE_M",Dulieu!$C$88:$Y$400,17,FALSE),0)-VLOOKUP(LEFT(Dulieu!$C$81,12)&amp;"32"&amp;"_PRE_M",Dulieu!$C$88:$Y$400,17,FALSE)</f>
        <v>#VALUE!</v>
      </c>
      <c r="T146" s="62" t="e">
        <f>+T145-IFERROR(VLOOKUP(Dulieu!$C$81&amp;"_PRE_M",Dulieu!$C$88:$Y$400,18,FALSE),0)-VLOOKUP(LEFT(Dulieu!$C$81,12)&amp;"32"&amp;"_PRE_M",Dulieu!$C$88:$Y$400,18,FALSE)</f>
        <v>#VALUE!</v>
      </c>
      <c r="U146" s="62" t="e">
        <f>+U145-IFERROR(VLOOKUP(Dulieu!$C$81&amp;"_PRE_M",Dulieu!$C$88:$Y$400,19,FALSE),0)-VLOOKUP(LEFT(Dulieu!$C$81,12)&amp;"32"&amp;"_PRE_M",Dulieu!$C$88:$Y$400,19,FALSE)</f>
        <v>#VALUE!</v>
      </c>
      <c r="V146" s="62" t="e">
        <f>+V145-IFERROR(VLOOKUP(Dulieu!$C$81&amp;"_PRE_M",Dulieu!$C$88:$Y$400,20,FALSE),0)-VLOOKUP(LEFT(Dulieu!$C$81,12)&amp;"32"&amp;"_PRE_M",Dulieu!$C$88:$Y$400,20,FALSE)</f>
        <v>#VALUE!</v>
      </c>
      <c r="W146" s="62" t="e">
        <f>+W145-IFERROR(VLOOKUP(Dulieu!$C$81&amp;"_PRE_M",Dulieu!$C$88:$Y$400,21,FALSE),0)-VLOOKUP(LEFT(Dulieu!$C$81,12)&amp;"32"&amp;"_PRE_M",Dulieu!$C$88:$Y$400,21,FALSE)</f>
        <v>#VALUE!</v>
      </c>
      <c r="X146" s="62" t="e">
        <f>+X145-IFERROR(VLOOKUP(Dulieu!$C$81&amp;"_PRE_M",Dulieu!$C$88:$Y$400,22,FALSE),0)-VLOOKUP(LEFT(Dulieu!$C$81,12)&amp;"32"&amp;"_PRE_M",Dulieu!$C$88:$Y$400,22,FALSE)</f>
        <v>#VALUE!</v>
      </c>
      <c r="Y146" s="62" t="e">
        <f>+Y145-IFERROR(VLOOKUP(Dulieu!$C$81&amp;"_PRE_M",Dulieu!$C$88:$Y$400,23,FALSE),0)-VLOOKUP(LEFT(Dulieu!$C$81,12)&amp;"32"&amp;"_PRE_M",Dulieu!$C$88:$Y$400,23,FALSE)</f>
        <v>#VALUE!</v>
      </c>
    </row>
    <row r="147" spans="1:25" s="63" customFormat="1" ht="12" x14ac:dyDescent="0.2">
      <c r="A147" s="60"/>
      <c r="B147" s="61" t="s">
        <v>839</v>
      </c>
      <c r="C147" s="62" t="e">
        <f t="shared" si="34"/>
        <v>#VALUE!</v>
      </c>
      <c r="D147" s="62" t="e">
        <f>+D145-IFERROR(VLOOKUP(Dulieu!$C$81&amp;"_PRE_Y",Dulieu!$C$88:$N$400,2,FALSE),0)-IFERROR(VLOOKUP(LEFT(Dulieu!$C$81,12)&amp;"32"&amp;"_PRE_Y",Dulieu!$C$88:$N$400,2,FALSE),0)</f>
        <v>#VALUE!</v>
      </c>
      <c r="E147" s="62" t="e">
        <f>+E145-IFERROR(VLOOKUP(Dulieu!$C$81&amp;"_PRE_Y",Dulieu!$C$88:$N$400,3,FALSE),0)-IFERROR(VLOOKUP(LEFT(Dulieu!$C$81,12)&amp;"32"&amp;"_PRE_Y",Dulieu!$C$88:$N$400,3,FALSE),0)</f>
        <v>#VALUE!</v>
      </c>
      <c r="F147" s="62" t="e">
        <f>+F145-IFERROR(VLOOKUP(Dulieu!$C$81&amp;"_PRE_Y",Dulieu!$C$88:$N$400,4,FALSE),0)-IFERROR(VLOOKUP(LEFT(Dulieu!$C$81,12)&amp;"32"&amp;"_PRE_Y",Dulieu!$C$88:$N$400,4,FALSE),0)</f>
        <v>#VALUE!</v>
      </c>
      <c r="G147" s="62" t="e">
        <f>+G145-IFERROR(VLOOKUP(Dulieu!$C$81&amp;"_PRE_Y",Dulieu!$C$88:$N$400,5,FALSE),0)-IFERROR(VLOOKUP(LEFT(Dulieu!$C$81,12)&amp;"32"&amp;"_PRE_Y",Dulieu!$C$88:$N$400,5,FALSE),0)</f>
        <v>#VALUE!</v>
      </c>
      <c r="H147" s="62" t="e">
        <f>+H145-IFERROR(VLOOKUP(Dulieu!$C$81&amp;"_PRE_Y",Dulieu!$C$88:$N$400,6,FALSE),0)-IFERROR(VLOOKUP(LEFT(Dulieu!$C$81,12)&amp;"32"&amp;"_PRE_Y",Dulieu!$C$88:$N$400,6,FALSE),0)</f>
        <v>#VALUE!</v>
      </c>
      <c r="I147" s="62" t="e">
        <f>+I145-IFERROR(VLOOKUP(Dulieu!$C$81&amp;"_PRE_Y",Dulieu!$C$88:$N$400,7,FALSE),0)-IFERROR(VLOOKUP(LEFT(Dulieu!$C$81,12)&amp;"32"&amp;"_PRE_Y",Dulieu!$C$88:$N$400,7,FALSE),0)</f>
        <v>#VALUE!</v>
      </c>
      <c r="J147" s="62" t="e">
        <f>+J145-IFERROR(VLOOKUP(Dulieu!$C$81&amp;"_PRE_Y",Dulieu!$C$88:$N$400,8,FALSE),0)-IFERROR(VLOOKUP(LEFT(Dulieu!$C$81,12)&amp;"32"&amp;"_PRE_Y",Dulieu!$C$88:$N$400,8,FALSE),0)</f>
        <v>#VALUE!</v>
      </c>
      <c r="K147" s="62" t="e">
        <f>+K145-IFERROR(VLOOKUP(Dulieu!$C$81&amp;"_PRE_Y",Dulieu!$C$88:$N$400,9,FALSE),0)-IFERROR(VLOOKUP(LEFT(Dulieu!$C$81,12)&amp;"32"&amp;"_PRE_Y",Dulieu!$C$88:$N$400,9,FALSE),0)</f>
        <v>#VALUE!</v>
      </c>
      <c r="L147" s="62" t="e">
        <f>+L145-IFERROR(VLOOKUP(Dulieu!$C$81&amp;"_PRE_Y",Dulieu!$C$88:$N$400,10,FALSE),0)-IFERROR(VLOOKUP(LEFT(Dulieu!$C$81,12)&amp;"32"&amp;"_PRE_Y",Dulieu!$C$88:$N$400,10,FALSE),0)</f>
        <v>#VALUE!</v>
      </c>
      <c r="M147" s="62" t="e">
        <f>+M145-IFERROR(VLOOKUP(Dulieu!$C$81&amp;"_PRE_Y",Dulieu!$C$88:$N$400,11,FALSE),0)-IFERROR(VLOOKUP(LEFT(Dulieu!$C$81,12)&amp;"32"&amp;"_PRE_Y",Dulieu!$C$88:$N$400,11,FALSE),0)</f>
        <v>#VALUE!</v>
      </c>
      <c r="N147" s="62" t="e">
        <f>+N145-IFERROR(VLOOKUP(Dulieu!$C$81&amp;"_PRE_Y",Dulieu!$C$88:$N$400,12,FALSE),0)-IFERROR(VLOOKUP(LEFT(Dulieu!$C$81,12)&amp;"32"&amp;"_PRE_Y",Dulieu!$C$88:$N$400,12,FALSE),0)</f>
        <v>#VALUE!</v>
      </c>
      <c r="O147" s="62" t="e">
        <f>+O145-IFERROR(VLOOKUP(Dulieu!$C$81&amp;"_PRE_Y",Dulieu!$C$88:$Y$400,13,FALSE),0)-IFERROR(VLOOKUP(LEFT(Dulieu!$C$81,12)&amp;"32"&amp;"_PRE_Y",Dulieu!$C$88:$Y$400,13,FALSE),0)</f>
        <v>#VALUE!</v>
      </c>
      <c r="P147" s="62" t="e">
        <f>+P145-IFERROR(VLOOKUP(Dulieu!$C$81&amp;"_PRE_Y",Dulieu!$C$88:$Y$400,14,FALSE),0)-IFERROR(VLOOKUP(LEFT(Dulieu!$C$81,12)&amp;"32"&amp;"_PRE_Y",Dulieu!$C$88:$Y$400,14,FALSE),0)</f>
        <v>#VALUE!</v>
      </c>
      <c r="Q147" s="62" t="e">
        <f>+Q145-IFERROR(VLOOKUP(Dulieu!$C$81&amp;"_PRE_Y",Dulieu!$C$88:$Y$400,15,FALSE),0)-IFERROR(VLOOKUP(LEFT(Dulieu!$C$81,12)&amp;"32"&amp;"_PRE_Y",Dulieu!$C$88:$Y$400,15,FALSE),0)</f>
        <v>#VALUE!</v>
      </c>
      <c r="R147" s="62" t="e">
        <f>+R145-IFERROR(VLOOKUP(Dulieu!$C$81&amp;"_PRE_Y",Dulieu!$C$88:$Y$400,16,FALSE),0)-IFERROR(VLOOKUP(LEFT(Dulieu!$C$81,12)&amp;"32"&amp;"_PRE_Y",Dulieu!$C$88:$Y$400,16,FALSE),0)</f>
        <v>#VALUE!</v>
      </c>
      <c r="S147" s="62" t="e">
        <f>+S145-IFERROR(VLOOKUP(Dulieu!$C$81&amp;"_PRE_Y",Dulieu!$C$88:$Y$400,17,FALSE),0)-IFERROR(VLOOKUP(LEFT(Dulieu!$C$81,12)&amp;"32"&amp;"_PRE_Y",Dulieu!$C$88:$Y$400,17,FALSE),0)</f>
        <v>#VALUE!</v>
      </c>
      <c r="T147" s="62" t="e">
        <f>+T145-IFERROR(VLOOKUP(Dulieu!$C$81&amp;"_PRE_Y",Dulieu!$C$88:$Y$400,18,FALSE),0)-IFERROR(VLOOKUP(LEFT(Dulieu!$C$81,12)&amp;"32"&amp;"_PRE_Y",Dulieu!$C$88:$Y$400,18,FALSE),0)</f>
        <v>#VALUE!</v>
      </c>
      <c r="U147" s="62" t="e">
        <f>+U145-IFERROR(VLOOKUP(Dulieu!$C$81&amp;"_PRE_Y",Dulieu!$C$88:$Y$400,19,FALSE),0)-IFERROR(VLOOKUP(LEFT(Dulieu!$C$81,12)&amp;"32"&amp;"_PRE_Y",Dulieu!$C$88:$Y$400,19,FALSE),0)</f>
        <v>#VALUE!</v>
      </c>
      <c r="V147" s="62" t="e">
        <f>+V145-IFERROR(VLOOKUP(Dulieu!$C$81&amp;"_PRE_Y",Dulieu!$C$88:$Y$400,20,FALSE),0)-IFERROR(VLOOKUP(LEFT(Dulieu!$C$81,12)&amp;"32"&amp;"_PRE_Y",Dulieu!$C$88:$Y$400,20,FALSE),0)</f>
        <v>#VALUE!</v>
      </c>
      <c r="W147" s="62" t="e">
        <f>+W145-IFERROR(VLOOKUP(Dulieu!$C$81&amp;"_PRE_Y",Dulieu!$C$88:$Y$400,21,FALSE),0)-IFERROR(VLOOKUP(LEFT(Dulieu!$C$81,12)&amp;"32"&amp;"_PRE_Y",Dulieu!$C$88:$Y$400,21,FALSE),0)</f>
        <v>#VALUE!</v>
      </c>
      <c r="X147" s="62" t="e">
        <f>+X145-IFERROR(VLOOKUP(Dulieu!$C$81&amp;"_PRE_Y",Dulieu!$C$88:$Y$400,22,FALSE),0)-IFERROR(VLOOKUP(LEFT(Dulieu!$C$81,12)&amp;"32"&amp;"_PRE_Y",Dulieu!$C$88:$Y$400,22,FALSE),0)</f>
        <v>#VALUE!</v>
      </c>
      <c r="Y147" s="62" t="e">
        <f>+Y145-IFERROR(VLOOKUP(Dulieu!$C$81&amp;"_PRE_Y",Dulieu!$C$88:$Y$400,23,FALSE),0)-IFERROR(VLOOKUP(LEFT(Dulieu!$C$81,12)&amp;"32"&amp;"_PRE_Y",Dulieu!$C$88:$Y$400,23,FALSE),0)</f>
        <v>#VALUE!</v>
      </c>
    </row>
    <row r="148" spans="1:25" s="59" customFormat="1" ht="12" x14ac:dyDescent="0.2">
      <c r="A148" s="56">
        <v>17</v>
      </c>
      <c r="B148" s="57" t="s">
        <v>840</v>
      </c>
      <c r="C148" s="58">
        <f t="shared" si="34"/>
        <v>0</v>
      </c>
      <c r="D148" s="58">
        <f>+IFERROR(VLOOKUP(LEFT(Dulieu!$C$44,10)&amp;"0233",Dulieu!$C$88:$N$400,2,FALSE),0)</f>
        <v>0</v>
      </c>
      <c r="E148" s="58">
        <f>+IFERROR(VLOOKUP(LEFT(Dulieu!$C$44,10)&amp;"0233",Dulieu!$C$88:$N$400,3,FALSE),0)</f>
        <v>0</v>
      </c>
      <c r="F148" s="58">
        <f>+IFERROR(VLOOKUP(LEFT(Dulieu!$C$44,10)&amp;"0233",Dulieu!$C$88:$N$400,4,FALSE),0)</f>
        <v>0</v>
      </c>
      <c r="G148" s="58">
        <f>+IFERROR(VLOOKUP(LEFT(Dulieu!$C$44,10)&amp;"0233",Dulieu!$C$88:$N$400,5,FALSE),0)</f>
        <v>0</v>
      </c>
      <c r="H148" s="58">
        <f>+IFERROR(VLOOKUP(LEFT(Dulieu!$C$44,10)&amp;"0233",Dulieu!$C$88:$N$400,6,FALSE),0)</f>
        <v>0</v>
      </c>
      <c r="I148" s="58">
        <f>+IFERROR(VLOOKUP(LEFT(Dulieu!$C$44,10)&amp;"0233",Dulieu!$C$88:$N$400,7,FALSE),0)</f>
        <v>0</v>
      </c>
      <c r="J148" s="58">
        <f>+IFERROR(VLOOKUP(LEFT(Dulieu!$C$44,10)&amp;"0233",Dulieu!$C$88:$N$400,8,FALSE),0)</f>
        <v>0</v>
      </c>
      <c r="K148" s="58">
        <f>+IFERROR(VLOOKUP(LEFT(Dulieu!$C$44,10)&amp;"0233",Dulieu!$C$88:$N$400,9,FALSE),0)</f>
        <v>0</v>
      </c>
      <c r="L148" s="58">
        <f>+IFERROR(VLOOKUP(LEFT(Dulieu!$C$44,10)&amp;"0233",Dulieu!$C$88:$N$400,10,FALSE),0)</f>
        <v>0</v>
      </c>
      <c r="M148" s="58">
        <f>+IFERROR(VLOOKUP(LEFT(Dulieu!$C$44,10)&amp;"0233",Dulieu!$C$88:$N$400,11,FALSE),0)</f>
        <v>0</v>
      </c>
      <c r="N148" s="58">
        <f>+IFERROR(VLOOKUP(LEFT(Dulieu!$C$44,10)&amp;"0233",Dulieu!$C$88:$N$400,12,FALSE),0)</f>
        <v>0</v>
      </c>
      <c r="O148" s="58">
        <f>+IFERROR(VLOOKUP(LEFT(Dulieu!$C$44,10)&amp;"0233",Dulieu!$C$88:$Y$400,13,FALSE),0)</f>
        <v>0</v>
      </c>
      <c r="P148" s="58">
        <f>+IFERROR(VLOOKUP(LEFT(Dulieu!$C$44,10)&amp;"0233",Dulieu!$C$88:$Y$400,14,FALSE),0)</f>
        <v>0</v>
      </c>
      <c r="Q148" s="58">
        <f>+IFERROR(VLOOKUP(LEFT(Dulieu!$C$44,10)&amp;"0233",Dulieu!$C$88:$Y$400,15,FALSE),0)</f>
        <v>0</v>
      </c>
      <c r="R148" s="58">
        <f>+IFERROR(VLOOKUP(LEFT(Dulieu!$C$44,10)&amp;"0233",Dulieu!$C$88:$Y$400,16,FALSE),0)</f>
        <v>0</v>
      </c>
      <c r="S148" s="58">
        <f>+IFERROR(VLOOKUP(LEFT(Dulieu!$C$44,10)&amp;"0233",Dulieu!$C$88:$Y$400,17,FALSE),0)</f>
        <v>0</v>
      </c>
      <c r="T148" s="58">
        <f>+IFERROR(VLOOKUP(LEFT(Dulieu!$C$44,10)&amp;"0233",Dulieu!$C$88:$Y$400,18,FALSE),0)</f>
        <v>0</v>
      </c>
      <c r="U148" s="58">
        <f>+IFERROR(VLOOKUP(LEFT(Dulieu!$C$44,10)&amp;"0233",Dulieu!$C$88:$Y$400,19,FALSE),0)</f>
        <v>0</v>
      </c>
      <c r="V148" s="58">
        <f>+IFERROR(VLOOKUP(LEFT(Dulieu!$C$44,10)&amp;"0233",Dulieu!$C$88:$Y$400,20,FALSE),0)</f>
        <v>0</v>
      </c>
      <c r="W148" s="58">
        <f>+IFERROR(VLOOKUP(LEFT(Dulieu!$C$44,10)&amp;"0233",Dulieu!$C$88:$Y$400,21,FALSE),0)</f>
        <v>0</v>
      </c>
      <c r="X148" s="58">
        <f>+IFERROR(VLOOKUP(LEFT(Dulieu!$C$44,10)&amp;"0233",Dulieu!$C$88:$Y$400,22,FALSE),0)</f>
        <v>0</v>
      </c>
      <c r="Y148" s="58">
        <f>+IFERROR(VLOOKUP(LEFT(Dulieu!$C$44,10)&amp;"0233",Dulieu!$C$88:$Y$400,23,FALSE),0)</f>
        <v>0</v>
      </c>
    </row>
    <row r="149" spans="1:25" s="63" customFormat="1" ht="12" x14ac:dyDescent="0.2">
      <c r="A149" s="60"/>
      <c r="B149" s="61" t="s">
        <v>838</v>
      </c>
      <c r="C149" s="62">
        <f t="shared" si="34"/>
        <v>0</v>
      </c>
      <c r="D149" s="62">
        <f>+IFERROR(VLOOKUP(LEFT(Dulieu!$C$44,10)&amp;"0233",Dulieu!$C$88:$N$400,2,FALSE),0)-IFERROR(VLOOKUP(LEFT(Dulieu!$C$44,10)&amp;"0233_PRE_M",Dulieu!$C$88:$N$400,2,FALSE),0)</f>
        <v>0</v>
      </c>
      <c r="E149" s="62">
        <f>+IFERROR(VLOOKUP(LEFT(Dulieu!$C$44,10)&amp;"0233",Dulieu!$C$88:$N$400,3,FALSE),0)-IFERROR(VLOOKUP(LEFT(Dulieu!$C$44,10)&amp;"0233_PRE_M",Dulieu!$C$88:$N$400,3,FALSE),0)</f>
        <v>0</v>
      </c>
      <c r="F149" s="62">
        <f>+IFERROR(VLOOKUP(LEFT(Dulieu!$C$44,10)&amp;"0233",Dulieu!$C$88:$N$400,4,FALSE),0)-IFERROR(VLOOKUP(LEFT(Dulieu!$C$44,10)&amp;"0233_PRE_M",Dulieu!$C$88:$N$400,4,FALSE),0)</f>
        <v>0</v>
      </c>
      <c r="G149" s="62">
        <f>+IFERROR(VLOOKUP(LEFT(Dulieu!$C$44,10)&amp;"0233",Dulieu!$C$88:$N$400,5,FALSE),0)-IFERROR(VLOOKUP(LEFT(Dulieu!$C$44,10)&amp;"0233_PRE_M",Dulieu!$C$88:$N$400,5,FALSE),0)</f>
        <v>0</v>
      </c>
      <c r="H149" s="62">
        <f>+IFERROR(VLOOKUP(LEFT(Dulieu!$C$44,10)&amp;"0233",Dulieu!$C$88:$N$400,6,FALSE),0)-IFERROR(VLOOKUP(LEFT(Dulieu!$C$44,10)&amp;"0233_PRE_M",Dulieu!$C$88:$N$400,6,FALSE),0)</f>
        <v>0</v>
      </c>
      <c r="I149" s="62">
        <f>+IFERROR(VLOOKUP(LEFT(Dulieu!$C$44,10)&amp;"0233",Dulieu!$C$88:$N$400,7,FALSE),0)-IFERROR(VLOOKUP(LEFT(Dulieu!$C$44,10)&amp;"0233_PRE_M",Dulieu!$C$88:$N$400,7,FALSE),0)</f>
        <v>0</v>
      </c>
      <c r="J149" s="62">
        <f>+IFERROR(VLOOKUP(LEFT(Dulieu!$C$44,10)&amp;"0233",Dulieu!$C$88:$N$400,8,FALSE),0)-IFERROR(VLOOKUP(LEFT(Dulieu!$C$44,10)&amp;"0233_PRE_M",Dulieu!$C$88:$N$400,8,FALSE),0)</f>
        <v>0</v>
      </c>
      <c r="K149" s="62">
        <f>+IFERROR(VLOOKUP(LEFT(Dulieu!$C$44,10)&amp;"0233",Dulieu!$C$88:$N$400,9,FALSE),0)-IFERROR(VLOOKUP(LEFT(Dulieu!$C$44,10)&amp;"0233_PRE_M",Dulieu!$C$88:$N$400,9,FALSE),0)</f>
        <v>0</v>
      </c>
      <c r="L149" s="62">
        <f>+IFERROR(VLOOKUP(LEFT(Dulieu!$C$44,10)&amp;"0233",Dulieu!$C$88:$N$400,10,FALSE),0)-IFERROR(VLOOKUP(LEFT(Dulieu!$C$44,10)&amp;"0233_PRE_M",Dulieu!$C$88:$N$400,10,FALSE),0)</f>
        <v>0</v>
      </c>
      <c r="M149" s="62">
        <f>+IFERROR(VLOOKUP(LEFT(Dulieu!$C$44,10)&amp;"0233",Dulieu!$C$88:$N$400,11,FALSE),0)-IFERROR(VLOOKUP(LEFT(Dulieu!$C$44,10)&amp;"0233_PRE_M",Dulieu!$C$88:$N$400,11,FALSE),0)</f>
        <v>0</v>
      </c>
      <c r="N149" s="62">
        <f>+IFERROR(VLOOKUP(LEFT(Dulieu!$C$44,10)&amp;"0233",Dulieu!$C$88:$N$400,12,FALSE),0)-IFERROR(VLOOKUP(LEFT(Dulieu!$C$44,10)&amp;"0233_PRE_M",Dulieu!$C$88:$N$400,12,FALSE),0)</f>
        <v>0</v>
      </c>
      <c r="O149" s="62">
        <f>+IFERROR(VLOOKUP(LEFT(Dulieu!$C$44,10)&amp;"0233",Dulieu!$C$88:$Y$400,13,FALSE),0)-IFERROR(VLOOKUP(LEFT(Dulieu!$C$44,10)&amp;"0233_PRE_M",Dulieu!$C$88:$Y$400,13,FALSE),0)</f>
        <v>0</v>
      </c>
      <c r="P149" s="62">
        <f>+IFERROR(VLOOKUP(LEFT(Dulieu!$C$44,10)&amp;"0233",Dulieu!$C$88:$Y$400,14,FALSE),0)-IFERROR(VLOOKUP(LEFT(Dulieu!$C$44,10)&amp;"0233_PRE_M",Dulieu!$C$88:$Y$400,14,FALSE),0)</f>
        <v>0</v>
      </c>
      <c r="Q149" s="62">
        <f>+IFERROR(VLOOKUP(LEFT(Dulieu!$C$44,10)&amp;"0233",Dulieu!$C$88:$Y$400,15,FALSE),0)-IFERROR(VLOOKUP(LEFT(Dulieu!$C$44,10)&amp;"0233_PRE_M",Dulieu!$C$88:$Y$400,15,FALSE),0)</f>
        <v>0</v>
      </c>
      <c r="R149" s="62">
        <f>+IFERROR(VLOOKUP(LEFT(Dulieu!$C$44,10)&amp;"0233",Dulieu!$C$88:$Y$400,16,FALSE),0)-IFERROR(VLOOKUP(LEFT(Dulieu!$C$44,10)&amp;"0233_PRE_M",Dulieu!$C$88:$Y$400,16,FALSE),0)</f>
        <v>0</v>
      </c>
      <c r="S149" s="62">
        <f>+IFERROR(VLOOKUP(LEFT(Dulieu!$C$44,10)&amp;"0233",Dulieu!$C$88:$Y$400,17,FALSE),0)-IFERROR(VLOOKUP(LEFT(Dulieu!$C$44,10)&amp;"0233_PRE_M",Dulieu!$C$88:$Y$400,17,FALSE),0)</f>
        <v>0</v>
      </c>
      <c r="T149" s="62">
        <f>+IFERROR(VLOOKUP(LEFT(Dulieu!$C$44,10)&amp;"0233",Dulieu!$C$88:$Y$400,18,FALSE),0)-IFERROR(VLOOKUP(LEFT(Dulieu!$C$44,10)&amp;"0233_PRE_M",Dulieu!$C$88:$Y$400,18,FALSE),0)</f>
        <v>0</v>
      </c>
      <c r="U149" s="62">
        <f>+IFERROR(VLOOKUP(LEFT(Dulieu!$C$44,10)&amp;"0233",Dulieu!$C$88:$Y$400,19,FALSE),0)-IFERROR(VLOOKUP(LEFT(Dulieu!$C$44,10)&amp;"0233_PRE_M",Dulieu!$C$88:$Y$400,19,FALSE),0)</f>
        <v>0</v>
      </c>
      <c r="V149" s="62">
        <f>+IFERROR(VLOOKUP(LEFT(Dulieu!$C$44,10)&amp;"0233",Dulieu!$C$88:$Y$400,20,FALSE),0)-IFERROR(VLOOKUP(LEFT(Dulieu!$C$44,10)&amp;"0233_PRE_M",Dulieu!$C$88:$Y$400,20,FALSE),0)</f>
        <v>0</v>
      </c>
      <c r="W149" s="62">
        <f>+IFERROR(VLOOKUP(LEFT(Dulieu!$C$44,10)&amp;"0233",Dulieu!$C$88:$Y$400,21,FALSE),0)-IFERROR(VLOOKUP(LEFT(Dulieu!$C$44,10)&amp;"0233_PRE_M",Dulieu!$C$88:$Y$400,21,FALSE),0)</f>
        <v>0</v>
      </c>
      <c r="X149" s="62">
        <f>+IFERROR(VLOOKUP(LEFT(Dulieu!$C$44,10)&amp;"0233",Dulieu!$C$88:$Y$400,22,FALSE),0)-IFERROR(VLOOKUP(LEFT(Dulieu!$C$44,10)&amp;"0233_PRE_M",Dulieu!$C$88:$Y$400,22,FALSE),0)</f>
        <v>0</v>
      </c>
      <c r="Y149" s="62">
        <f>+IFERROR(VLOOKUP(LEFT(Dulieu!$C$44,10)&amp;"0233",Dulieu!$C$88:$Y$400,23,FALSE),0)-IFERROR(VLOOKUP(LEFT(Dulieu!$C$44,10)&amp;"0233_PRE_M",Dulieu!$C$88:$Y$400,23,FALSE),0)</f>
        <v>0</v>
      </c>
    </row>
    <row r="150" spans="1:25" s="63" customFormat="1" ht="12" x14ac:dyDescent="0.2">
      <c r="A150" s="60"/>
      <c r="B150" s="61" t="s">
        <v>839</v>
      </c>
      <c r="C150" s="62">
        <f t="shared" si="34"/>
        <v>0</v>
      </c>
      <c r="D150" s="62">
        <f>+IFERROR(VLOOKUP(LEFT(Dulieu!$C$44,10)&amp;"0233",Dulieu!$C$88:$N$400,2,FALSE),0)-IFERROR(VLOOKUP(LEFT(Dulieu!$C$44,10)&amp;"0233_PRE_Y",Dulieu!$C$88:$N$400,2,FALSE),0)</f>
        <v>0</v>
      </c>
      <c r="E150" s="62">
        <f>+IFERROR(VLOOKUP(LEFT(Dulieu!$C$44,10)&amp;"0233",Dulieu!$C$88:$N$400,3,FALSE),0)-IFERROR(VLOOKUP(LEFT(Dulieu!$C$44,10)&amp;"0233_PRE_Y",Dulieu!$C$88:$N$400,3,FALSE),0)</f>
        <v>0</v>
      </c>
      <c r="F150" s="62">
        <f>+IFERROR(VLOOKUP(LEFT(Dulieu!$C$44,10)&amp;"0233",Dulieu!$C$88:$N$400,4,FALSE),0)-IFERROR(VLOOKUP(LEFT(Dulieu!$C$44,10)&amp;"0233_PRE_Y",Dulieu!$C$88:$N$400,4,FALSE),0)</f>
        <v>0</v>
      </c>
      <c r="G150" s="62">
        <f>+IFERROR(VLOOKUP(LEFT(Dulieu!$C$44,10)&amp;"0233",Dulieu!$C$88:$N$400,5,FALSE),0)-IFERROR(VLOOKUP(LEFT(Dulieu!$C$44,10)&amp;"0233_PRE_Y",Dulieu!$C$88:$N$400,5,FALSE),0)</f>
        <v>0</v>
      </c>
      <c r="H150" s="62">
        <f>+IFERROR(VLOOKUP(LEFT(Dulieu!$C$44,10)&amp;"0233",Dulieu!$C$88:$N$400,6,FALSE),0)-IFERROR(VLOOKUP(LEFT(Dulieu!$C$44,10)&amp;"0233_PRE_Y",Dulieu!$C$88:$N$400,6,FALSE),0)</f>
        <v>0</v>
      </c>
      <c r="I150" s="62">
        <f>+IFERROR(VLOOKUP(LEFT(Dulieu!$C$44,10)&amp;"0233",Dulieu!$C$88:$N$400,7,FALSE),0)-IFERROR(VLOOKUP(LEFT(Dulieu!$C$44,10)&amp;"0233_PRE_Y",Dulieu!$C$88:$N$400,7,FALSE),0)</f>
        <v>0</v>
      </c>
      <c r="J150" s="62">
        <f>+IFERROR(VLOOKUP(LEFT(Dulieu!$C$44,10)&amp;"0233",Dulieu!$C$88:$N$400,8,FALSE),0)-IFERROR(VLOOKUP(LEFT(Dulieu!$C$44,10)&amp;"0233_PRE_Y",Dulieu!$C$88:$N$400,8,FALSE),0)</f>
        <v>0</v>
      </c>
      <c r="K150" s="62">
        <f>+IFERROR(VLOOKUP(LEFT(Dulieu!$C$44,10)&amp;"0233",Dulieu!$C$88:$N$400,9,FALSE),0)-IFERROR(VLOOKUP(LEFT(Dulieu!$C$44,10)&amp;"0233_PRE_Y",Dulieu!$C$88:$N$400,9,FALSE),0)</f>
        <v>0</v>
      </c>
      <c r="L150" s="62">
        <f>+IFERROR(VLOOKUP(LEFT(Dulieu!$C$44,10)&amp;"0233",Dulieu!$C$88:$N$400,10,FALSE),0)-IFERROR(VLOOKUP(LEFT(Dulieu!$C$44,10)&amp;"0233_PRE_Y",Dulieu!$C$88:$N$400,10,FALSE),0)</f>
        <v>0</v>
      </c>
      <c r="M150" s="62">
        <f>+IFERROR(VLOOKUP(LEFT(Dulieu!$C$44,10)&amp;"0233",Dulieu!$C$88:$N$400,11,FALSE),0)-IFERROR(VLOOKUP(LEFT(Dulieu!$C$44,10)&amp;"0233_PRE_Y",Dulieu!$C$88:$N$400,11,FALSE),0)</f>
        <v>0</v>
      </c>
      <c r="N150" s="62">
        <f>+IFERROR(VLOOKUP(LEFT(Dulieu!$C$44,10)&amp;"0233",Dulieu!$C$88:$N$400,12,FALSE),0)-IFERROR(VLOOKUP(LEFT(Dulieu!$C$44,10)&amp;"0233_PRE_Y",Dulieu!$C$88:$N$400,12,FALSE),0)</f>
        <v>0</v>
      </c>
      <c r="O150" s="62">
        <f>+IFERROR(VLOOKUP(LEFT(Dulieu!$C$44,10)&amp;"0233",Dulieu!$C$88:$Y$400,13,FALSE),0)-IFERROR(VLOOKUP(LEFT(Dulieu!$C$44,10)&amp;"0233_PRE_Y",Dulieu!$C$88:$Y$400,13,FALSE),0)</f>
        <v>0</v>
      </c>
      <c r="P150" s="62">
        <f>+IFERROR(VLOOKUP(LEFT(Dulieu!$C$44,10)&amp;"0233",Dulieu!$C$88:$Y$400,14,FALSE),0)-IFERROR(VLOOKUP(LEFT(Dulieu!$C$44,10)&amp;"0233_PRE_Y",Dulieu!$C$88:$Y$400,14,FALSE),0)</f>
        <v>0</v>
      </c>
      <c r="Q150" s="62">
        <f>+IFERROR(VLOOKUP(LEFT(Dulieu!$C$44,10)&amp;"0233",Dulieu!$C$88:$Y$400,15,FALSE),0)-IFERROR(VLOOKUP(LEFT(Dulieu!$C$44,10)&amp;"0233_PRE_Y",Dulieu!$C$88:$Y$400,15,FALSE),0)</f>
        <v>0</v>
      </c>
      <c r="R150" s="62">
        <f>+IFERROR(VLOOKUP(LEFT(Dulieu!$C$44,10)&amp;"0233",Dulieu!$C$88:$Y$400,16,FALSE),0)-IFERROR(VLOOKUP(LEFT(Dulieu!$C$44,10)&amp;"0233_PRE_Y",Dulieu!$C$88:$Y$400,16,FALSE),0)</f>
        <v>0</v>
      </c>
      <c r="S150" s="62">
        <f>+IFERROR(VLOOKUP(LEFT(Dulieu!$C$44,10)&amp;"0233",Dulieu!$C$88:$Y$400,17,FALSE),0)-IFERROR(VLOOKUP(LEFT(Dulieu!$C$44,10)&amp;"0233_PRE_Y",Dulieu!$C$88:$Y$400,17,FALSE),0)</f>
        <v>0</v>
      </c>
      <c r="T150" s="62">
        <f>+IFERROR(VLOOKUP(LEFT(Dulieu!$C$44,10)&amp;"0233",Dulieu!$C$88:$Y$400,18,FALSE),0)-IFERROR(VLOOKUP(LEFT(Dulieu!$C$44,10)&amp;"0233_PRE_Y",Dulieu!$C$88:$Y$400,18,FALSE),0)</f>
        <v>0</v>
      </c>
      <c r="U150" s="62">
        <f>+IFERROR(VLOOKUP(LEFT(Dulieu!$C$44,10)&amp;"0233",Dulieu!$C$88:$Y$400,19,FALSE),0)-IFERROR(VLOOKUP(LEFT(Dulieu!$C$44,10)&amp;"0233_PRE_Y",Dulieu!$C$88:$Y$400,19,FALSE),0)</f>
        <v>0</v>
      </c>
      <c r="V150" s="62">
        <f>+IFERROR(VLOOKUP(LEFT(Dulieu!$C$44,10)&amp;"0233",Dulieu!$C$88:$Y$400,20,FALSE),0)-IFERROR(VLOOKUP(LEFT(Dulieu!$C$44,10)&amp;"0233_PRE_Y",Dulieu!$C$88:$Y$400,20,FALSE),0)</f>
        <v>0</v>
      </c>
      <c r="W150" s="62">
        <f>+IFERROR(VLOOKUP(LEFT(Dulieu!$C$44,10)&amp;"0233",Dulieu!$C$88:$Y$400,21,FALSE),0)-IFERROR(VLOOKUP(LEFT(Dulieu!$C$44,10)&amp;"0233_PRE_Y",Dulieu!$C$88:$Y$400,21,FALSE),0)</f>
        <v>0</v>
      </c>
      <c r="X150" s="62">
        <f>+IFERROR(VLOOKUP(LEFT(Dulieu!$C$44,10)&amp;"0233",Dulieu!$C$88:$Y$400,22,FALSE),0)-IFERROR(VLOOKUP(LEFT(Dulieu!$C$44,10)&amp;"0233_PRE_Y",Dulieu!$C$88:$Y$400,22,FALSE),0)</f>
        <v>0</v>
      </c>
      <c r="Y150" s="62">
        <f>+IFERROR(VLOOKUP(LEFT(Dulieu!$C$44,10)&amp;"0233",Dulieu!$C$88:$Y$400,23,FALSE),0)-IFERROR(VLOOKUP(LEFT(Dulieu!$C$44,10)&amp;"0233_PRE_Y",Dulieu!$C$88:$Y$400,23,FALSE),0)</f>
        <v>0</v>
      </c>
    </row>
    <row r="151" spans="1:25" s="59" customFormat="1" ht="12" x14ac:dyDescent="0.2">
      <c r="A151" s="56">
        <v>18</v>
      </c>
      <c r="B151" s="57" t="s">
        <v>841</v>
      </c>
      <c r="C151" s="58">
        <f t="shared" si="34"/>
        <v>0</v>
      </c>
      <c r="D151" s="58">
        <f>+IFERROR(VLOOKUP(LEFT(Dulieu!$C$44,10)&amp;"2434",Dulieu!$C$88:$N$400,2,FALSE),0)</f>
        <v>0</v>
      </c>
      <c r="E151" s="58">
        <f>+IFERROR(VLOOKUP(LEFT(Dulieu!$C$44,10)&amp;"2434",Dulieu!$C$88:$N$400,3,FALSE),0)</f>
        <v>0</v>
      </c>
      <c r="F151" s="58">
        <f>+IFERROR(VLOOKUP(LEFT(Dulieu!$C$44,10)&amp;"2434",Dulieu!$C$88:$N$400,4,FALSE),0)</f>
        <v>0</v>
      </c>
      <c r="G151" s="58">
        <f>+IFERROR(VLOOKUP(LEFT(Dulieu!$C$44,10)&amp;"2434",Dulieu!$C$88:$N$400,5,FALSE),0)</f>
        <v>0</v>
      </c>
      <c r="H151" s="58">
        <f>+IFERROR(VLOOKUP(LEFT(Dulieu!$C$44,10)&amp;"2434",Dulieu!$C$88:$N$400,6,FALSE),0)</f>
        <v>0</v>
      </c>
      <c r="I151" s="58">
        <f>+IFERROR(VLOOKUP(LEFT(Dulieu!$C$44,10)&amp;"2434",Dulieu!$C$88:$N$400,7,FALSE),0)</f>
        <v>0</v>
      </c>
      <c r="J151" s="58">
        <f>+IFERROR(VLOOKUP(LEFT(Dulieu!$C$44,10)&amp;"2434",Dulieu!$C$88:$N$400,8,FALSE),0)</f>
        <v>0</v>
      </c>
      <c r="K151" s="58">
        <f>+IFERROR(VLOOKUP(LEFT(Dulieu!$C$44,10)&amp;"2434",Dulieu!$C$88:$N$400,9,FALSE),0)</f>
        <v>0</v>
      </c>
      <c r="L151" s="58">
        <f>+IFERROR(VLOOKUP(LEFT(Dulieu!$C$44,10)&amp;"2434",Dulieu!$C$88:$N$400,10,FALSE),0)</f>
        <v>0</v>
      </c>
      <c r="M151" s="58">
        <f>+IFERROR(VLOOKUP(LEFT(Dulieu!$C$44,10)&amp;"2434",Dulieu!$C$88:$N$400,11,FALSE),0)</f>
        <v>0</v>
      </c>
      <c r="N151" s="58">
        <f>+IFERROR(VLOOKUP(LEFT(Dulieu!$C$44,10)&amp;"2434",Dulieu!$C$88:$N$400,12,FALSE),0)</f>
        <v>0</v>
      </c>
      <c r="O151" s="58">
        <f>+IFERROR(VLOOKUP(LEFT(Dulieu!$C$44,10)&amp;"2434",Dulieu!$C$88:$Y$400,13,FALSE),0)</f>
        <v>0</v>
      </c>
      <c r="P151" s="58">
        <f>+IFERROR(VLOOKUP(LEFT(Dulieu!$C$44,10)&amp;"2434",Dulieu!$C$88:$Y$400,14,FALSE),0)</f>
        <v>0</v>
      </c>
      <c r="Q151" s="58">
        <f>+IFERROR(VLOOKUP(LEFT(Dulieu!$C$44,10)&amp;"2434",Dulieu!$C$88:$Y$400,15,FALSE),0)</f>
        <v>0</v>
      </c>
      <c r="R151" s="58">
        <f>+IFERROR(VLOOKUP(LEFT(Dulieu!$C$44,10)&amp;"2434",Dulieu!$C$88:$Y$400,16,FALSE),0)</f>
        <v>0</v>
      </c>
      <c r="S151" s="58">
        <f>+IFERROR(VLOOKUP(LEFT(Dulieu!$C$44,10)&amp;"2434",Dulieu!$C$88:$Y$400,17,FALSE),0)</f>
        <v>0</v>
      </c>
      <c r="T151" s="58">
        <f>+IFERROR(VLOOKUP(LEFT(Dulieu!$C$44,10)&amp;"2434",Dulieu!$C$88:$Y$400,18,FALSE),0)</f>
        <v>0</v>
      </c>
      <c r="U151" s="58">
        <f>+IFERROR(VLOOKUP(LEFT(Dulieu!$C$44,10)&amp;"2434",Dulieu!$C$88:$Y$400,19,FALSE),0)</f>
        <v>0</v>
      </c>
      <c r="V151" s="58">
        <f>+IFERROR(VLOOKUP(LEFT(Dulieu!$C$44,10)&amp;"2434",Dulieu!$C$88:$Y$400,20,FALSE),0)</f>
        <v>0</v>
      </c>
      <c r="W151" s="58">
        <f>+IFERROR(VLOOKUP(LEFT(Dulieu!$C$44,10)&amp;"2434",Dulieu!$C$88:$Y$400,21,FALSE),0)</f>
        <v>0</v>
      </c>
      <c r="X151" s="58">
        <f>+IFERROR(VLOOKUP(LEFT(Dulieu!$C$44,10)&amp;"2434",Dulieu!$C$88:$Y$400,22,FALSE),0)</f>
        <v>0</v>
      </c>
      <c r="Y151" s="58">
        <f>+IFERROR(VLOOKUP(LEFT(Dulieu!$C$44,10)&amp;"2434",Dulieu!$C$88:$Y$400,23,FALSE),0)</f>
        <v>0</v>
      </c>
    </row>
    <row r="152" spans="1:25" s="63" customFormat="1" ht="12" x14ac:dyDescent="0.2">
      <c r="A152" s="60"/>
      <c r="B152" s="61" t="s">
        <v>838</v>
      </c>
      <c r="C152" s="62">
        <f t="shared" si="34"/>
        <v>0</v>
      </c>
      <c r="D152" s="62">
        <f>+IFERROR(VLOOKUP(LEFT(Dulieu!$C$44,10)&amp;"2434",Dulieu!$C$88:$N$400,2,FALSE),0)-IFERROR(VLOOKUP(LEFT(Dulieu!$C$44,10)&amp;"2434_PRE_M",Dulieu!$C$88:$N$400,2,FALSE),0)</f>
        <v>0</v>
      </c>
      <c r="E152" s="62">
        <f>+IFERROR(VLOOKUP(LEFT(Dulieu!$C$44,10)&amp;"2434",Dulieu!$C$88:$N$400,3,FALSE),0)-IFERROR(VLOOKUP(LEFT(Dulieu!$C$44,10)&amp;"2434_PRE_M",Dulieu!$C$88:$N$400,3,FALSE),0)</f>
        <v>0</v>
      </c>
      <c r="F152" s="62">
        <f>+IFERROR(VLOOKUP(LEFT(Dulieu!$C$44,10)&amp;"2434",Dulieu!$C$88:$N$400,4,FALSE),0)-IFERROR(VLOOKUP(LEFT(Dulieu!$C$44,10)&amp;"2434_PRE_M",Dulieu!$C$88:$N$400,4,FALSE),0)</f>
        <v>0</v>
      </c>
      <c r="G152" s="62">
        <f>+IFERROR(VLOOKUP(LEFT(Dulieu!$C$44,10)&amp;"2434",Dulieu!$C$88:$N$400,5,FALSE),0)-IFERROR(VLOOKUP(LEFT(Dulieu!$C$44,10)&amp;"2434_PRE_M",Dulieu!$C$88:$N$400,5,FALSE),0)</f>
        <v>0</v>
      </c>
      <c r="H152" s="62">
        <f>+IFERROR(VLOOKUP(LEFT(Dulieu!$C$44,10)&amp;"2434",Dulieu!$C$88:$N$400,6,FALSE),0)-IFERROR(VLOOKUP(LEFT(Dulieu!$C$44,10)&amp;"2434_PRE_M",Dulieu!$C$88:$N$400,6,FALSE),0)</f>
        <v>0</v>
      </c>
      <c r="I152" s="62">
        <f>+IFERROR(VLOOKUP(LEFT(Dulieu!$C$44,10)&amp;"2434",Dulieu!$C$88:$N$400,7,FALSE),0)-IFERROR(VLOOKUP(LEFT(Dulieu!$C$44,10)&amp;"2434_PRE_M",Dulieu!$C$88:$N$400,7,FALSE),0)</f>
        <v>0</v>
      </c>
      <c r="J152" s="62">
        <f>+IFERROR(VLOOKUP(LEFT(Dulieu!$C$44,10)&amp;"2434",Dulieu!$C$88:$N$400,8,FALSE),0)-IFERROR(VLOOKUP(LEFT(Dulieu!$C$44,10)&amp;"2434_PRE_M",Dulieu!$C$88:$N$400,8,FALSE),0)</f>
        <v>0</v>
      </c>
      <c r="K152" s="62">
        <f>+IFERROR(VLOOKUP(LEFT(Dulieu!$C$44,10)&amp;"2434",Dulieu!$C$88:$N$400,9,FALSE),0)-IFERROR(VLOOKUP(LEFT(Dulieu!$C$44,10)&amp;"2434_PRE_M",Dulieu!$C$88:$N$400,9,FALSE),0)</f>
        <v>0</v>
      </c>
      <c r="L152" s="62">
        <f>+IFERROR(VLOOKUP(LEFT(Dulieu!$C$44,10)&amp;"2434",Dulieu!$C$88:$N$400,10,FALSE),0)-IFERROR(VLOOKUP(LEFT(Dulieu!$C$44,10)&amp;"2434_PRE_M",Dulieu!$C$88:$N$400,10,FALSE),0)</f>
        <v>0</v>
      </c>
      <c r="M152" s="62">
        <f>+IFERROR(VLOOKUP(LEFT(Dulieu!$C$44,10)&amp;"2434",Dulieu!$C$88:$N$400,11,FALSE),0)-IFERROR(VLOOKUP(LEFT(Dulieu!$C$44,10)&amp;"2434_PRE_M",Dulieu!$C$88:$N$400,11,FALSE),0)</f>
        <v>0</v>
      </c>
      <c r="N152" s="62">
        <f>+IFERROR(VLOOKUP(LEFT(Dulieu!$C$44,10)&amp;"2434",Dulieu!$C$88:$N$400,12,FALSE),0)-IFERROR(VLOOKUP(LEFT(Dulieu!$C$44,10)&amp;"2434_PRE_M",Dulieu!$C$88:$N$400,12,FALSE),0)</f>
        <v>0</v>
      </c>
      <c r="O152" s="62">
        <f>+IFERROR(VLOOKUP(LEFT(Dulieu!$C$44,10)&amp;"2434",Dulieu!$C$88:$Y$400,13,FALSE),0)-IFERROR(VLOOKUP(LEFT(Dulieu!$C$44,10)&amp;"2434_PRE_M",Dulieu!$C$88:$Y$400,13,FALSE),0)</f>
        <v>0</v>
      </c>
      <c r="P152" s="62">
        <f>+IFERROR(VLOOKUP(LEFT(Dulieu!$C$44,10)&amp;"2434",Dulieu!$C$88:$Y$400,14,FALSE),0)-IFERROR(VLOOKUP(LEFT(Dulieu!$C$44,10)&amp;"2434_PRE_M",Dulieu!$C$88:$Y$400,14,FALSE),0)</f>
        <v>0</v>
      </c>
      <c r="Q152" s="62">
        <f>+IFERROR(VLOOKUP(LEFT(Dulieu!$C$44,10)&amp;"2434",Dulieu!$C$88:$Y$400,15,FALSE),0)-IFERROR(VLOOKUP(LEFT(Dulieu!$C$44,10)&amp;"2434_PRE_M",Dulieu!$C$88:$Y$400,15,FALSE),0)</f>
        <v>0</v>
      </c>
      <c r="R152" s="62">
        <f>+IFERROR(VLOOKUP(LEFT(Dulieu!$C$44,10)&amp;"2434",Dulieu!$C$88:$Y$400,16,FALSE),0)-IFERROR(VLOOKUP(LEFT(Dulieu!$C$44,10)&amp;"2434_PRE_M",Dulieu!$C$88:$Y$400,16,FALSE),0)</f>
        <v>0</v>
      </c>
      <c r="S152" s="62">
        <f>+IFERROR(VLOOKUP(LEFT(Dulieu!$C$44,10)&amp;"2434",Dulieu!$C$88:$Y$400,17,FALSE),0)-IFERROR(VLOOKUP(LEFT(Dulieu!$C$44,10)&amp;"2434_PRE_M",Dulieu!$C$88:$Y$400,17,FALSE),0)</f>
        <v>0</v>
      </c>
      <c r="T152" s="62">
        <f>+IFERROR(VLOOKUP(LEFT(Dulieu!$C$44,10)&amp;"2434",Dulieu!$C$88:$Y$400,18,FALSE),0)-IFERROR(VLOOKUP(LEFT(Dulieu!$C$44,10)&amp;"2434_PRE_M",Dulieu!$C$88:$Y$400,18,FALSE),0)</f>
        <v>0</v>
      </c>
      <c r="U152" s="62">
        <f>+IFERROR(VLOOKUP(LEFT(Dulieu!$C$44,10)&amp;"2434",Dulieu!$C$88:$Y$400,19,FALSE),0)-IFERROR(VLOOKUP(LEFT(Dulieu!$C$44,10)&amp;"2434_PRE_M",Dulieu!$C$88:$Y$400,19,FALSE),0)</f>
        <v>0</v>
      </c>
      <c r="V152" s="62">
        <f>+IFERROR(VLOOKUP(LEFT(Dulieu!$C$44,10)&amp;"2434",Dulieu!$C$88:$Y$400,20,FALSE),0)-IFERROR(VLOOKUP(LEFT(Dulieu!$C$44,10)&amp;"2434_PRE_M",Dulieu!$C$88:$Y$400,20,FALSE),0)</f>
        <v>0</v>
      </c>
      <c r="W152" s="62">
        <f>+IFERROR(VLOOKUP(LEFT(Dulieu!$C$44,10)&amp;"2434",Dulieu!$C$88:$Y$400,21,FALSE),0)-IFERROR(VLOOKUP(LEFT(Dulieu!$C$44,10)&amp;"2434_PRE_M",Dulieu!$C$88:$Y$400,21,FALSE),0)</f>
        <v>0</v>
      </c>
      <c r="X152" s="62">
        <f>+IFERROR(VLOOKUP(LEFT(Dulieu!$C$44,10)&amp;"2434",Dulieu!$C$88:$Y$400,22,FALSE),0)-IFERROR(VLOOKUP(LEFT(Dulieu!$C$44,10)&amp;"2434_PRE_M",Dulieu!$C$88:$Y$400,22,FALSE),0)</f>
        <v>0</v>
      </c>
      <c r="Y152" s="62">
        <f>+IFERROR(VLOOKUP(LEFT(Dulieu!$C$44,10)&amp;"2434",Dulieu!$C$88:$Y$400,23,FALSE),0)-IFERROR(VLOOKUP(LEFT(Dulieu!$C$44,10)&amp;"2434_PRE_M",Dulieu!$C$88:$Y$400,23,FALSE),0)</f>
        <v>0</v>
      </c>
    </row>
    <row r="153" spans="1:25" s="63" customFormat="1" ht="12" x14ac:dyDescent="0.2">
      <c r="A153" s="60"/>
      <c r="B153" s="61" t="s">
        <v>839</v>
      </c>
      <c r="C153" s="62">
        <f t="shared" si="34"/>
        <v>0</v>
      </c>
      <c r="D153" s="62">
        <f>+IFERROR(VLOOKUP(LEFT(Dulieu!$C$44,10)&amp;"2434",Dulieu!$C$88:$N$400,2,FALSE),0)-IFERROR(VLOOKUP(LEFT(Dulieu!$C$44,10)&amp;"2434_PRE_Y",Dulieu!$C$88:$N$400,2,FALSE),0)</f>
        <v>0</v>
      </c>
      <c r="E153" s="62">
        <f>+IFERROR(VLOOKUP(LEFT(Dulieu!$C$44,10)&amp;"2434",Dulieu!$C$88:$N$400,3,FALSE),0)-IFERROR(VLOOKUP(LEFT(Dulieu!$C$44,10)&amp;"2434_PRE_Y",Dulieu!$C$88:$N$400,3,FALSE),0)</f>
        <v>0</v>
      </c>
      <c r="F153" s="62">
        <f>+IFERROR(VLOOKUP(LEFT(Dulieu!$C$44,10)&amp;"2434",Dulieu!$C$88:$N$400,4,FALSE),0)-IFERROR(VLOOKUP(LEFT(Dulieu!$C$44,10)&amp;"2434_PRE_Y",Dulieu!$C$88:$N$400,4,FALSE),0)</f>
        <v>0</v>
      </c>
      <c r="G153" s="62">
        <f>+IFERROR(VLOOKUP(LEFT(Dulieu!$C$44,10)&amp;"2434",Dulieu!$C$88:$N$400,5,FALSE),0)-IFERROR(VLOOKUP(LEFT(Dulieu!$C$44,10)&amp;"2434_PRE_Y",Dulieu!$C$88:$N$400,5,FALSE),0)</f>
        <v>0</v>
      </c>
      <c r="H153" s="62">
        <f>+IFERROR(VLOOKUP(LEFT(Dulieu!$C$44,10)&amp;"2434",Dulieu!$C$88:$N$400,6,FALSE),0)-IFERROR(VLOOKUP(LEFT(Dulieu!$C$44,10)&amp;"2434_PRE_Y",Dulieu!$C$88:$N$400,6,FALSE),0)</f>
        <v>0</v>
      </c>
      <c r="I153" s="62">
        <f>+IFERROR(VLOOKUP(LEFT(Dulieu!$C$44,10)&amp;"2434",Dulieu!$C$88:$N$400,7,FALSE),0)-IFERROR(VLOOKUP(LEFT(Dulieu!$C$44,10)&amp;"2434_PRE_Y",Dulieu!$C$88:$N$400,7,FALSE),0)</f>
        <v>0</v>
      </c>
      <c r="J153" s="62">
        <f>+IFERROR(VLOOKUP(LEFT(Dulieu!$C$44,10)&amp;"2434",Dulieu!$C$88:$N$400,8,FALSE),0)-IFERROR(VLOOKUP(LEFT(Dulieu!$C$44,10)&amp;"2434_PRE_Y",Dulieu!$C$88:$N$400,8,FALSE),0)</f>
        <v>0</v>
      </c>
      <c r="K153" s="62">
        <f>+IFERROR(VLOOKUP(LEFT(Dulieu!$C$44,10)&amp;"2434",Dulieu!$C$88:$N$400,9,FALSE),0)-IFERROR(VLOOKUP(LEFT(Dulieu!$C$44,10)&amp;"2434_PRE_Y",Dulieu!$C$88:$N$400,9,FALSE),0)</f>
        <v>0</v>
      </c>
      <c r="L153" s="62">
        <f>+IFERROR(VLOOKUP(LEFT(Dulieu!$C$44,10)&amp;"2434",Dulieu!$C$88:$N$400,10,FALSE),0)-IFERROR(VLOOKUP(LEFT(Dulieu!$C$44,10)&amp;"2434_PRE_Y",Dulieu!$C$88:$N$400,10,FALSE),0)</f>
        <v>0</v>
      </c>
      <c r="M153" s="62">
        <f>+IFERROR(VLOOKUP(LEFT(Dulieu!$C$44,10)&amp;"2434",Dulieu!$C$88:$N$400,11,FALSE),0)-IFERROR(VLOOKUP(LEFT(Dulieu!$C$44,10)&amp;"2434_PRE_Y",Dulieu!$C$88:$N$400,11,FALSE),0)</f>
        <v>0</v>
      </c>
      <c r="N153" s="62">
        <f>+IFERROR(VLOOKUP(LEFT(Dulieu!$C$44,10)&amp;"2434",Dulieu!$C$88:$N$400,12,FALSE),0)-IFERROR(VLOOKUP(LEFT(Dulieu!$C$44,10)&amp;"2434_PRE_Y",Dulieu!$C$88:$N$400,12,FALSE),0)</f>
        <v>0</v>
      </c>
      <c r="O153" s="62">
        <f>+IFERROR(VLOOKUP(LEFT(Dulieu!$C$44,10)&amp;"2434",Dulieu!$C$88:$Y$400,13,FALSE),0)-IFERROR(VLOOKUP(LEFT(Dulieu!$C$44,10)&amp;"2434_PRE_Y",Dulieu!$C$88:$Y$400,13,FALSE),0)</f>
        <v>0</v>
      </c>
      <c r="P153" s="62">
        <f>+IFERROR(VLOOKUP(LEFT(Dulieu!$C$44,10)&amp;"2434",Dulieu!$C$88:$Y$400,14,FALSE),0)-IFERROR(VLOOKUP(LEFT(Dulieu!$C$44,10)&amp;"2434_PRE_Y",Dulieu!$C$88:$Y$400,14,FALSE),0)</f>
        <v>0</v>
      </c>
      <c r="Q153" s="62">
        <f>+IFERROR(VLOOKUP(LEFT(Dulieu!$C$44,10)&amp;"2434",Dulieu!$C$88:$Y$400,15,FALSE),0)-IFERROR(VLOOKUP(LEFT(Dulieu!$C$44,10)&amp;"2434_PRE_Y",Dulieu!$C$88:$Y$400,15,FALSE),0)</f>
        <v>0</v>
      </c>
      <c r="R153" s="62">
        <f>+IFERROR(VLOOKUP(LEFT(Dulieu!$C$44,10)&amp;"2434",Dulieu!$C$88:$Y$400,16,FALSE),0)-IFERROR(VLOOKUP(LEFT(Dulieu!$C$44,10)&amp;"2434_PRE_Y",Dulieu!$C$88:$Y$400,16,FALSE),0)</f>
        <v>0</v>
      </c>
      <c r="S153" s="62">
        <f>+IFERROR(VLOOKUP(LEFT(Dulieu!$C$44,10)&amp;"2434",Dulieu!$C$88:$Y$400,17,FALSE),0)-IFERROR(VLOOKUP(LEFT(Dulieu!$C$44,10)&amp;"2434_PRE_Y",Dulieu!$C$88:$Y$400,17,FALSE),0)</f>
        <v>0</v>
      </c>
      <c r="T153" s="62">
        <f>+IFERROR(VLOOKUP(LEFT(Dulieu!$C$44,10)&amp;"2434",Dulieu!$C$88:$Y$400,18,FALSE),0)-IFERROR(VLOOKUP(LEFT(Dulieu!$C$44,10)&amp;"2434_PRE_Y",Dulieu!$C$88:$Y$400,18,FALSE),0)</f>
        <v>0</v>
      </c>
      <c r="U153" s="62">
        <f>+IFERROR(VLOOKUP(LEFT(Dulieu!$C$44,10)&amp;"2434",Dulieu!$C$88:$Y$400,19,FALSE),0)-IFERROR(VLOOKUP(LEFT(Dulieu!$C$44,10)&amp;"2434_PRE_Y",Dulieu!$C$88:$Y$400,19,FALSE),0)</f>
        <v>0</v>
      </c>
      <c r="V153" s="62">
        <f>+IFERROR(VLOOKUP(LEFT(Dulieu!$C$44,10)&amp;"2434",Dulieu!$C$88:$Y$400,20,FALSE),0)-IFERROR(VLOOKUP(LEFT(Dulieu!$C$44,10)&amp;"2434_PRE_Y",Dulieu!$C$88:$Y$400,20,FALSE),0)</f>
        <v>0</v>
      </c>
      <c r="W153" s="62">
        <f>+IFERROR(VLOOKUP(LEFT(Dulieu!$C$44,10)&amp;"2434",Dulieu!$C$88:$Y$400,21,FALSE),0)-IFERROR(VLOOKUP(LEFT(Dulieu!$C$44,10)&amp;"2434_PRE_Y",Dulieu!$C$88:$Y$400,21,FALSE),0)</f>
        <v>0</v>
      </c>
      <c r="X153" s="62">
        <f>+IFERROR(VLOOKUP(LEFT(Dulieu!$C$44,10)&amp;"2434",Dulieu!$C$88:$Y$400,22,FALSE),0)-IFERROR(VLOOKUP(LEFT(Dulieu!$C$44,10)&amp;"2434_PRE_Y",Dulieu!$C$88:$Y$400,22,FALSE),0)</f>
        <v>0</v>
      </c>
      <c r="Y153" s="62">
        <f>+IFERROR(VLOOKUP(LEFT(Dulieu!$C$44,10)&amp;"2434",Dulieu!$C$88:$Y$400,23,FALSE),0)-IFERROR(VLOOKUP(LEFT(Dulieu!$C$44,10)&amp;"2434_PRE_Y",Dulieu!$C$88:$Y$400,23,FALSE),0)</f>
        <v>0</v>
      </c>
    </row>
    <row r="154" spans="1:25" s="59" customFormat="1" ht="12" x14ac:dyDescent="0.2">
      <c r="A154" s="56">
        <v>19</v>
      </c>
      <c r="B154" s="57" t="s">
        <v>844</v>
      </c>
      <c r="C154" s="58">
        <f t="shared" si="34"/>
        <v>0</v>
      </c>
      <c r="D154" s="58">
        <f>+IFERROR(VLOOKUP(LEFT(Dulieu!$C$44,10)&amp;"2636",Dulieu!$C$88:$N$400,2,FALSE),0)</f>
        <v>0</v>
      </c>
      <c r="E154" s="58">
        <f>+IFERROR(VLOOKUP(LEFT(Dulieu!$C$44,10)&amp;"2636",Dulieu!$C$88:$N$400,3,FALSE),0)</f>
        <v>0</v>
      </c>
      <c r="F154" s="58">
        <f>+IFERROR(VLOOKUP(LEFT(Dulieu!$C$44,10)&amp;"2636",Dulieu!$C$88:$N$400,4,FALSE),0)</f>
        <v>0</v>
      </c>
      <c r="G154" s="58">
        <f>+IFERROR(VLOOKUP(LEFT(Dulieu!$C$44,10)&amp;"2636",Dulieu!$C$88:$N$400,5,FALSE),0)</f>
        <v>0</v>
      </c>
      <c r="H154" s="58">
        <f>+IFERROR(VLOOKUP(LEFT(Dulieu!$C$44,10)&amp;"2636",Dulieu!$C$88:$N$400,6,FALSE),0)</f>
        <v>0</v>
      </c>
      <c r="I154" s="58">
        <f>+IFERROR(VLOOKUP(LEFT(Dulieu!$C$44,10)&amp;"2636",Dulieu!$C$88:$N$400,7,FALSE),0)</f>
        <v>0</v>
      </c>
      <c r="J154" s="58">
        <f>+IFERROR(VLOOKUP(LEFT(Dulieu!$C$44,10)&amp;"2636",Dulieu!$C$88:$N$400,8,FALSE),0)</f>
        <v>0</v>
      </c>
      <c r="K154" s="58">
        <f>+IFERROR(VLOOKUP(LEFT(Dulieu!$C$44,10)&amp;"2636",Dulieu!$C$88:$N$400,9,FALSE),0)</f>
        <v>0</v>
      </c>
      <c r="L154" s="58">
        <f>+IFERROR(VLOOKUP(LEFT(Dulieu!$C$44,10)&amp;"2636",Dulieu!$C$88:$N$400,10,FALSE),0)</f>
        <v>0</v>
      </c>
      <c r="M154" s="58">
        <f>+IFERROR(VLOOKUP(LEFT(Dulieu!$C$44,10)&amp;"2636",Dulieu!$C$88:$N$400,11,FALSE),0)</f>
        <v>0</v>
      </c>
      <c r="N154" s="58">
        <f>+IFERROR(VLOOKUP(LEFT(Dulieu!$C$44,10)&amp;"2636",Dulieu!$C$88:$N$400,12,FALSE),0)</f>
        <v>0</v>
      </c>
      <c r="O154" s="58">
        <f>+IFERROR(VLOOKUP(LEFT(Dulieu!$C$44,10)&amp;"2636",Dulieu!$C$88:$Y$400,13,FALSE),0)</f>
        <v>0</v>
      </c>
      <c r="P154" s="58">
        <f>+IFERROR(VLOOKUP(LEFT(Dulieu!$C$44,10)&amp;"2636",Dulieu!$C$88:$Y$400,14,FALSE),0)</f>
        <v>0</v>
      </c>
      <c r="Q154" s="58">
        <f>+IFERROR(VLOOKUP(LEFT(Dulieu!$C$44,10)&amp;"2636",Dulieu!$C$88:$Y$400,15,FALSE),0)</f>
        <v>0</v>
      </c>
      <c r="R154" s="58">
        <f>+IFERROR(VLOOKUP(LEFT(Dulieu!$C$44,10)&amp;"2636",Dulieu!$C$88:$Y$400,16,FALSE),0)</f>
        <v>0</v>
      </c>
      <c r="S154" s="58">
        <f>+IFERROR(VLOOKUP(LEFT(Dulieu!$C$44,10)&amp;"2636",Dulieu!$C$88:$Y$400,17,FALSE),0)</f>
        <v>0</v>
      </c>
      <c r="T154" s="58">
        <f>+IFERROR(VLOOKUP(LEFT(Dulieu!$C$44,10)&amp;"2636",Dulieu!$C$88:$Y$400,18,FALSE),0)</f>
        <v>0</v>
      </c>
      <c r="U154" s="58">
        <f>+IFERROR(VLOOKUP(LEFT(Dulieu!$C$44,10)&amp;"2636",Dulieu!$C$88:$Y$400,19,FALSE),0)</f>
        <v>0</v>
      </c>
      <c r="V154" s="58">
        <f>+IFERROR(VLOOKUP(LEFT(Dulieu!$C$44,10)&amp;"2636",Dulieu!$C$88:$Y$400,20,FALSE),0)</f>
        <v>0</v>
      </c>
      <c r="W154" s="58">
        <f>+IFERROR(VLOOKUP(LEFT(Dulieu!$C$44,10)&amp;"2636",Dulieu!$C$88:$Y$400,21,FALSE),0)</f>
        <v>0</v>
      </c>
      <c r="X154" s="58">
        <f>+IFERROR(VLOOKUP(LEFT(Dulieu!$C$44,10)&amp;"2636",Dulieu!$C$88:$Y$400,22,FALSE),0)</f>
        <v>0</v>
      </c>
      <c r="Y154" s="58">
        <f>+IFERROR(VLOOKUP(LEFT(Dulieu!$C$44,10)&amp;"2636",Dulieu!$C$88:$Y$400,23,FALSE),0)</f>
        <v>0</v>
      </c>
    </row>
    <row r="155" spans="1:25" s="63" customFormat="1" ht="12" x14ac:dyDescent="0.2">
      <c r="A155" s="60"/>
      <c r="B155" s="61" t="s">
        <v>838</v>
      </c>
      <c r="C155" s="62">
        <f t="shared" si="34"/>
        <v>0</v>
      </c>
      <c r="D155" s="62">
        <f>+IFERROR(VLOOKUP(LEFT(Dulieu!$C$44,10)&amp;"2636",Dulieu!$C$88:$N$400,2,FALSE),0)-IFERROR(VLOOKUP(LEFT(Dulieu!$C$44,10)&amp;"2636_PRE_M",Dulieu!$C$88:$N$400,2,FALSE),0)</f>
        <v>0</v>
      </c>
      <c r="E155" s="62">
        <f>+IFERROR(VLOOKUP(LEFT(Dulieu!$C$44,10)&amp;"2636",Dulieu!$C$88:$N$400,3,FALSE),0)-IFERROR(VLOOKUP(LEFT(Dulieu!$C$44,10)&amp;"2636_PRE_M",Dulieu!$C$88:$N$400,3,FALSE),0)</f>
        <v>0</v>
      </c>
      <c r="F155" s="62">
        <f>+IFERROR(VLOOKUP(LEFT(Dulieu!$C$44,10)&amp;"2636",Dulieu!$C$88:$N$400,4,FALSE),0)-IFERROR(VLOOKUP(LEFT(Dulieu!$C$44,10)&amp;"2636_PRE_M",Dulieu!$C$88:$N$400,4,FALSE),0)</f>
        <v>0</v>
      </c>
      <c r="G155" s="62">
        <f>+IFERROR(VLOOKUP(LEFT(Dulieu!$C$44,10)&amp;"2636",Dulieu!$C$88:$N$400,5,FALSE),0)-IFERROR(VLOOKUP(LEFT(Dulieu!$C$44,10)&amp;"2636_PRE_M",Dulieu!$C$88:$N$400,5,FALSE),0)</f>
        <v>0</v>
      </c>
      <c r="H155" s="62">
        <f>+IFERROR(VLOOKUP(LEFT(Dulieu!$C$44,10)&amp;"2636",Dulieu!$C$88:$N$400,6,FALSE),0)-IFERROR(VLOOKUP(LEFT(Dulieu!$C$44,10)&amp;"2636_PRE_M",Dulieu!$C$88:$N$400,6,FALSE),0)</f>
        <v>0</v>
      </c>
      <c r="I155" s="62">
        <f>+IFERROR(VLOOKUP(LEFT(Dulieu!$C$44,10)&amp;"2636",Dulieu!$C$88:$N$400,7,FALSE),0)-IFERROR(VLOOKUP(LEFT(Dulieu!$C$44,10)&amp;"2636_PRE_M",Dulieu!$C$88:$N$400,7,FALSE),0)</f>
        <v>0</v>
      </c>
      <c r="J155" s="62">
        <f>+IFERROR(VLOOKUP(LEFT(Dulieu!$C$44,10)&amp;"2636",Dulieu!$C$88:$N$400,8,FALSE),0)-IFERROR(VLOOKUP(LEFT(Dulieu!$C$44,10)&amp;"2636_PRE_M",Dulieu!$C$88:$N$400,8,FALSE),0)</f>
        <v>0</v>
      </c>
      <c r="K155" s="62">
        <f>+IFERROR(VLOOKUP(LEFT(Dulieu!$C$44,10)&amp;"2636",Dulieu!$C$88:$N$400,9,FALSE),0)-IFERROR(VLOOKUP(LEFT(Dulieu!$C$44,10)&amp;"2636_PRE_M",Dulieu!$C$88:$N$400,9,FALSE),0)</f>
        <v>0</v>
      </c>
      <c r="L155" s="62">
        <f>+IFERROR(VLOOKUP(LEFT(Dulieu!$C$44,10)&amp;"2636",Dulieu!$C$88:$N$400,10,FALSE),0)-IFERROR(VLOOKUP(LEFT(Dulieu!$C$44,10)&amp;"2636_PRE_M",Dulieu!$C$88:$N$400,10,FALSE),0)</f>
        <v>0</v>
      </c>
      <c r="M155" s="62">
        <f>+IFERROR(VLOOKUP(LEFT(Dulieu!$C$44,10)&amp;"2636",Dulieu!$C$88:$N$400,11,FALSE),0)-IFERROR(VLOOKUP(LEFT(Dulieu!$C$44,10)&amp;"2636_PRE_M",Dulieu!$C$88:$N$400,11,FALSE),0)</f>
        <v>0</v>
      </c>
      <c r="N155" s="62">
        <f>+IFERROR(VLOOKUP(LEFT(Dulieu!$C$44,10)&amp;"2636",Dulieu!$C$88:$N$400,12,FALSE),0)-IFERROR(VLOOKUP(LEFT(Dulieu!$C$44,10)&amp;"2636_PRE_M",Dulieu!$C$88:$N$400,12,FALSE),0)</f>
        <v>0</v>
      </c>
      <c r="O155" s="62">
        <f>+IFERROR(VLOOKUP(LEFT(Dulieu!$C$44,10)&amp;"2636",Dulieu!$C$88:$Y$400,13,FALSE),0)-IFERROR(VLOOKUP(LEFT(Dulieu!$C$44,10)&amp;"2636_PRE_M",Dulieu!$C$88:$Y$400,13,FALSE),0)</f>
        <v>0</v>
      </c>
      <c r="P155" s="62">
        <f>+IFERROR(VLOOKUP(LEFT(Dulieu!$C$44,10)&amp;"2636",Dulieu!$C$88:$Y$400,14,FALSE),0)-IFERROR(VLOOKUP(LEFT(Dulieu!$C$44,10)&amp;"2636_PRE_M",Dulieu!$C$88:$Y$400,14,FALSE),0)</f>
        <v>0</v>
      </c>
      <c r="Q155" s="62">
        <f>+IFERROR(VLOOKUP(LEFT(Dulieu!$C$44,10)&amp;"2636",Dulieu!$C$88:$Y$400,15,FALSE),0)-IFERROR(VLOOKUP(LEFT(Dulieu!$C$44,10)&amp;"2636_PRE_M",Dulieu!$C$88:$Y$400,15,FALSE),0)</f>
        <v>0</v>
      </c>
      <c r="R155" s="62">
        <f>+IFERROR(VLOOKUP(LEFT(Dulieu!$C$44,10)&amp;"2636",Dulieu!$C$88:$Y$400,16,FALSE),0)-IFERROR(VLOOKUP(LEFT(Dulieu!$C$44,10)&amp;"2636_PRE_M",Dulieu!$C$88:$Y$400,16,FALSE),0)</f>
        <v>0</v>
      </c>
      <c r="S155" s="62">
        <f>+IFERROR(VLOOKUP(LEFT(Dulieu!$C$44,10)&amp;"2636",Dulieu!$C$88:$Y$400,17,FALSE),0)-IFERROR(VLOOKUP(LEFT(Dulieu!$C$44,10)&amp;"2636_PRE_M",Dulieu!$C$88:$Y$400,17,FALSE),0)</f>
        <v>0</v>
      </c>
      <c r="T155" s="62">
        <f>+IFERROR(VLOOKUP(LEFT(Dulieu!$C$44,10)&amp;"2636",Dulieu!$C$88:$Y$400,18,FALSE),0)-IFERROR(VLOOKUP(LEFT(Dulieu!$C$44,10)&amp;"2636_PRE_M",Dulieu!$C$88:$Y$400,18,FALSE),0)</f>
        <v>0</v>
      </c>
      <c r="U155" s="62">
        <f>+IFERROR(VLOOKUP(LEFT(Dulieu!$C$44,10)&amp;"2636",Dulieu!$C$88:$Y$400,19,FALSE),0)-IFERROR(VLOOKUP(LEFT(Dulieu!$C$44,10)&amp;"2636_PRE_M",Dulieu!$C$88:$Y$400,19,FALSE),0)</f>
        <v>0</v>
      </c>
      <c r="V155" s="62">
        <f>+IFERROR(VLOOKUP(LEFT(Dulieu!$C$44,10)&amp;"2636",Dulieu!$C$88:$Y$400,20,FALSE),0)-IFERROR(VLOOKUP(LEFT(Dulieu!$C$44,10)&amp;"2636_PRE_M",Dulieu!$C$88:$Y$400,20,FALSE),0)</f>
        <v>0</v>
      </c>
      <c r="W155" s="62">
        <f>+IFERROR(VLOOKUP(LEFT(Dulieu!$C$44,10)&amp;"2636",Dulieu!$C$88:$Y$400,21,FALSE),0)-IFERROR(VLOOKUP(LEFT(Dulieu!$C$44,10)&amp;"2636_PRE_M",Dulieu!$C$88:$Y$400,21,FALSE),0)</f>
        <v>0</v>
      </c>
      <c r="X155" s="62">
        <f>+IFERROR(VLOOKUP(LEFT(Dulieu!$C$44,10)&amp;"2636",Dulieu!$C$88:$Y$400,22,FALSE),0)-IFERROR(VLOOKUP(LEFT(Dulieu!$C$44,10)&amp;"2636_PRE_M",Dulieu!$C$88:$Y$400,22,FALSE),0)</f>
        <v>0</v>
      </c>
      <c r="Y155" s="62">
        <f>+IFERROR(VLOOKUP(LEFT(Dulieu!$C$44,10)&amp;"2636",Dulieu!$C$88:$Y$400,23,FALSE),0)-IFERROR(VLOOKUP(LEFT(Dulieu!$C$44,10)&amp;"2636_PRE_M",Dulieu!$C$88:$Y$400,23,FALSE),0)</f>
        <v>0</v>
      </c>
    </row>
    <row r="156" spans="1:25" s="63" customFormat="1" ht="12" x14ac:dyDescent="0.2">
      <c r="A156" s="60"/>
      <c r="B156" s="61" t="s">
        <v>839</v>
      </c>
      <c r="C156" s="62">
        <f t="shared" si="34"/>
        <v>0</v>
      </c>
      <c r="D156" s="62">
        <f>+IFERROR(VLOOKUP(LEFT(Dulieu!$C$44,10)&amp;"2636",Dulieu!$C$88:$N$400,2,FALSE),0)-IFERROR(VLOOKUP(LEFT(Dulieu!$C$44,10)&amp;"2636_PRE_Y",Dulieu!$C$88:$N$400,2,FALSE),0)</f>
        <v>0</v>
      </c>
      <c r="E156" s="62">
        <f>+IFERROR(VLOOKUP(LEFT(Dulieu!$C$44,10)&amp;"2636",Dulieu!$C$88:$N$400,3,FALSE),0)-IFERROR(VLOOKUP(LEFT(Dulieu!$C$44,10)&amp;"2636_PRE_Y",Dulieu!$C$88:$N$400,3,FALSE),0)</f>
        <v>0</v>
      </c>
      <c r="F156" s="62">
        <f>+IFERROR(VLOOKUP(LEFT(Dulieu!$C$44,10)&amp;"2636",Dulieu!$C$88:$N$400,4,FALSE),0)-IFERROR(VLOOKUP(LEFT(Dulieu!$C$44,10)&amp;"2636_PRE_Y",Dulieu!$C$88:$N$400,4,FALSE),0)</f>
        <v>0</v>
      </c>
      <c r="G156" s="62">
        <f>+IFERROR(VLOOKUP(LEFT(Dulieu!$C$44,10)&amp;"2636",Dulieu!$C$88:$N$400,5,FALSE),0)-IFERROR(VLOOKUP(LEFT(Dulieu!$C$44,10)&amp;"2636_PRE_Y",Dulieu!$C$88:$N$400,5,FALSE),0)</f>
        <v>0</v>
      </c>
      <c r="H156" s="62">
        <f>+IFERROR(VLOOKUP(LEFT(Dulieu!$C$44,10)&amp;"2636",Dulieu!$C$88:$N$400,6,FALSE),0)-IFERROR(VLOOKUP(LEFT(Dulieu!$C$44,10)&amp;"2636_PRE_Y",Dulieu!$C$88:$N$400,6,FALSE),0)</f>
        <v>0</v>
      </c>
      <c r="I156" s="62">
        <f>+IFERROR(VLOOKUP(LEFT(Dulieu!$C$44,10)&amp;"2636",Dulieu!$C$88:$N$400,7,FALSE),0)-IFERROR(VLOOKUP(LEFT(Dulieu!$C$44,10)&amp;"2636_PRE_Y",Dulieu!$C$88:$N$400,7,FALSE),0)</f>
        <v>0</v>
      </c>
      <c r="J156" s="62">
        <f>+IFERROR(VLOOKUP(LEFT(Dulieu!$C$44,10)&amp;"2636",Dulieu!$C$88:$N$400,8,FALSE),0)-IFERROR(VLOOKUP(LEFT(Dulieu!$C$44,10)&amp;"2636_PRE_Y",Dulieu!$C$88:$N$400,8,FALSE),0)</f>
        <v>0</v>
      </c>
      <c r="K156" s="62">
        <f>+IFERROR(VLOOKUP(LEFT(Dulieu!$C$44,10)&amp;"2636",Dulieu!$C$88:$N$400,9,FALSE),0)-IFERROR(VLOOKUP(LEFT(Dulieu!$C$44,10)&amp;"2636_PRE_Y",Dulieu!$C$88:$N$400,9,FALSE),0)</f>
        <v>0</v>
      </c>
      <c r="L156" s="62">
        <f>+IFERROR(VLOOKUP(LEFT(Dulieu!$C$44,10)&amp;"2636",Dulieu!$C$88:$N$400,10,FALSE),0)-IFERROR(VLOOKUP(LEFT(Dulieu!$C$44,10)&amp;"2636_PRE_Y",Dulieu!$C$88:$N$400,10,FALSE),0)</f>
        <v>0</v>
      </c>
      <c r="M156" s="62">
        <f>+IFERROR(VLOOKUP(LEFT(Dulieu!$C$44,10)&amp;"2636",Dulieu!$C$88:$N$400,11,FALSE),0)-IFERROR(VLOOKUP(LEFT(Dulieu!$C$44,10)&amp;"2636_PRE_Y",Dulieu!$C$88:$N$400,11,FALSE),0)</f>
        <v>0</v>
      </c>
      <c r="N156" s="62">
        <f>+IFERROR(VLOOKUP(LEFT(Dulieu!$C$44,10)&amp;"2636",Dulieu!$C$88:$N$400,12,FALSE),0)-IFERROR(VLOOKUP(LEFT(Dulieu!$C$44,10)&amp;"2636_PRE_Y",Dulieu!$C$88:$N$400,12,FALSE),0)</f>
        <v>0</v>
      </c>
      <c r="O156" s="62">
        <f>+IFERROR(VLOOKUP(LEFT(Dulieu!$C$44,10)&amp;"2636",Dulieu!$C$88:$Y$400,13,FALSE),0)-IFERROR(VLOOKUP(LEFT(Dulieu!$C$44,10)&amp;"2636_PRE_Y",Dulieu!$C$88:$Y$400,13,FALSE),0)</f>
        <v>0</v>
      </c>
      <c r="P156" s="62">
        <f>+IFERROR(VLOOKUP(LEFT(Dulieu!$C$44,10)&amp;"2636",Dulieu!$C$88:$Y$400,14,FALSE),0)-IFERROR(VLOOKUP(LEFT(Dulieu!$C$44,10)&amp;"2636_PRE_Y",Dulieu!$C$88:$Y$400,14,FALSE),0)</f>
        <v>0</v>
      </c>
      <c r="Q156" s="62">
        <f>+IFERROR(VLOOKUP(LEFT(Dulieu!$C$44,10)&amp;"2636",Dulieu!$C$88:$Y$400,15,FALSE),0)-IFERROR(VLOOKUP(LEFT(Dulieu!$C$44,10)&amp;"2636_PRE_Y",Dulieu!$C$88:$Y$400,15,FALSE),0)</f>
        <v>0</v>
      </c>
      <c r="R156" s="62">
        <f>+IFERROR(VLOOKUP(LEFT(Dulieu!$C$44,10)&amp;"2636",Dulieu!$C$88:$Y$400,16,FALSE),0)-IFERROR(VLOOKUP(LEFT(Dulieu!$C$44,10)&amp;"2636_PRE_Y",Dulieu!$C$88:$Y$400,16,FALSE),0)</f>
        <v>0</v>
      </c>
      <c r="S156" s="62">
        <f>+IFERROR(VLOOKUP(LEFT(Dulieu!$C$44,10)&amp;"2636",Dulieu!$C$88:$Y$400,17,FALSE),0)-IFERROR(VLOOKUP(LEFT(Dulieu!$C$44,10)&amp;"2636_PRE_Y",Dulieu!$C$88:$Y$400,17,FALSE),0)</f>
        <v>0</v>
      </c>
      <c r="T156" s="62">
        <f>+IFERROR(VLOOKUP(LEFT(Dulieu!$C$44,10)&amp;"2636",Dulieu!$C$88:$Y$400,18,FALSE),0)-IFERROR(VLOOKUP(LEFT(Dulieu!$C$44,10)&amp;"2636_PRE_Y",Dulieu!$C$88:$Y$400,18,FALSE),0)</f>
        <v>0</v>
      </c>
      <c r="U156" s="62">
        <f>+IFERROR(VLOOKUP(LEFT(Dulieu!$C$44,10)&amp;"2636",Dulieu!$C$88:$Y$400,19,FALSE),0)-IFERROR(VLOOKUP(LEFT(Dulieu!$C$44,10)&amp;"2636_PRE_Y",Dulieu!$C$88:$Y$400,19,FALSE),0)</f>
        <v>0</v>
      </c>
      <c r="V156" s="62">
        <f>+IFERROR(VLOOKUP(LEFT(Dulieu!$C$44,10)&amp;"2636",Dulieu!$C$88:$Y$400,20,FALSE),0)-IFERROR(VLOOKUP(LEFT(Dulieu!$C$44,10)&amp;"2636_PRE_Y",Dulieu!$C$88:$Y$400,20,FALSE),0)</f>
        <v>0</v>
      </c>
      <c r="W156" s="62">
        <f>+IFERROR(VLOOKUP(LEFT(Dulieu!$C$44,10)&amp;"2636",Dulieu!$C$88:$Y$400,21,FALSE),0)-IFERROR(VLOOKUP(LEFT(Dulieu!$C$44,10)&amp;"2636_PRE_Y",Dulieu!$C$88:$Y$400,21,FALSE),0)</f>
        <v>0</v>
      </c>
      <c r="X156" s="62">
        <f>+IFERROR(VLOOKUP(LEFT(Dulieu!$C$44,10)&amp;"2636",Dulieu!$C$88:$Y$400,22,FALSE),0)-IFERROR(VLOOKUP(LEFT(Dulieu!$C$44,10)&amp;"2636_PRE_Y",Dulieu!$C$88:$Y$400,22,FALSE),0)</f>
        <v>0</v>
      </c>
      <c r="Y156" s="62">
        <f>+IFERROR(VLOOKUP(LEFT(Dulieu!$C$44,10)&amp;"2636",Dulieu!$C$88:$Y$400,23,FALSE),0)-IFERROR(VLOOKUP(LEFT(Dulieu!$C$44,10)&amp;"2636_PRE_Y",Dulieu!$C$88:$Y$400,23,FALSE),0)</f>
        <v>0</v>
      </c>
    </row>
    <row r="157" spans="1:25" s="63" customFormat="1" ht="12" x14ac:dyDescent="0.2">
      <c r="A157" s="60"/>
      <c r="B157" s="65" t="s">
        <v>42</v>
      </c>
      <c r="C157" s="62">
        <f t="shared" ref="C157:C181" si="35">SUM(D157:Y157)</f>
        <v>0</v>
      </c>
      <c r="D157" s="64">
        <f>+IFERROR(VLOOKUP(LEFT(Dulieu!$C$44,10)&amp;"NV_263601",Dulieu!$C$88:$Y$400,2,FALSE),0)</f>
        <v>0</v>
      </c>
      <c r="E157" s="64">
        <f>+IFERROR(VLOOKUP(LEFT(Dulieu!$C$44,10)&amp;"NV_263601",Dulieu!$C$88:$Y$400,3,FALSE),0)</f>
        <v>0</v>
      </c>
      <c r="F157" s="64">
        <f>+IFERROR(VLOOKUP(LEFT(Dulieu!$C$44,10)&amp;"NV_263601",Dulieu!$C$88:$Y$400,4,FALSE),0)</f>
        <v>0</v>
      </c>
      <c r="G157" s="64">
        <f>+IFERROR(VLOOKUP(LEFT(Dulieu!$C$44,10)&amp;"NV_263601",Dulieu!$C$88:$Y$400,5,FALSE),0)</f>
        <v>0</v>
      </c>
      <c r="H157" s="64">
        <f>+IFERROR(VLOOKUP(LEFT(Dulieu!$C$44,10)&amp;"NV_263601",Dulieu!$C$88:$Y$400,6,FALSE),0)</f>
        <v>0</v>
      </c>
      <c r="I157" s="64">
        <f>+IFERROR(VLOOKUP(LEFT(Dulieu!$C$44,10)&amp;"NV_263601",Dulieu!$C$88:$Y$400,7,FALSE),0)</f>
        <v>0</v>
      </c>
      <c r="J157" s="64">
        <f>+IFERROR(VLOOKUP(LEFT(Dulieu!$C$44,10)&amp;"NV_263601",Dulieu!$C$88:$Y$400,8,FALSE),0)</f>
        <v>0</v>
      </c>
      <c r="K157" s="64">
        <f>+IFERROR(VLOOKUP(LEFT(Dulieu!$C$44,10)&amp;"NV_263601",Dulieu!$C$88:$Y$400,9,FALSE),0)</f>
        <v>0</v>
      </c>
      <c r="L157" s="64">
        <f>+IFERROR(VLOOKUP(LEFT(Dulieu!$C$44,10)&amp;"NV_263601",Dulieu!$C$88:$Y$400,10,FALSE),0)</f>
        <v>0</v>
      </c>
      <c r="M157" s="64">
        <f>+IFERROR(VLOOKUP(LEFT(Dulieu!$C$44,10)&amp;"NV_263601",Dulieu!$C$88:$Y$400,11,FALSE),0)</f>
        <v>0</v>
      </c>
      <c r="N157" s="64">
        <f>+IFERROR(VLOOKUP(LEFT(Dulieu!$C$44,10)&amp;"NV_263601",Dulieu!$C$88:$Y$400,12,FALSE),0)</f>
        <v>0</v>
      </c>
      <c r="O157" s="64">
        <f>+IFERROR(VLOOKUP(LEFT(Dulieu!$C$44,10)&amp;"NV_263601",Dulieu!$C$88:$Y$400,13,FALSE),0)</f>
        <v>0</v>
      </c>
      <c r="P157" s="64">
        <f>+IFERROR(VLOOKUP(LEFT(Dulieu!$C$44,10)&amp;"NV_263601",Dulieu!$C$88:$Y$400,14,FALSE),0)</f>
        <v>0</v>
      </c>
      <c r="Q157" s="64">
        <f>+IFERROR(VLOOKUP(LEFT(Dulieu!$C$44,10)&amp;"NV_263601",Dulieu!$C$88:$Y$400,15,FALSE),0)</f>
        <v>0</v>
      </c>
      <c r="R157" s="64">
        <f>+IFERROR(VLOOKUP(LEFT(Dulieu!$C$44,10)&amp;"NV_263601",Dulieu!$C$88:$Y$400,16,FALSE),0)</f>
        <v>0</v>
      </c>
      <c r="S157" s="64">
        <f>+IFERROR(VLOOKUP(LEFT(Dulieu!$C$44,10)&amp;"NV_263601",Dulieu!$C$88:$Y$400,17,FALSE),0)</f>
        <v>0</v>
      </c>
      <c r="T157" s="64">
        <f>+IFERROR(VLOOKUP(LEFT(Dulieu!$C$44,10)&amp;"NV_263601",Dulieu!$C$88:$Y$400,18,FALSE),0)</f>
        <v>0</v>
      </c>
      <c r="U157" s="64">
        <f>+IFERROR(VLOOKUP(LEFT(Dulieu!$C$44,10)&amp;"NV_263601",Dulieu!$C$88:$Y$400,19,FALSE),0)</f>
        <v>0</v>
      </c>
      <c r="V157" s="64">
        <f>+IFERROR(VLOOKUP(LEFT(Dulieu!$C$44,10)&amp;"NV_263601",Dulieu!$C$88:$Y$400,20,FALSE),0)</f>
        <v>0</v>
      </c>
      <c r="W157" s="64">
        <f>+IFERROR(VLOOKUP(LEFT(Dulieu!$C$44,10)&amp;"NV_263601",Dulieu!$C$88:$Y$400,21,FALSE),0)</f>
        <v>0</v>
      </c>
      <c r="X157" s="64">
        <f>+IFERROR(VLOOKUP(LEFT(Dulieu!$C$44,10)&amp;"NV_263601",Dulieu!$C$88:$Y$400,22,FALSE),0)</f>
        <v>0</v>
      </c>
      <c r="Y157" s="64">
        <f>+IFERROR(VLOOKUP(LEFT(Dulieu!$C$44,10)&amp;"NV_263601",Dulieu!$C$88:$Y$400,23,FALSE),0)</f>
        <v>0</v>
      </c>
    </row>
    <row r="158" spans="1:25" s="63" customFormat="1" ht="12" x14ac:dyDescent="0.2">
      <c r="A158" s="60"/>
      <c r="B158" s="65" t="s">
        <v>43</v>
      </c>
      <c r="C158" s="62">
        <f t="shared" si="35"/>
        <v>0</v>
      </c>
      <c r="D158" s="64">
        <f>+IFERROR(VLOOKUP(LEFT(Dulieu!$C$44,10)&amp;"NV_263602",Dulieu!$C$88:$Y$400,2,FALSE),0)</f>
        <v>0</v>
      </c>
      <c r="E158" s="64">
        <f>+IFERROR(VLOOKUP(LEFT(Dulieu!$C$44,10)&amp;"NV_263602",Dulieu!$C$88:$Y$400,3,FALSE),0)</f>
        <v>0</v>
      </c>
      <c r="F158" s="64">
        <f>+IFERROR(VLOOKUP(LEFT(Dulieu!$C$44,10)&amp;"NV_263602",Dulieu!$C$88:$Y$400,4,FALSE),0)</f>
        <v>0</v>
      </c>
      <c r="G158" s="64">
        <f>+IFERROR(VLOOKUP(LEFT(Dulieu!$C$44,10)&amp;"NV_263602",Dulieu!$C$88:$Y$400,5,FALSE),0)</f>
        <v>0</v>
      </c>
      <c r="H158" s="64">
        <f>+IFERROR(VLOOKUP(LEFT(Dulieu!$C$44,10)&amp;"NV_263602",Dulieu!$C$88:$Y$400,6,FALSE),0)</f>
        <v>0</v>
      </c>
      <c r="I158" s="64">
        <f>+IFERROR(VLOOKUP(LEFT(Dulieu!$C$44,10)&amp;"NV_263602",Dulieu!$C$88:$Y$400,7,FALSE),0)</f>
        <v>0</v>
      </c>
      <c r="J158" s="64">
        <f>+IFERROR(VLOOKUP(LEFT(Dulieu!$C$44,10)&amp;"NV_263602",Dulieu!$C$88:$Y$400,8,FALSE),0)</f>
        <v>0</v>
      </c>
      <c r="K158" s="64">
        <f>+IFERROR(VLOOKUP(LEFT(Dulieu!$C$44,10)&amp;"NV_263602",Dulieu!$C$88:$Y$400,9,FALSE),0)</f>
        <v>0</v>
      </c>
      <c r="L158" s="64">
        <f>+IFERROR(VLOOKUP(LEFT(Dulieu!$C$44,10)&amp;"NV_263602",Dulieu!$C$88:$Y$400,10,FALSE),0)</f>
        <v>0</v>
      </c>
      <c r="M158" s="64">
        <f>+IFERROR(VLOOKUP(LEFT(Dulieu!$C$44,10)&amp;"NV_263602",Dulieu!$C$88:$Y$400,11,FALSE),0)</f>
        <v>0</v>
      </c>
      <c r="N158" s="64">
        <f>+IFERROR(VLOOKUP(LEFT(Dulieu!$C$44,10)&amp;"NV_263602",Dulieu!$C$88:$Y$400,12,FALSE),0)</f>
        <v>0</v>
      </c>
      <c r="O158" s="64">
        <f>+IFERROR(VLOOKUP(LEFT(Dulieu!$C$44,10)&amp;"NV_263602",Dulieu!$C$88:$Y$400,13,FALSE),0)</f>
        <v>0</v>
      </c>
      <c r="P158" s="64">
        <f>+IFERROR(VLOOKUP(LEFT(Dulieu!$C$44,10)&amp;"NV_263602",Dulieu!$C$88:$Y$400,14,FALSE),0)</f>
        <v>0</v>
      </c>
      <c r="Q158" s="64">
        <f>+IFERROR(VLOOKUP(LEFT(Dulieu!$C$44,10)&amp;"NV_263602",Dulieu!$C$88:$Y$400,15,FALSE),0)</f>
        <v>0</v>
      </c>
      <c r="R158" s="64">
        <f>+IFERROR(VLOOKUP(LEFT(Dulieu!$C$44,10)&amp;"NV_263602",Dulieu!$C$88:$Y$400,16,FALSE),0)</f>
        <v>0</v>
      </c>
      <c r="S158" s="64">
        <f>+IFERROR(VLOOKUP(LEFT(Dulieu!$C$44,10)&amp;"NV_263602",Dulieu!$C$88:$Y$400,17,FALSE),0)</f>
        <v>0</v>
      </c>
      <c r="T158" s="64">
        <f>+IFERROR(VLOOKUP(LEFT(Dulieu!$C$44,10)&amp;"NV_263602",Dulieu!$C$88:$Y$400,18,FALSE),0)</f>
        <v>0</v>
      </c>
      <c r="U158" s="64">
        <f>+IFERROR(VLOOKUP(LEFT(Dulieu!$C$44,10)&amp;"NV_263602",Dulieu!$C$88:$Y$400,19,FALSE),0)</f>
        <v>0</v>
      </c>
      <c r="V158" s="64">
        <f>+IFERROR(VLOOKUP(LEFT(Dulieu!$C$44,10)&amp;"NV_263602",Dulieu!$C$88:$Y$400,20,FALSE),0)</f>
        <v>0</v>
      </c>
      <c r="W158" s="64">
        <f>+IFERROR(VLOOKUP(LEFT(Dulieu!$C$44,10)&amp;"NV_263602",Dulieu!$C$88:$Y$400,21,FALSE),0)</f>
        <v>0</v>
      </c>
      <c r="X158" s="64">
        <f>+IFERROR(VLOOKUP(LEFT(Dulieu!$C$44,10)&amp;"NV_263602",Dulieu!$C$88:$Y$400,22,FALSE),0)</f>
        <v>0</v>
      </c>
      <c r="Y158" s="64">
        <f>+IFERROR(VLOOKUP(LEFT(Dulieu!$C$44,10)&amp;"NV_263602",Dulieu!$C$88:$Y$400,23,FALSE),0)</f>
        <v>0</v>
      </c>
    </row>
    <row r="159" spans="1:25" s="37" customFormat="1" ht="12" x14ac:dyDescent="0.2">
      <c r="A159" s="34">
        <v>20</v>
      </c>
      <c r="B159" s="35" t="s">
        <v>1539</v>
      </c>
      <c r="C159" s="36">
        <f t="shared" si="35"/>
        <v>0</v>
      </c>
      <c r="D159" s="36">
        <f>+IFERROR(VLOOKUP(LEFT(Dulieu!$C$44,10)&amp;"2535",Dulieu!$C$88:$N$400,2,FALSE),0)</f>
        <v>0</v>
      </c>
      <c r="E159" s="36">
        <f>+IFERROR(VLOOKUP(LEFT(Dulieu!$C$44,10)&amp;"2535",Dulieu!$C$88:$N$400,3,FALSE),0)</f>
        <v>0</v>
      </c>
      <c r="F159" s="36">
        <f>+IFERROR(VLOOKUP(LEFT(Dulieu!$C$44,10)&amp;"2535",Dulieu!$C$88:$N$400,4,FALSE),0)</f>
        <v>0</v>
      </c>
      <c r="G159" s="36">
        <f>+IFERROR(VLOOKUP(LEFT(Dulieu!$C$44,10)&amp;"2535",Dulieu!$C$88:$N$400,5,FALSE),0)</f>
        <v>0</v>
      </c>
      <c r="H159" s="36">
        <f>+IFERROR(VLOOKUP(LEFT(Dulieu!$C$44,10)&amp;"2535",Dulieu!$C$88:$N$400,6,FALSE),0)</f>
        <v>0</v>
      </c>
      <c r="I159" s="36">
        <f>+IFERROR(VLOOKUP(LEFT(Dulieu!$C$44,10)&amp;"2535",Dulieu!$C$88:$N$400,7,FALSE),0)</f>
        <v>0</v>
      </c>
      <c r="J159" s="36">
        <f>+IFERROR(VLOOKUP(LEFT(Dulieu!$C$44,10)&amp;"2535",Dulieu!$C$88:$N$400,8,FALSE),0)</f>
        <v>0</v>
      </c>
      <c r="K159" s="36">
        <f>+IFERROR(VLOOKUP(LEFT(Dulieu!$C$44,10)&amp;"2535",Dulieu!$C$88:$N$400,9,FALSE),0)</f>
        <v>0</v>
      </c>
      <c r="L159" s="36">
        <f>+IFERROR(VLOOKUP(LEFT(Dulieu!$C$44,10)&amp;"2535",Dulieu!$C$88:$N$400,10,FALSE),0)</f>
        <v>0</v>
      </c>
      <c r="M159" s="36">
        <f>+IFERROR(VLOOKUP(LEFT(Dulieu!$C$44,10)&amp;"2535",Dulieu!$C$88:$N$400,11,FALSE),0)</f>
        <v>0</v>
      </c>
      <c r="N159" s="36">
        <f>+IFERROR(VLOOKUP(LEFT(Dulieu!$C$44,10)&amp;"2535",Dulieu!$C$88:$N$400,12,FALSE),0)</f>
        <v>0</v>
      </c>
      <c r="O159" s="36">
        <f>+IFERROR(VLOOKUP(LEFT(Dulieu!$C$44,10)&amp;"2535",Dulieu!$C$88:$Y$400,13,FALSE),0)</f>
        <v>0</v>
      </c>
      <c r="P159" s="36">
        <f>+IFERROR(VLOOKUP(LEFT(Dulieu!$C$44,10)&amp;"2535",Dulieu!$C$88:$Y$400,14,FALSE),0)</f>
        <v>0</v>
      </c>
      <c r="Q159" s="36">
        <f>+IFERROR(VLOOKUP(LEFT(Dulieu!$C$44,10)&amp;"2535",Dulieu!$C$88:$Y$400,15,FALSE),0)</f>
        <v>0</v>
      </c>
      <c r="R159" s="36">
        <f>+IFERROR(VLOOKUP(LEFT(Dulieu!$C$44,10)&amp;"2535",Dulieu!$C$88:$Y$400,16,FALSE),0)</f>
        <v>0</v>
      </c>
      <c r="S159" s="36">
        <f>+IFERROR(VLOOKUP(LEFT(Dulieu!$C$44,10)&amp;"2535",Dulieu!$C$88:$Y$400,17,FALSE),0)</f>
        <v>0</v>
      </c>
      <c r="T159" s="36">
        <f>+IFERROR(VLOOKUP(LEFT(Dulieu!$C$44,10)&amp;"2535",Dulieu!$C$88:$Y$400,18,FALSE),0)</f>
        <v>0</v>
      </c>
      <c r="U159" s="36">
        <f>+IFERROR(VLOOKUP(LEFT(Dulieu!$C$44,10)&amp;"2535",Dulieu!$C$88:$Y$400,19,FALSE),0)</f>
        <v>0</v>
      </c>
      <c r="V159" s="36">
        <f>+IFERROR(VLOOKUP(LEFT(Dulieu!$C$44,10)&amp;"2535",Dulieu!$C$88:$Y$400,20,FALSE),0)</f>
        <v>0</v>
      </c>
      <c r="W159" s="36">
        <f>+IFERROR(VLOOKUP(LEFT(Dulieu!$C$44,10)&amp;"2535",Dulieu!$C$88:$Y$400,21,FALSE),0)</f>
        <v>0</v>
      </c>
      <c r="X159" s="36">
        <f>+IFERROR(VLOOKUP(LEFT(Dulieu!$C$44,10)&amp;"2535",Dulieu!$C$88:$Y$400,22,FALSE),0)</f>
        <v>0</v>
      </c>
      <c r="Y159" s="36">
        <f>+IFERROR(VLOOKUP(LEFT(Dulieu!$C$44,10)&amp;"2535",Dulieu!$C$88:$Y$400,23,FALSE),0)</f>
        <v>0</v>
      </c>
    </row>
    <row r="160" spans="1:25" s="41" customFormat="1" ht="12" x14ac:dyDescent="0.2">
      <c r="A160" s="38"/>
      <c r="B160" s="39" t="s">
        <v>838</v>
      </c>
      <c r="C160" s="40">
        <f t="shared" si="35"/>
        <v>0</v>
      </c>
      <c r="D160" s="40">
        <f>+IFERROR(VLOOKUP(LEFT(Dulieu!$C$44,10)&amp;"2535",Dulieu!$C$88:$N$400,2,FALSE),0)-IFERROR(VLOOKUP(LEFT(Dulieu!$C$44,10)&amp;"2535_PRE_M",Dulieu!$C$88:$N$400,2,FALSE),0)</f>
        <v>0</v>
      </c>
      <c r="E160" s="40">
        <f>+IFERROR(VLOOKUP(LEFT(Dulieu!$C$44,10)&amp;"2535",Dulieu!$C$88:$N$400,3,FALSE),0)-IFERROR(VLOOKUP(LEFT(Dulieu!$C$44,10)&amp;"2535_PRE_M",Dulieu!$C$88:$N$400,3,FALSE),0)</f>
        <v>0</v>
      </c>
      <c r="F160" s="40">
        <f>+IFERROR(VLOOKUP(LEFT(Dulieu!$C$44,10)&amp;"2535",Dulieu!$C$88:$N$400,4,FALSE),0)-IFERROR(VLOOKUP(LEFT(Dulieu!$C$44,10)&amp;"2535_PRE_M",Dulieu!$C$88:$N$400,4,FALSE),0)</f>
        <v>0</v>
      </c>
      <c r="G160" s="40">
        <f>+IFERROR(VLOOKUP(LEFT(Dulieu!$C$44,10)&amp;"2535",Dulieu!$C$88:$N$400,5,FALSE),0)-IFERROR(VLOOKUP(LEFT(Dulieu!$C$44,10)&amp;"2535_PRE_M",Dulieu!$C$88:$N$400,5,FALSE),0)</f>
        <v>0</v>
      </c>
      <c r="H160" s="40">
        <f>+IFERROR(VLOOKUP(LEFT(Dulieu!$C$44,10)&amp;"2535",Dulieu!$C$88:$N$400,6,FALSE),0)-IFERROR(VLOOKUP(LEFT(Dulieu!$C$44,10)&amp;"2535_PRE_M",Dulieu!$C$88:$N$400,6,FALSE),0)</f>
        <v>0</v>
      </c>
      <c r="I160" s="40">
        <f>+IFERROR(VLOOKUP(LEFT(Dulieu!$C$44,10)&amp;"2535",Dulieu!$C$88:$N$400,7,FALSE),0)-IFERROR(VLOOKUP(LEFT(Dulieu!$C$44,10)&amp;"2535_PRE_M",Dulieu!$C$88:$N$400,7,FALSE),0)</f>
        <v>0</v>
      </c>
      <c r="J160" s="40">
        <f>+IFERROR(VLOOKUP(LEFT(Dulieu!$C$44,10)&amp;"2535",Dulieu!$C$88:$N$400,8,FALSE),0)-IFERROR(VLOOKUP(LEFT(Dulieu!$C$44,10)&amp;"2535_PRE_M",Dulieu!$C$88:$N$400,8,FALSE),0)</f>
        <v>0</v>
      </c>
      <c r="K160" s="40">
        <f>+IFERROR(VLOOKUP(LEFT(Dulieu!$C$44,10)&amp;"2535",Dulieu!$C$88:$N$400,9,FALSE),0)-IFERROR(VLOOKUP(LEFT(Dulieu!$C$44,10)&amp;"2535_PRE_M",Dulieu!$C$88:$N$400,9,FALSE),0)</f>
        <v>0</v>
      </c>
      <c r="L160" s="40">
        <f>+IFERROR(VLOOKUP(LEFT(Dulieu!$C$44,10)&amp;"2535",Dulieu!$C$88:$N$400,10,FALSE),0)-IFERROR(VLOOKUP(LEFT(Dulieu!$C$44,10)&amp;"2535_PRE_M",Dulieu!$C$88:$N$400,10,FALSE),0)</f>
        <v>0</v>
      </c>
      <c r="M160" s="40">
        <f>+IFERROR(VLOOKUP(LEFT(Dulieu!$C$44,10)&amp;"2535",Dulieu!$C$88:$N$400,11,FALSE),0)-IFERROR(VLOOKUP(LEFT(Dulieu!$C$44,10)&amp;"2535_PRE_M",Dulieu!$C$88:$N$400,11,FALSE),0)</f>
        <v>0</v>
      </c>
      <c r="N160" s="40">
        <f>+IFERROR(VLOOKUP(LEFT(Dulieu!$C$44,10)&amp;"2535",Dulieu!$C$88:$N$400,12,FALSE),0)-IFERROR(VLOOKUP(LEFT(Dulieu!$C$44,10)&amp;"2535_PRE_M",Dulieu!$C$88:$N$400,12,FALSE),0)</f>
        <v>0</v>
      </c>
      <c r="O160" s="40">
        <f>+IFERROR(VLOOKUP(LEFT(Dulieu!$C$44,10)&amp;"2535",Dulieu!$C$88:$Y$400,13,FALSE),0)-IFERROR(VLOOKUP(LEFT(Dulieu!$C$44,10)&amp;"2535_PRE_M",Dulieu!$C$88:$Y$400,13,FALSE),0)</f>
        <v>0</v>
      </c>
      <c r="P160" s="40">
        <f>+IFERROR(VLOOKUP(LEFT(Dulieu!$C$44,10)&amp;"2535",Dulieu!$C$88:$Y$400,14,FALSE),0)-IFERROR(VLOOKUP(LEFT(Dulieu!$C$44,10)&amp;"2535_PRE_M",Dulieu!$C$88:$Y$400,14,FALSE),0)</f>
        <v>0</v>
      </c>
      <c r="Q160" s="40">
        <f>+IFERROR(VLOOKUP(LEFT(Dulieu!$C$44,10)&amp;"2535",Dulieu!$C$88:$Y$400,15,FALSE),0)-IFERROR(VLOOKUP(LEFT(Dulieu!$C$44,10)&amp;"2535_PRE_M",Dulieu!$C$88:$Y$400,15,FALSE),0)</f>
        <v>0</v>
      </c>
      <c r="R160" s="40">
        <f>+IFERROR(VLOOKUP(LEFT(Dulieu!$C$44,10)&amp;"2535",Dulieu!$C$88:$Y$400,16,FALSE),0)-IFERROR(VLOOKUP(LEFT(Dulieu!$C$44,10)&amp;"2535_PRE_M",Dulieu!$C$88:$Y$400,16,FALSE),0)</f>
        <v>0</v>
      </c>
      <c r="S160" s="40">
        <f>+IFERROR(VLOOKUP(LEFT(Dulieu!$C$44,10)&amp;"2535",Dulieu!$C$88:$Y$400,17,FALSE),0)-IFERROR(VLOOKUP(LEFT(Dulieu!$C$44,10)&amp;"2535_PRE_M",Dulieu!$C$88:$Y$400,17,FALSE),0)</f>
        <v>0</v>
      </c>
      <c r="T160" s="40">
        <f>+IFERROR(VLOOKUP(LEFT(Dulieu!$C$44,10)&amp;"2535",Dulieu!$C$88:$Y$400,18,FALSE),0)-IFERROR(VLOOKUP(LEFT(Dulieu!$C$44,10)&amp;"2535_PRE_M",Dulieu!$C$88:$Y$400,18,FALSE),0)</f>
        <v>0</v>
      </c>
      <c r="U160" s="40">
        <f>+IFERROR(VLOOKUP(LEFT(Dulieu!$C$44,10)&amp;"2535",Dulieu!$C$88:$Y$400,19,FALSE),0)-IFERROR(VLOOKUP(LEFT(Dulieu!$C$44,10)&amp;"2535_PRE_M",Dulieu!$C$88:$Y$400,19,FALSE),0)</f>
        <v>0</v>
      </c>
      <c r="V160" s="40">
        <f>+IFERROR(VLOOKUP(LEFT(Dulieu!$C$44,10)&amp;"2535",Dulieu!$C$88:$Y$400,20,FALSE),0)-IFERROR(VLOOKUP(LEFT(Dulieu!$C$44,10)&amp;"2535_PRE_M",Dulieu!$C$88:$Y$400,20,FALSE),0)</f>
        <v>0</v>
      </c>
      <c r="W160" s="40">
        <f>+IFERROR(VLOOKUP(LEFT(Dulieu!$C$44,10)&amp;"2535",Dulieu!$C$88:$Y$400,21,FALSE),0)-IFERROR(VLOOKUP(LEFT(Dulieu!$C$44,10)&amp;"2535_PRE_M",Dulieu!$C$88:$Y$400,21,FALSE),0)</f>
        <v>0</v>
      </c>
      <c r="X160" s="40">
        <f>+IFERROR(VLOOKUP(LEFT(Dulieu!$C$44,10)&amp;"2535",Dulieu!$C$88:$Y$400,22,FALSE),0)-IFERROR(VLOOKUP(LEFT(Dulieu!$C$44,10)&amp;"2535_PRE_M",Dulieu!$C$88:$Y$400,22,FALSE),0)</f>
        <v>0</v>
      </c>
      <c r="Y160" s="40">
        <f>+IFERROR(VLOOKUP(LEFT(Dulieu!$C$44,10)&amp;"2535",Dulieu!$C$88:$Y$400,23,FALSE),0)-IFERROR(VLOOKUP(LEFT(Dulieu!$C$44,10)&amp;"2535_PRE_M",Dulieu!$C$88:$Y$400,23,FALSE),0)</f>
        <v>0</v>
      </c>
    </row>
    <row r="161" spans="1:25" s="41" customFormat="1" ht="12" x14ac:dyDescent="0.2">
      <c r="A161" s="38"/>
      <c r="B161" s="39" t="s">
        <v>839</v>
      </c>
      <c r="C161" s="40">
        <f t="shared" si="35"/>
        <v>0</v>
      </c>
      <c r="D161" s="40">
        <f>+IFERROR(VLOOKUP(LEFT(Dulieu!$C$44,10)&amp;"2535",Dulieu!$C$88:$N$400,2,FALSE),0)-IFERROR(VLOOKUP(LEFT(Dulieu!$C$44,10)&amp;"2535_PRE_Y",Dulieu!$C$88:$N$400,2,FALSE),0)</f>
        <v>0</v>
      </c>
      <c r="E161" s="40">
        <f>+IFERROR(VLOOKUP(LEFT(Dulieu!$C$44,10)&amp;"2535",Dulieu!$C$88:$N$400,3,FALSE),0)-IFERROR(VLOOKUP(LEFT(Dulieu!$C$44,10)&amp;"2535_PRE_Y",Dulieu!$C$88:$N$400,3,FALSE),0)</f>
        <v>0</v>
      </c>
      <c r="F161" s="40">
        <f>+IFERROR(VLOOKUP(LEFT(Dulieu!$C$44,10)&amp;"2535",Dulieu!$C$88:$N$400,4,FALSE),0)-IFERROR(VLOOKUP(LEFT(Dulieu!$C$44,10)&amp;"2535_PRE_Y",Dulieu!$C$88:$N$400,4,FALSE),0)</f>
        <v>0</v>
      </c>
      <c r="G161" s="40">
        <f>+IFERROR(VLOOKUP(LEFT(Dulieu!$C$44,10)&amp;"2535",Dulieu!$C$88:$N$400,5,FALSE),0)-IFERROR(VLOOKUP(LEFT(Dulieu!$C$44,10)&amp;"2535_PRE_Y",Dulieu!$C$88:$N$400,5,FALSE),0)</f>
        <v>0</v>
      </c>
      <c r="H161" s="40">
        <f>+IFERROR(VLOOKUP(LEFT(Dulieu!$C$44,10)&amp;"2535",Dulieu!$C$88:$N$400,6,FALSE),0)-IFERROR(VLOOKUP(LEFT(Dulieu!$C$44,10)&amp;"2535_PRE_Y",Dulieu!$C$88:$N$400,6,FALSE),0)</f>
        <v>0</v>
      </c>
      <c r="I161" s="40">
        <f>+IFERROR(VLOOKUP(LEFT(Dulieu!$C$44,10)&amp;"2535",Dulieu!$C$88:$N$400,7,FALSE),0)-IFERROR(VLOOKUP(LEFT(Dulieu!$C$44,10)&amp;"2535_PRE_Y",Dulieu!$C$88:$N$400,7,FALSE),0)</f>
        <v>0</v>
      </c>
      <c r="J161" s="40">
        <f>+IFERROR(VLOOKUP(LEFT(Dulieu!$C$44,10)&amp;"2535",Dulieu!$C$88:$N$400,8,FALSE),0)-IFERROR(VLOOKUP(LEFT(Dulieu!$C$44,10)&amp;"2535_PRE_Y",Dulieu!$C$88:$N$400,8,FALSE),0)</f>
        <v>0</v>
      </c>
      <c r="K161" s="40">
        <f>+IFERROR(VLOOKUP(LEFT(Dulieu!$C$44,10)&amp;"2535",Dulieu!$C$88:$N$400,9,FALSE),0)-IFERROR(VLOOKUP(LEFT(Dulieu!$C$44,10)&amp;"2535_PRE_Y",Dulieu!$C$88:$N$400,9,FALSE),0)</f>
        <v>0</v>
      </c>
      <c r="L161" s="40">
        <f>+IFERROR(VLOOKUP(LEFT(Dulieu!$C$44,10)&amp;"2535",Dulieu!$C$88:$N$400,10,FALSE),0)-IFERROR(VLOOKUP(LEFT(Dulieu!$C$44,10)&amp;"2535_PRE_Y",Dulieu!$C$88:$N$400,10,FALSE),0)</f>
        <v>0</v>
      </c>
      <c r="M161" s="40">
        <f>+IFERROR(VLOOKUP(LEFT(Dulieu!$C$44,10)&amp;"2535",Dulieu!$C$88:$N$400,11,FALSE),0)-IFERROR(VLOOKUP(LEFT(Dulieu!$C$44,10)&amp;"2535_PRE_Y",Dulieu!$C$88:$N$400,11,FALSE),0)</f>
        <v>0</v>
      </c>
      <c r="N161" s="40">
        <f>+IFERROR(VLOOKUP(LEFT(Dulieu!$C$44,10)&amp;"2535",Dulieu!$C$88:$N$400,12,FALSE),0)-IFERROR(VLOOKUP(LEFT(Dulieu!$C$44,10)&amp;"2535_PRE_Y",Dulieu!$C$88:$N$400,12,FALSE),0)</f>
        <v>0</v>
      </c>
      <c r="O161" s="40">
        <f>+IFERROR(VLOOKUP(LEFT(Dulieu!$C$44,10)&amp;"2535",Dulieu!$C$88:$Y$400,13,FALSE),0)-IFERROR(VLOOKUP(LEFT(Dulieu!$C$44,10)&amp;"2535_PRE_Y",Dulieu!$C$88:$Y$400,13,FALSE),0)</f>
        <v>0</v>
      </c>
      <c r="P161" s="40">
        <f>+IFERROR(VLOOKUP(LEFT(Dulieu!$C$44,10)&amp;"2535",Dulieu!$C$88:$Y$400,14,FALSE),0)-IFERROR(VLOOKUP(LEFT(Dulieu!$C$44,10)&amp;"2535_PRE_Y",Dulieu!$C$88:$Y$400,14,FALSE),0)</f>
        <v>0</v>
      </c>
      <c r="Q161" s="40">
        <f>+IFERROR(VLOOKUP(LEFT(Dulieu!$C$44,10)&amp;"2535",Dulieu!$C$88:$Y$400,15,FALSE),0)-IFERROR(VLOOKUP(LEFT(Dulieu!$C$44,10)&amp;"2535_PRE_Y",Dulieu!$C$88:$Y$400,15,FALSE),0)</f>
        <v>0</v>
      </c>
      <c r="R161" s="40">
        <f>+IFERROR(VLOOKUP(LEFT(Dulieu!$C$44,10)&amp;"2535",Dulieu!$C$88:$Y$400,16,FALSE),0)-IFERROR(VLOOKUP(LEFT(Dulieu!$C$44,10)&amp;"2535_PRE_Y",Dulieu!$C$88:$Y$400,16,FALSE),0)</f>
        <v>0</v>
      </c>
      <c r="S161" s="40">
        <f>+IFERROR(VLOOKUP(LEFT(Dulieu!$C$44,10)&amp;"2535",Dulieu!$C$88:$Y$400,17,FALSE),0)-IFERROR(VLOOKUP(LEFT(Dulieu!$C$44,10)&amp;"2535_PRE_Y",Dulieu!$C$88:$Y$400,17,FALSE),0)</f>
        <v>0</v>
      </c>
      <c r="T161" s="40">
        <f>+IFERROR(VLOOKUP(LEFT(Dulieu!$C$44,10)&amp;"2535",Dulieu!$C$88:$Y$400,18,FALSE),0)-IFERROR(VLOOKUP(LEFT(Dulieu!$C$44,10)&amp;"2535_PRE_Y",Dulieu!$C$88:$Y$400,18,FALSE),0)</f>
        <v>0</v>
      </c>
      <c r="U161" s="40">
        <f>+IFERROR(VLOOKUP(LEFT(Dulieu!$C$44,10)&amp;"2535",Dulieu!$C$88:$Y$400,19,FALSE),0)-IFERROR(VLOOKUP(LEFT(Dulieu!$C$44,10)&amp;"2535_PRE_Y",Dulieu!$C$88:$Y$400,19,FALSE),0)</f>
        <v>0</v>
      </c>
      <c r="V161" s="40">
        <f>+IFERROR(VLOOKUP(LEFT(Dulieu!$C$44,10)&amp;"2535",Dulieu!$C$88:$Y$400,20,FALSE),0)-IFERROR(VLOOKUP(LEFT(Dulieu!$C$44,10)&amp;"2535_PRE_Y",Dulieu!$C$88:$Y$400,20,FALSE),0)</f>
        <v>0</v>
      </c>
      <c r="W161" s="40">
        <f>+IFERROR(VLOOKUP(LEFT(Dulieu!$C$44,10)&amp;"2535",Dulieu!$C$88:$Y$400,21,FALSE),0)-IFERROR(VLOOKUP(LEFT(Dulieu!$C$44,10)&amp;"2535_PRE_Y",Dulieu!$C$88:$Y$400,21,FALSE),0)</f>
        <v>0</v>
      </c>
      <c r="X161" s="40">
        <f>+IFERROR(VLOOKUP(LEFT(Dulieu!$C$44,10)&amp;"2535",Dulieu!$C$88:$Y$400,22,FALSE),0)-IFERROR(VLOOKUP(LEFT(Dulieu!$C$44,10)&amp;"2535_PRE_Y",Dulieu!$C$88:$Y$400,22,FALSE),0)</f>
        <v>0</v>
      </c>
      <c r="Y161" s="40">
        <f>+IFERROR(VLOOKUP(LEFT(Dulieu!$C$44,10)&amp;"2535",Dulieu!$C$88:$Y$400,23,FALSE),0)-IFERROR(VLOOKUP(LEFT(Dulieu!$C$44,10)&amp;"2535_PRE_Y",Dulieu!$C$88:$Y$400,23,FALSE),0)</f>
        <v>0</v>
      </c>
    </row>
    <row r="162" spans="1:25" s="37" customFormat="1" ht="12" x14ac:dyDescent="0.2">
      <c r="A162" s="34">
        <v>21</v>
      </c>
      <c r="B162" s="35" t="s">
        <v>1543</v>
      </c>
      <c r="C162" s="36">
        <f t="shared" si="35"/>
        <v>0</v>
      </c>
      <c r="D162" s="36">
        <f>+IFERROR(VLOOKUP(LEFT(Dulieu!$C$44,10)&amp;"9926",Dulieu!$C$88:$N$400,2,FALSE),0)</f>
        <v>0</v>
      </c>
      <c r="E162" s="36">
        <f>+IFERROR(VLOOKUP(LEFT(Dulieu!$C$44,10)&amp;"9926",Dulieu!$C$88:$N$400,3,FALSE),0)</f>
        <v>0</v>
      </c>
      <c r="F162" s="36">
        <f>+IFERROR(VLOOKUP(LEFT(Dulieu!$C$44,10)&amp;"9926",Dulieu!$C$88:$N$400,4,FALSE),0)</f>
        <v>0</v>
      </c>
      <c r="G162" s="36">
        <f>+IFERROR(VLOOKUP(LEFT(Dulieu!$C$44,10)&amp;"9926",Dulieu!$C$88:$N$400,5,FALSE),0)</f>
        <v>0</v>
      </c>
      <c r="H162" s="36">
        <f>+IFERROR(VLOOKUP(LEFT(Dulieu!$C$44,10)&amp;"9926",Dulieu!$C$88:$N$400,6,FALSE),0)</f>
        <v>0</v>
      </c>
      <c r="I162" s="36">
        <f>+IFERROR(VLOOKUP(LEFT(Dulieu!$C$44,10)&amp;"9926",Dulieu!$C$88:$N$400,7,FALSE),0)</f>
        <v>0</v>
      </c>
      <c r="J162" s="36">
        <f>+IFERROR(VLOOKUP(LEFT(Dulieu!$C$44,10)&amp;"9926",Dulieu!$C$88:$N$400,8,FALSE),0)</f>
        <v>0</v>
      </c>
      <c r="K162" s="36">
        <f>+IFERROR(VLOOKUP(LEFT(Dulieu!$C$44,10)&amp;"9926",Dulieu!$C$88:$N$400,9,FALSE),0)</f>
        <v>0</v>
      </c>
      <c r="L162" s="36">
        <f>+IFERROR(VLOOKUP(LEFT(Dulieu!$C$44,10)&amp;"9926",Dulieu!$C$88:$N$400,10,FALSE),0)</f>
        <v>0</v>
      </c>
      <c r="M162" s="36">
        <f>+IFERROR(VLOOKUP(LEFT(Dulieu!$C$44,10)&amp;"9926",Dulieu!$C$88:$N$400,11,FALSE),0)</f>
        <v>0</v>
      </c>
      <c r="N162" s="36">
        <f>+IFERROR(VLOOKUP(LEFT(Dulieu!$C$44,10)&amp;"9926",Dulieu!$C$88:$N$400,12,FALSE),0)</f>
        <v>0</v>
      </c>
      <c r="O162" s="36">
        <f>+IFERROR(VLOOKUP(LEFT(Dulieu!$C$44,10)&amp;"9926",Dulieu!$C$88:$Y$400,13,FALSE),0)</f>
        <v>0</v>
      </c>
      <c r="P162" s="36">
        <f>+IFERROR(VLOOKUP(LEFT(Dulieu!$C$44,10)&amp;"9926",Dulieu!$C$88:$Y$400,14,FALSE),0)</f>
        <v>0</v>
      </c>
      <c r="Q162" s="36">
        <f>+IFERROR(VLOOKUP(LEFT(Dulieu!$C$44,10)&amp;"9926",Dulieu!$C$88:$Y$400,15,FALSE),0)</f>
        <v>0</v>
      </c>
      <c r="R162" s="36">
        <f>+IFERROR(VLOOKUP(LEFT(Dulieu!$C$44,10)&amp;"9926",Dulieu!$C$88:$Y$400,16,FALSE),0)</f>
        <v>0</v>
      </c>
      <c r="S162" s="36">
        <f>+IFERROR(VLOOKUP(LEFT(Dulieu!$C$44,10)&amp;"9926",Dulieu!$C$88:$Y$400,17,FALSE),0)</f>
        <v>0</v>
      </c>
      <c r="T162" s="36">
        <f>+IFERROR(VLOOKUP(LEFT(Dulieu!$C$44,10)&amp;"9926",Dulieu!$C$88:$Y$400,18,FALSE),0)</f>
        <v>0</v>
      </c>
      <c r="U162" s="36">
        <f>+IFERROR(VLOOKUP(LEFT(Dulieu!$C$44,10)&amp;"9926",Dulieu!$C$88:$Y$400,19,FALSE),0)</f>
        <v>0</v>
      </c>
      <c r="V162" s="36">
        <f>+IFERROR(VLOOKUP(LEFT(Dulieu!$C$44,10)&amp;"9926",Dulieu!$C$88:$Y$400,20,FALSE),0)</f>
        <v>0</v>
      </c>
      <c r="W162" s="36">
        <f>+IFERROR(VLOOKUP(LEFT(Dulieu!$C$44,10)&amp;"9926",Dulieu!$C$88:$Y$400,21,FALSE),0)</f>
        <v>0</v>
      </c>
      <c r="X162" s="36">
        <f>+IFERROR(VLOOKUP(LEFT(Dulieu!$C$44,10)&amp;"9926",Dulieu!$C$88:$Y$400,22,FALSE),0)</f>
        <v>0</v>
      </c>
      <c r="Y162" s="36">
        <f>+IFERROR(VLOOKUP(LEFT(Dulieu!$C$44,10)&amp;"9926",Dulieu!$C$88:$Y$400,23,FALSE),0)</f>
        <v>0</v>
      </c>
    </row>
    <row r="163" spans="1:25" s="68" customFormat="1" ht="12" x14ac:dyDescent="0.2">
      <c r="A163" s="66"/>
      <c r="B163" s="67" t="s">
        <v>838</v>
      </c>
      <c r="C163" s="64">
        <f t="shared" si="35"/>
        <v>0</v>
      </c>
      <c r="D163" s="64">
        <f>+IFERROR(VLOOKUP(LEFT(Dulieu!$C$44,10)&amp;"9926",Dulieu!$C$88:$N$400,2,FALSE),0)-IFERROR(VLOOKUP(LEFT(Dulieu!$C$44,10)&amp;"9926_PRE_M",Dulieu!$C$88:$N$400,2,FALSE),0)</f>
        <v>0</v>
      </c>
      <c r="E163" s="64">
        <f>+IFERROR(VLOOKUP(LEFT(Dulieu!$C$44,10)&amp;"9926",Dulieu!$C$88:$N$400,3,FALSE),0)-IFERROR(VLOOKUP(LEFT(Dulieu!$C$44,10)&amp;"9926_PRE_M",Dulieu!$C$88:$N$400,3,FALSE),0)</f>
        <v>0</v>
      </c>
      <c r="F163" s="64">
        <f>+IFERROR(VLOOKUP(LEFT(Dulieu!$C$44,10)&amp;"9926",Dulieu!$C$88:$N$400,4,FALSE),0)-IFERROR(VLOOKUP(LEFT(Dulieu!$C$44,10)&amp;"9926_PRE_M",Dulieu!$C$88:$N$400,4,FALSE),0)</f>
        <v>0</v>
      </c>
      <c r="G163" s="64">
        <f>+IFERROR(VLOOKUP(LEFT(Dulieu!$C$44,10)&amp;"9926",Dulieu!$C$88:$N$400,5,FALSE),0)-IFERROR(VLOOKUP(LEFT(Dulieu!$C$44,10)&amp;"9926_PRE_M",Dulieu!$C$88:$N$400,5,FALSE),0)</f>
        <v>0</v>
      </c>
      <c r="H163" s="64">
        <f>+IFERROR(VLOOKUP(LEFT(Dulieu!$C$44,10)&amp;"9926",Dulieu!$C$88:$N$400,6,FALSE),0)-IFERROR(VLOOKUP(LEFT(Dulieu!$C$44,10)&amp;"9926_PRE_M",Dulieu!$C$88:$N$400,6,FALSE),0)</f>
        <v>0</v>
      </c>
      <c r="I163" s="64">
        <f>+IFERROR(VLOOKUP(LEFT(Dulieu!$C$44,10)&amp;"9926",Dulieu!$C$88:$N$400,7,FALSE),0)-IFERROR(VLOOKUP(LEFT(Dulieu!$C$44,10)&amp;"9926_PRE_M",Dulieu!$C$88:$N$400,7,FALSE),0)</f>
        <v>0</v>
      </c>
      <c r="J163" s="64">
        <f>+IFERROR(VLOOKUP(LEFT(Dulieu!$C$44,10)&amp;"9926",Dulieu!$C$88:$N$400,8,FALSE),0)-IFERROR(VLOOKUP(LEFT(Dulieu!$C$44,10)&amp;"9926_PRE_M",Dulieu!$C$88:$N$400,8,FALSE),0)</f>
        <v>0</v>
      </c>
      <c r="K163" s="64">
        <f>+IFERROR(VLOOKUP(LEFT(Dulieu!$C$44,10)&amp;"9926",Dulieu!$C$88:$N$400,9,FALSE),0)-IFERROR(VLOOKUP(LEFT(Dulieu!$C$44,10)&amp;"9926_PRE_M",Dulieu!$C$88:$N$400,9,FALSE),0)</f>
        <v>0</v>
      </c>
      <c r="L163" s="64">
        <f>+IFERROR(VLOOKUP(LEFT(Dulieu!$C$44,10)&amp;"9926",Dulieu!$C$88:$N$400,10,FALSE),0)-IFERROR(VLOOKUP(LEFT(Dulieu!$C$44,10)&amp;"9926_PRE_M",Dulieu!$C$88:$N$400,10,FALSE),0)</f>
        <v>0</v>
      </c>
      <c r="M163" s="64">
        <f>+IFERROR(VLOOKUP(LEFT(Dulieu!$C$44,10)&amp;"9926",Dulieu!$C$88:$N$400,11,FALSE),0)-IFERROR(VLOOKUP(LEFT(Dulieu!$C$44,10)&amp;"9926_PRE_M",Dulieu!$C$88:$N$400,11,FALSE),0)</f>
        <v>0</v>
      </c>
      <c r="N163" s="64">
        <f>+IFERROR(VLOOKUP(LEFT(Dulieu!$C$44,10)&amp;"9926",Dulieu!$C$88:$N$400,12,FALSE),0)-IFERROR(VLOOKUP(LEFT(Dulieu!$C$44,10)&amp;"9926_PRE_M",Dulieu!$C$88:$N$400,12,FALSE),0)</f>
        <v>0</v>
      </c>
      <c r="O163" s="64">
        <f>+IFERROR(VLOOKUP(LEFT(Dulieu!$C$44,10)&amp;"9926",Dulieu!$C$88:$Y$400,13,FALSE),0)-IFERROR(VLOOKUP(LEFT(Dulieu!$C$44,10)&amp;"9926_PRE_M",Dulieu!$C$88:$Y$400,13,FALSE),0)</f>
        <v>0</v>
      </c>
      <c r="P163" s="64">
        <f>+IFERROR(VLOOKUP(LEFT(Dulieu!$C$44,10)&amp;"9926",Dulieu!$C$88:$Y$400,14,FALSE),0)-IFERROR(VLOOKUP(LEFT(Dulieu!$C$44,10)&amp;"9926_PRE_M",Dulieu!$C$88:$Y$400,14,FALSE),0)</f>
        <v>0</v>
      </c>
      <c r="Q163" s="64">
        <f>+IFERROR(VLOOKUP(LEFT(Dulieu!$C$44,10)&amp;"9926",Dulieu!$C$88:$Y$400,15,FALSE),0)-IFERROR(VLOOKUP(LEFT(Dulieu!$C$44,10)&amp;"9926_PRE_M",Dulieu!$C$88:$Y$400,15,FALSE),0)</f>
        <v>0</v>
      </c>
      <c r="R163" s="64">
        <f>+IFERROR(VLOOKUP(LEFT(Dulieu!$C$44,10)&amp;"9926",Dulieu!$C$88:$Y$400,16,FALSE),0)-IFERROR(VLOOKUP(LEFT(Dulieu!$C$44,10)&amp;"9926_PRE_M",Dulieu!$C$88:$Y$400,16,FALSE),0)</f>
        <v>0</v>
      </c>
      <c r="S163" s="64">
        <f>+IFERROR(VLOOKUP(LEFT(Dulieu!$C$44,10)&amp;"9926",Dulieu!$C$88:$Y$400,17,FALSE),0)-IFERROR(VLOOKUP(LEFT(Dulieu!$C$44,10)&amp;"9926_PRE_M",Dulieu!$C$88:$Y$400,17,FALSE),0)</f>
        <v>0</v>
      </c>
      <c r="T163" s="64">
        <f>+IFERROR(VLOOKUP(LEFT(Dulieu!$C$44,10)&amp;"9926",Dulieu!$C$88:$Y$400,18,FALSE),0)-IFERROR(VLOOKUP(LEFT(Dulieu!$C$44,10)&amp;"9926_PRE_M",Dulieu!$C$88:$Y$400,18,FALSE),0)</f>
        <v>0</v>
      </c>
      <c r="U163" s="64">
        <f>+IFERROR(VLOOKUP(LEFT(Dulieu!$C$44,10)&amp;"9926",Dulieu!$C$88:$Y$400,19,FALSE),0)-IFERROR(VLOOKUP(LEFT(Dulieu!$C$44,10)&amp;"9926_PRE_M",Dulieu!$C$88:$Y$400,19,FALSE),0)</f>
        <v>0</v>
      </c>
      <c r="V163" s="64">
        <f>+IFERROR(VLOOKUP(LEFT(Dulieu!$C$44,10)&amp;"9926",Dulieu!$C$88:$Y$400,20,FALSE),0)-IFERROR(VLOOKUP(LEFT(Dulieu!$C$44,10)&amp;"9926_PRE_M",Dulieu!$C$88:$Y$400,20,FALSE),0)</f>
        <v>0</v>
      </c>
      <c r="W163" s="64">
        <f>+IFERROR(VLOOKUP(LEFT(Dulieu!$C$44,10)&amp;"9926",Dulieu!$C$88:$Y$400,21,FALSE),0)-IFERROR(VLOOKUP(LEFT(Dulieu!$C$44,10)&amp;"9926_PRE_M",Dulieu!$C$88:$Y$400,21,FALSE),0)</f>
        <v>0</v>
      </c>
      <c r="X163" s="64">
        <f>+IFERROR(VLOOKUP(LEFT(Dulieu!$C$44,10)&amp;"9926",Dulieu!$C$88:$Y$400,22,FALSE),0)-IFERROR(VLOOKUP(LEFT(Dulieu!$C$44,10)&amp;"9926_PRE_M",Dulieu!$C$88:$Y$400,22,FALSE),0)</f>
        <v>0</v>
      </c>
      <c r="Y163" s="64">
        <f>+IFERROR(VLOOKUP(LEFT(Dulieu!$C$44,10)&amp;"9926",Dulieu!$C$88:$Y$400,23,FALSE),0)-IFERROR(VLOOKUP(LEFT(Dulieu!$C$44,10)&amp;"9926_PRE_M",Dulieu!$C$88:$Y$400,23,FALSE),0)</f>
        <v>0</v>
      </c>
    </row>
    <row r="164" spans="1:25" s="68" customFormat="1" ht="12" x14ac:dyDescent="0.2">
      <c r="A164" s="66"/>
      <c r="B164" s="67" t="s">
        <v>839</v>
      </c>
      <c r="C164" s="64">
        <f t="shared" si="35"/>
        <v>0</v>
      </c>
      <c r="D164" s="64">
        <f>+IFERROR(VLOOKUP(LEFT(Dulieu!$C$44,10)&amp;"9926",Dulieu!$C$88:$N$400,2,FALSE),0)-IFERROR(VLOOKUP(LEFT(Dulieu!$C$44,10)&amp;"9926_PRE_Y",Dulieu!$C$88:$N$400,2,FALSE),0)</f>
        <v>0</v>
      </c>
      <c r="E164" s="64">
        <f>+IFERROR(VLOOKUP(LEFT(Dulieu!$C$44,10)&amp;"9926",Dulieu!$C$88:$N$400,3,FALSE),0)-IFERROR(VLOOKUP(LEFT(Dulieu!$C$44,10)&amp;"9926_PRE_Y",Dulieu!$C$88:$N$400,3,FALSE),0)</f>
        <v>0</v>
      </c>
      <c r="F164" s="64">
        <f>+IFERROR(VLOOKUP(LEFT(Dulieu!$C$44,10)&amp;"9926",Dulieu!$C$88:$N$400,4,FALSE),0)-IFERROR(VLOOKUP(LEFT(Dulieu!$C$44,10)&amp;"9926_PRE_Y",Dulieu!$C$88:$N$400,4,FALSE),0)</f>
        <v>0</v>
      </c>
      <c r="G164" s="64">
        <f>+IFERROR(VLOOKUP(LEFT(Dulieu!$C$44,10)&amp;"9926",Dulieu!$C$88:$N$400,5,FALSE),0)-IFERROR(VLOOKUP(LEFT(Dulieu!$C$44,10)&amp;"9926_PRE_Y",Dulieu!$C$88:$N$400,5,FALSE),0)</f>
        <v>0</v>
      </c>
      <c r="H164" s="64">
        <f>+IFERROR(VLOOKUP(LEFT(Dulieu!$C$44,10)&amp;"9926",Dulieu!$C$88:$N$400,6,FALSE),0)-IFERROR(VLOOKUP(LEFT(Dulieu!$C$44,10)&amp;"9926_PRE_Y",Dulieu!$C$88:$N$400,6,FALSE),0)</f>
        <v>0</v>
      </c>
      <c r="I164" s="64">
        <f>+IFERROR(VLOOKUP(LEFT(Dulieu!$C$44,10)&amp;"9926",Dulieu!$C$88:$N$400,7,FALSE),0)-IFERROR(VLOOKUP(LEFT(Dulieu!$C$44,10)&amp;"9926_PRE_Y",Dulieu!$C$88:$N$400,7,FALSE),0)</f>
        <v>0</v>
      </c>
      <c r="J164" s="64">
        <f>+IFERROR(VLOOKUP(LEFT(Dulieu!$C$44,10)&amp;"9926",Dulieu!$C$88:$N$400,8,FALSE),0)-IFERROR(VLOOKUP(LEFT(Dulieu!$C$44,10)&amp;"9926_PRE_Y",Dulieu!$C$88:$N$400,8,FALSE),0)</f>
        <v>0</v>
      </c>
      <c r="K164" s="64">
        <f>+IFERROR(VLOOKUP(LEFT(Dulieu!$C$44,10)&amp;"9926",Dulieu!$C$88:$N$400,9,FALSE),0)-IFERROR(VLOOKUP(LEFT(Dulieu!$C$44,10)&amp;"9926_PRE_Y",Dulieu!$C$88:$N$400,9,FALSE),0)</f>
        <v>0</v>
      </c>
      <c r="L164" s="64">
        <f>+IFERROR(VLOOKUP(LEFT(Dulieu!$C$44,10)&amp;"9926",Dulieu!$C$88:$N$400,10,FALSE),0)-IFERROR(VLOOKUP(LEFT(Dulieu!$C$44,10)&amp;"9926_PRE_Y",Dulieu!$C$88:$N$400,10,FALSE),0)</f>
        <v>0</v>
      </c>
      <c r="M164" s="64">
        <f>+IFERROR(VLOOKUP(LEFT(Dulieu!$C$44,10)&amp;"9926",Dulieu!$C$88:$N$400,11,FALSE),0)-IFERROR(VLOOKUP(LEFT(Dulieu!$C$44,10)&amp;"9926_PRE_Y",Dulieu!$C$88:$N$400,11,FALSE),0)</f>
        <v>0</v>
      </c>
      <c r="N164" s="64">
        <f>+IFERROR(VLOOKUP(LEFT(Dulieu!$C$44,10)&amp;"9926",Dulieu!$C$88:$N$400,12,FALSE),0)-IFERROR(VLOOKUP(LEFT(Dulieu!$C$44,10)&amp;"9926_PRE_Y",Dulieu!$C$88:$N$400,12,FALSE),0)</f>
        <v>0</v>
      </c>
      <c r="O164" s="64">
        <f>+IFERROR(VLOOKUP(LEFT(Dulieu!$C$44,10)&amp;"9926",Dulieu!$C$88:$Y$400,13,FALSE),0)-IFERROR(VLOOKUP(LEFT(Dulieu!$C$44,10)&amp;"9926_PRE_Y",Dulieu!$C$88:$Y$400,13,FALSE),0)</f>
        <v>0</v>
      </c>
      <c r="P164" s="64">
        <f>+IFERROR(VLOOKUP(LEFT(Dulieu!$C$44,10)&amp;"9926",Dulieu!$C$88:$Y$400,14,FALSE),0)-IFERROR(VLOOKUP(LEFT(Dulieu!$C$44,10)&amp;"9926_PRE_Y",Dulieu!$C$88:$Y$400,14,FALSE),0)</f>
        <v>0</v>
      </c>
      <c r="Q164" s="64">
        <f>+IFERROR(VLOOKUP(LEFT(Dulieu!$C$44,10)&amp;"9926",Dulieu!$C$88:$Y$400,15,FALSE),0)-IFERROR(VLOOKUP(LEFT(Dulieu!$C$44,10)&amp;"9926_PRE_Y",Dulieu!$C$88:$Y$400,15,FALSE),0)</f>
        <v>0</v>
      </c>
      <c r="R164" s="64">
        <f>+IFERROR(VLOOKUP(LEFT(Dulieu!$C$44,10)&amp;"9926",Dulieu!$C$88:$Y$400,16,FALSE),0)-IFERROR(VLOOKUP(LEFT(Dulieu!$C$44,10)&amp;"9926_PRE_Y",Dulieu!$C$88:$Y$400,16,FALSE),0)</f>
        <v>0</v>
      </c>
      <c r="S164" s="64">
        <f>+IFERROR(VLOOKUP(LEFT(Dulieu!$C$44,10)&amp;"9926",Dulieu!$C$88:$Y$400,17,FALSE),0)-IFERROR(VLOOKUP(LEFT(Dulieu!$C$44,10)&amp;"9926_PRE_Y",Dulieu!$C$88:$Y$400,17,FALSE),0)</f>
        <v>0</v>
      </c>
      <c r="T164" s="64">
        <f>+IFERROR(VLOOKUP(LEFT(Dulieu!$C$44,10)&amp;"9926",Dulieu!$C$88:$Y$400,18,FALSE),0)-IFERROR(VLOOKUP(LEFT(Dulieu!$C$44,10)&amp;"9926_PRE_Y",Dulieu!$C$88:$Y$400,18,FALSE),0)</f>
        <v>0</v>
      </c>
      <c r="U164" s="64">
        <f>+IFERROR(VLOOKUP(LEFT(Dulieu!$C$44,10)&amp;"9926",Dulieu!$C$88:$Y$400,19,FALSE),0)-IFERROR(VLOOKUP(LEFT(Dulieu!$C$44,10)&amp;"9926_PRE_Y",Dulieu!$C$88:$Y$400,19,FALSE),0)</f>
        <v>0</v>
      </c>
      <c r="V164" s="64">
        <f>+IFERROR(VLOOKUP(LEFT(Dulieu!$C$44,10)&amp;"9926",Dulieu!$C$88:$Y$400,20,FALSE),0)-IFERROR(VLOOKUP(LEFT(Dulieu!$C$44,10)&amp;"9926_PRE_Y",Dulieu!$C$88:$Y$400,20,FALSE),0)</f>
        <v>0</v>
      </c>
      <c r="W164" s="64">
        <f>+IFERROR(VLOOKUP(LEFT(Dulieu!$C$44,10)&amp;"9926",Dulieu!$C$88:$Y$400,21,FALSE),0)-IFERROR(VLOOKUP(LEFT(Dulieu!$C$44,10)&amp;"9926_PRE_Y",Dulieu!$C$88:$Y$400,21,FALSE),0)</f>
        <v>0</v>
      </c>
      <c r="X164" s="64">
        <f>+IFERROR(VLOOKUP(LEFT(Dulieu!$C$44,10)&amp;"9926",Dulieu!$C$88:$Y$400,22,FALSE),0)-IFERROR(VLOOKUP(LEFT(Dulieu!$C$44,10)&amp;"9926_PRE_Y",Dulieu!$C$88:$Y$400,22,FALSE),0)</f>
        <v>0</v>
      </c>
      <c r="Y164" s="64">
        <f>+IFERROR(VLOOKUP(LEFT(Dulieu!$C$44,10)&amp;"9926",Dulieu!$C$88:$Y$400,23,FALSE),0)-IFERROR(VLOOKUP(LEFT(Dulieu!$C$44,10)&amp;"9926_PRE_Y",Dulieu!$C$88:$Y$400,23,FALSE),0)</f>
        <v>0</v>
      </c>
    </row>
    <row r="165" spans="1:25" s="63" customFormat="1" ht="12" x14ac:dyDescent="0.2">
      <c r="A165" s="60"/>
      <c r="B165" s="65" t="s">
        <v>1542</v>
      </c>
      <c r="C165" s="62">
        <f t="shared" si="35"/>
        <v>0</v>
      </c>
      <c r="D165" s="64">
        <f>+IFERROR(VLOOKUP(LEFT(Dulieu!$C$44,10)&amp;"NV_9926DL",Dulieu!$C$88:$Y$400,2,FALSE),0)</f>
        <v>0</v>
      </c>
      <c r="E165" s="64">
        <f>+IFERROR(VLOOKUP(LEFT(Dulieu!$C$44,10)&amp;"NV_9926DL",Dulieu!$C$88:$Y$400,3,FALSE),0)</f>
        <v>0</v>
      </c>
      <c r="F165" s="64">
        <f>+IFERROR(VLOOKUP(LEFT(Dulieu!$C$44,10)&amp;"NV_9926DL",Dulieu!$C$88:$Y$400,4,FALSE),0)</f>
        <v>0</v>
      </c>
      <c r="G165" s="64">
        <f>+IFERROR(VLOOKUP(LEFT(Dulieu!$C$44,10)&amp;"NV_9926DL",Dulieu!$C$88:$Y$400,5,FALSE),0)</f>
        <v>0</v>
      </c>
      <c r="H165" s="64">
        <f>+IFERROR(VLOOKUP(LEFT(Dulieu!$C$44,10)&amp;"NV_9926DL",Dulieu!$C$88:$Y$400,6,FALSE),0)</f>
        <v>0</v>
      </c>
      <c r="I165" s="64">
        <f>+IFERROR(VLOOKUP(LEFT(Dulieu!$C$44,10)&amp;"NV_9926DL",Dulieu!$C$88:$Y$400,7,FALSE),0)</f>
        <v>0</v>
      </c>
      <c r="J165" s="64">
        <f>+IFERROR(VLOOKUP(LEFT(Dulieu!$C$44,10)&amp;"NV_9926DL",Dulieu!$C$88:$Y$400,8,FALSE),0)</f>
        <v>0</v>
      </c>
      <c r="K165" s="64">
        <f>+IFERROR(VLOOKUP(LEFT(Dulieu!$C$44,10)&amp;"NV_9926DL",Dulieu!$C$88:$Y$400,9,FALSE),0)</f>
        <v>0</v>
      </c>
      <c r="L165" s="64">
        <f>+IFERROR(VLOOKUP(LEFT(Dulieu!$C$44,10)&amp;"NV_9926DL",Dulieu!$C$88:$Y$400,10,FALSE),0)</f>
        <v>0</v>
      </c>
      <c r="M165" s="64">
        <f>+IFERROR(VLOOKUP(LEFT(Dulieu!$C$44,10)&amp;"NV_9926DL",Dulieu!$C$88:$Y$400,11,FALSE),0)</f>
        <v>0</v>
      </c>
      <c r="N165" s="64">
        <f>+IFERROR(VLOOKUP(LEFT(Dulieu!$C$44,10)&amp;"NV_9926DL",Dulieu!$C$88:$Y$400,12,FALSE),0)</f>
        <v>0</v>
      </c>
      <c r="O165" s="64">
        <f>+IFERROR(VLOOKUP(LEFT(Dulieu!$C$44,10)&amp;"NV_9926DL",Dulieu!$C$88:$Y$400,13,FALSE),0)</f>
        <v>0</v>
      </c>
      <c r="P165" s="64">
        <f>+IFERROR(VLOOKUP(LEFT(Dulieu!$C$44,10)&amp;"NV_9926DL",Dulieu!$C$88:$Y$400,14,FALSE),0)</f>
        <v>0</v>
      </c>
      <c r="Q165" s="64">
        <f>+IFERROR(VLOOKUP(LEFT(Dulieu!$C$44,10)&amp;"NV_9926DL",Dulieu!$C$88:$Y$400,15,FALSE),0)</f>
        <v>0</v>
      </c>
      <c r="R165" s="64">
        <f>+IFERROR(VLOOKUP(LEFT(Dulieu!$C$44,10)&amp;"NV_9926DL",Dulieu!$C$88:$Y$400,16,FALSE),0)</f>
        <v>0</v>
      </c>
      <c r="S165" s="64">
        <f>+IFERROR(VLOOKUP(LEFT(Dulieu!$C$44,10)&amp;"NV_9926DL",Dulieu!$C$88:$Y$400,17,FALSE),0)</f>
        <v>0</v>
      </c>
      <c r="T165" s="64">
        <f>+IFERROR(VLOOKUP(LEFT(Dulieu!$C$44,10)&amp;"NV_9926DL",Dulieu!$C$88:$Y$400,18,FALSE),0)</f>
        <v>0</v>
      </c>
      <c r="U165" s="64">
        <f>+IFERROR(VLOOKUP(LEFT(Dulieu!$C$44,10)&amp;"NV_9926DL",Dulieu!$C$88:$Y$400,19,FALSE),0)</f>
        <v>0</v>
      </c>
      <c r="V165" s="64">
        <f>+IFERROR(VLOOKUP(LEFT(Dulieu!$C$44,10)&amp;"NV_9926DL",Dulieu!$C$88:$Y$400,20,FALSE),0)</f>
        <v>0</v>
      </c>
      <c r="W165" s="64">
        <f>+IFERROR(VLOOKUP(LEFT(Dulieu!$C$44,10)&amp;"NV_9926DL",Dulieu!$C$88:$Y$400,21,FALSE),0)</f>
        <v>0</v>
      </c>
      <c r="X165" s="64">
        <f>+IFERROR(VLOOKUP(LEFT(Dulieu!$C$44,10)&amp;"NV_9926DL",Dulieu!$C$88:$Y$400,22,FALSE),0)</f>
        <v>0</v>
      </c>
      <c r="Y165" s="64">
        <f>+IFERROR(VLOOKUP(LEFT(Dulieu!$C$44,10)&amp;"NV_9926DL",Dulieu!$C$88:$Y$400,23,FALSE),0)</f>
        <v>0</v>
      </c>
    </row>
    <row r="166" spans="1:25" s="63" customFormat="1" ht="12" x14ac:dyDescent="0.2">
      <c r="A166" s="60"/>
      <c r="B166" s="65" t="s">
        <v>1540</v>
      </c>
      <c r="C166" s="62">
        <f t="shared" si="35"/>
        <v>0</v>
      </c>
      <c r="D166" s="64">
        <f>+IFERROR(VLOOKUP(LEFT(Dulieu!$C$44,10)&amp;"NV_9926NN",Dulieu!$C$88:$Y$400,2,FALSE),0)</f>
        <v>0</v>
      </c>
      <c r="E166" s="64">
        <f>+IFERROR(VLOOKUP(LEFT(Dulieu!$C$44,10)&amp;"NV_9926NN",Dulieu!$C$88:$Y$400,3,FALSE),0)</f>
        <v>0</v>
      </c>
      <c r="F166" s="64">
        <f>+IFERROR(VLOOKUP(LEFT(Dulieu!$C$44,10)&amp;"NV_9926NN",Dulieu!$C$88:$Y$400,4,FALSE),0)</f>
        <v>0</v>
      </c>
      <c r="G166" s="64">
        <f>+IFERROR(VLOOKUP(LEFT(Dulieu!$C$44,10)&amp;"NV_9926NN",Dulieu!$C$88:$Y$400,5,FALSE),0)</f>
        <v>0</v>
      </c>
      <c r="H166" s="64">
        <f>+IFERROR(VLOOKUP(LEFT(Dulieu!$C$44,10)&amp;"NV_9926NN",Dulieu!$C$88:$Y$400,6,FALSE),0)</f>
        <v>0</v>
      </c>
      <c r="I166" s="64">
        <f>+IFERROR(VLOOKUP(LEFT(Dulieu!$C$44,10)&amp;"NV_9926NN",Dulieu!$C$88:$Y$400,7,FALSE),0)</f>
        <v>0</v>
      </c>
      <c r="J166" s="64">
        <f>+IFERROR(VLOOKUP(LEFT(Dulieu!$C$44,10)&amp;"NV_9926NN",Dulieu!$C$88:$Y$400,8,FALSE),0)</f>
        <v>0</v>
      </c>
      <c r="K166" s="64">
        <f>+IFERROR(VLOOKUP(LEFT(Dulieu!$C$44,10)&amp;"NV_9926NN",Dulieu!$C$88:$Y$400,9,FALSE),0)</f>
        <v>0</v>
      </c>
      <c r="L166" s="64">
        <f>+IFERROR(VLOOKUP(LEFT(Dulieu!$C$44,10)&amp;"NV_9926NN",Dulieu!$C$88:$Y$400,10,FALSE),0)</f>
        <v>0</v>
      </c>
      <c r="M166" s="64">
        <f>+IFERROR(VLOOKUP(LEFT(Dulieu!$C$44,10)&amp;"NV_9926NN",Dulieu!$C$88:$Y$400,11,FALSE),0)</f>
        <v>0</v>
      </c>
      <c r="N166" s="64">
        <f>+IFERROR(VLOOKUP(LEFT(Dulieu!$C$44,10)&amp;"NV_9926NN",Dulieu!$C$88:$Y$400,12,FALSE),0)</f>
        <v>0</v>
      </c>
      <c r="O166" s="64">
        <f>+IFERROR(VLOOKUP(LEFT(Dulieu!$C$44,10)&amp;"NV_9926NN",Dulieu!$C$88:$Y$400,13,FALSE),0)</f>
        <v>0</v>
      </c>
      <c r="P166" s="64">
        <f>+IFERROR(VLOOKUP(LEFT(Dulieu!$C$44,10)&amp;"NV_9926NN",Dulieu!$C$88:$Y$400,14,FALSE),0)</f>
        <v>0</v>
      </c>
      <c r="Q166" s="64">
        <f>+IFERROR(VLOOKUP(LEFT(Dulieu!$C$44,10)&amp;"NV_9926NN",Dulieu!$C$88:$Y$400,15,FALSE),0)</f>
        <v>0</v>
      </c>
      <c r="R166" s="64">
        <f>+IFERROR(VLOOKUP(LEFT(Dulieu!$C$44,10)&amp;"NV_9926NN",Dulieu!$C$88:$Y$400,16,FALSE),0)</f>
        <v>0</v>
      </c>
      <c r="S166" s="64">
        <f>+IFERROR(VLOOKUP(LEFT(Dulieu!$C$44,10)&amp;"NV_9926NN",Dulieu!$C$88:$Y$400,17,FALSE),0)</f>
        <v>0</v>
      </c>
      <c r="T166" s="64">
        <f>+IFERROR(VLOOKUP(LEFT(Dulieu!$C$44,10)&amp;"NV_9926NN",Dulieu!$C$88:$Y$400,18,FALSE),0)</f>
        <v>0</v>
      </c>
      <c r="U166" s="64">
        <f>+IFERROR(VLOOKUP(LEFT(Dulieu!$C$44,10)&amp;"NV_9926NN",Dulieu!$C$88:$Y$400,19,FALSE),0)</f>
        <v>0</v>
      </c>
      <c r="V166" s="64">
        <f>+IFERROR(VLOOKUP(LEFT(Dulieu!$C$44,10)&amp;"NV_9926NN",Dulieu!$C$88:$Y$400,20,FALSE),0)</f>
        <v>0</v>
      </c>
      <c r="W166" s="64">
        <f>+IFERROR(VLOOKUP(LEFT(Dulieu!$C$44,10)&amp;"NV_9926NN",Dulieu!$C$88:$Y$400,21,FALSE),0)</f>
        <v>0</v>
      </c>
      <c r="X166" s="64">
        <f>+IFERROR(VLOOKUP(LEFT(Dulieu!$C$44,10)&amp;"NV_9926NN",Dulieu!$C$88:$Y$400,22,FALSE),0)</f>
        <v>0</v>
      </c>
      <c r="Y166" s="64">
        <f>+IFERROR(VLOOKUP(LEFT(Dulieu!$C$44,10)&amp;"NV_9926NN",Dulieu!$C$88:$Y$400,23,FALSE),0)</f>
        <v>0</v>
      </c>
    </row>
    <row r="167" spans="1:25" s="63" customFormat="1" ht="12" x14ac:dyDescent="0.2">
      <c r="A167" s="60"/>
      <c r="B167" s="65" t="s">
        <v>1541</v>
      </c>
      <c r="C167" s="62">
        <f t="shared" si="35"/>
        <v>0</v>
      </c>
      <c r="D167" s="64">
        <f>+IFERROR(VLOOKUP(LEFT(Dulieu!$C$44,10)&amp;"NV_9926TB",Dulieu!$C$88:$Y$400,2,FALSE),0)</f>
        <v>0</v>
      </c>
      <c r="E167" s="64">
        <f>+IFERROR(VLOOKUP(LEFT(Dulieu!$C$44,10)&amp;"NV_9926TB",Dulieu!$C$88:$Y$400,3,FALSE),0)</f>
        <v>0</v>
      </c>
      <c r="F167" s="64">
        <f>+IFERROR(VLOOKUP(LEFT(Dulieu!$C$44,10)&amp;"NV_9926TB",Dulieu!$C$88:$Y$400,4,FALSE),0)</f>
        <v>0</v>
      </c>
      <c r="G167" s="64">
        <f>+IFERROR(VLOOKUP(LEFT(Dulieu!$C$44,10)&amp;"NV_9926TB",Dulieu!$C$88:$Y$400,5,FALSE),0)</f>
        <v>0</v>
      </c>
      <c r="H167" s="64">
        <f>+IFERROR(VLOOKUP(LEFT(Dulieu!$C$44,10)&amp;"NV_9926TB",Dulieu!$C$88:$Y$400,6,FALSE),0)</f>
        <v>0</v>
      </c>
      <c r="I167" s="64">
        <f>+IFERROR(VLOOKUP(LEFT(Dulieu!$C$44,10)&amp;"NV_9926TB",Dulieu!$C$88:$Y$400,7,FALSE),0)</f>
        <v>0</v>
      </c>
      <c r="J167" s="64">
        <f>+IFERROR(VLOOKUP(LEFT(Dulieu!$C$44,10)&amp;"NV_9926TB",Dulieu!$C$88:$Y$400,8,FALSE),0)</f>
        <v>0</v>
      </c>
      <c r="K167" s="64">
        <f>+IFERROR(VLOOKUP(LEFT(Dulieu!$C$44,10)&amp;"NV_9926TB",Dulieu!$C$88:$Y$400,9,FALSE),0)</f>
        <v>0</v>
      </c>
      <c r="L167" s="64">
        <f>+IFERROR(VLOOKUP(LEFT(Dulieu!$C$44,10)&amp;"NV_9926TB",Dulieu!$C$88:$Y$400,10,FALSE),0)</f>
        <v>0</v>
      </c>
      <c r="M167" s="64">
        <f>+IFERROR(VLOOKUP(LEFT(Dulieu!$C$44,10)&amp;"NV_9926TB",Dulieu!$C$88:$Y$400,11,FALSE),0)</f>
        <v>0</v>
      </c>
      <c r="N167" s="64">
        <f>+IFERROR(VLOOKUP(LEFT(Dulieu!$C$44,10)&amp;"NV_9926TB",Dulieu!$C$88:$Y$400,12,FALSE),0)</f>
        <v>0</v>
      </c>
      <c r="O167" s="64">
        <f>+IFERROR(VLOOKUP(LEFT(Dulieu!$C$44,10)&amp;"NV_9926TB",Dulieu!$C$88:$Y$400,13,FALSE),0)</f>
        <v>0</v>
      </c>
      <c r="P167" s="64">
        <f>+IFERROR(VLOOKUP(LEFT(Dulieu!$C$44,10)&amp;"NV_9926TB",Dulieu!$C$88:$Y$400,14,FALSE),0)</f>
        <v>0</v>
      </c>
      <c r="Q167" s="64">
        <f>+IFERROR(VLOOKUP(LEFT(Dulieu!$C$44,10)&amp;"NV_9926TB",Dulieu!$C$88:$Y$400,15,FALSE),0)</f>
        <v>0</v>
      </c>
      <c r="R167" s="64">
        <f>+IFERROR(VLOOKUP(LEFT(Dulieu!$C$44,10)&amp;"NV_9926TB",Dulieu!$C$88:$Y$400,16,FALSE),0)</f>
        <v>0</v>
      </c>
      <c r="S167" s="64">
        <f>+IFERROR(VLOOKUP(LEFT(Dulieu!$C$44,10)&amp;"NV_9926TB",Dulieu!$C$88:$Y$400,17,FALSE),0)</f>
        <v>0</v>
      </c>
      <c r="T167" s="64">
        <f>+IFERROR(VLOOKUP(LEFT(Dulieu!$C$44,10)&amp;"NV_9926TB",Dulieu!$C$88:$Y$400,18,FALSE),0)</f>
        <v>0</v>
      </c>
      <c r="U167" s="64">
        <f>+IFERROR(VLOOKUP(LEFT(Dulieu!$C$44,10)&amp;"NV_9926TB",Dulieu!$C$88:$Y$400,19,FALSE),0)</f>
        <v>0</v>
      </c>
      <c r="V167" s="64">
        <f>+IFERROR(VLOOKUP(LEFT(Dulieu!$C$44,10)&amp;"NV_9926TB",Dulieu!$C$88:$Y$400,20,FALSE),0)</f>
        <v>0</v>
      </c>
      <c r="W167" s="64">
        <f>+IFERROR(VLOOKUP(LEFT(Dulieu!$C$44,10)&amp;"NV_9926TB",Dulieu!$C$88:$Y$400,21,FALSE),0)</f>
        <v>0</v>
      </c>
      <c r="X167" s="64">
        <f>+IFERROR(VLOOKUP(LEFT(Dulieu!$C$44,10)&amp;"NV_9926TB",Dulieu!$C$88:$Y$400,22,FALSE),0)</f>
        <v>0</v>
      </c>
      <c r="Y167" s="64">
        <f>+IFERROR(VLOOKUP(LEFT(Dulieu!$C$44,10)&amp;"NV_9926TB",Dulieu!$C$88:$Y$400,23,FALSE),0)</f>
        <v>0</v>
      </c>
    </row>
    <row r="168" spans="1:25" s="37" customFormat="1" ht="12" x14ac:dyDescent="0.2">
      <c r="A168" s="34">
        <v>22</v>
      </c>
      <c r="B168" s="35" t="s">
        <v>1546</v>
      </c>
      <c r="C168" s="36">
        <f t="shared" ref="C168:C170" si="36">SUM(D168:Y168)</f>
        <v>0</v>
      </c>
      <c r="D168" s="36">
        <f>+IFERROR(VLOOKUP(LEFT(Dulieu!$C$44,10)&amp;"0243",Dulieu!$C$88:$N$400,2,FALSE),0)</f>
        <v>0</v>
      </c>
      <c r="E168" s="36">
        <f>+IFERROR(VLOOKUP(LEFT(Dulieu!$C$44,10)&amp;"0243",Dulieu!$C$88:$N$400,3,FALSE),0)</f>
        <v>0</v>
      </c>
      <c r="F168" s="36">
        <f>+IFERROR(VLOOKUP(LEFT(Dulieu!$C$44,10)&amp;"0243",Dulieu!$C$88:$N$400,4,FALSE),0)</f>
        <v>0</v>
      </c>
      <c r="G168" s="36">
        <f>+IFERROR(VLOOKUP(LEFT(Dulieu!$C$44,10)&amp;"0243",Dulieu!$C$88:$N$400,5,FALSE),0)</f>
        <v>0</v>
      </c>
      <c r="H168" s="36">
        <f>+IFERROR(VLOOKUP(LEFT(Dulieu!$C$44,10)&amp;"0243",Dulieu!$C$88:$N$400,6,FALSE),0)</f>
        <v>0</v>
      </c>
      <c r="I168" s="36">
        <f>+IFERROR(VLOOKUP(LEFT(Dulieu!$C$44,10)&amp;"0243",Dulieu!$C$88:$N$400,7,FALSE),0)</f>
        <v>0</v>
      </c>
      <c r="J168" s="36">
        <f>+IFERROR(VLOOKUP(LEFT(Dulieu!$C$44,10)&amp;"0243",Dulieu!$C$88:$N$400,8,FALSE),0)</f>
        <v>0</v>
      </c>
      <c r="K168" s="36">
        <f>+IFERROR(VLOOKUP(LEFT(Dulieu!$C$44,10)&amp;"0243",Dulieu!$C$88:$N$400,9,FALSE),0)</f>
        <v>0</v>
      </c>
      <c r="L168" s="36">
        <f>+IFERROR(VLOOKUP(LEFT(Dulieu!$C$44,10)&amp;"0243",Dulieu!$C$88:$N$400,10,FALSE),0)</f>
        <v>0</v>
      </c>
      <c r="M168" s="36">
        <f>+IFERROR(VLOOKUP(LEFT(Dulieu!$C$44,10)&amp;"0243",Dulieu!$C$88:$N$400,11,FALSE),0)</f>
        <v>0</v>
      </c>
      <c r="N168" s="36">
        <f>+IFERROR(VLOOKUP(LEFT(Dulieu!$C$44,10)&amp;"0243",Dulieu!$C$88:$N$400,12,FALSE),0)</f>
        <v>0</v>
      </c>
      <c r="O168" s="36">
        <f>+IFERROR(VLOOKUP(LEFT(Dulieu!$C$44,10)&amp;"0243",Dulieu!$C$88:$Y$400,13,FALSE),0)</f>
        <v>0</v>
      </c>
      <c r="P168" s="36">
        <f>+IFERROR(VLOOKUP(LEFT(Dulieu!$C$44,10)&amp;"0243",Dulieu!$C$88:$Y$400,14,FALSE),0)</f>
        <v>0</v>
      </c>
      <c r="Q168" s="36">
        <f>+IFERROR(VLOOKUP(LEFT(Dulieu!$C$44,10)&amp;"0243",Dulieu!$C$88:$Y$400,15,FALSE),0)</f>
        <v>0</v>
      </c>
      <c r="R168" s="36">
        <f>+IFERROR(VLOOKUP(LEFT(Dulieu!$C$44,10)&amp;"0243",Dulieu!$C$88:$Y$400,16,FALSE),0)</f>
        <v>0</v>
      </c>
      <c r="S168" s="36">
        <f>+IFERROR(VLOOKUP(LEFT(Dulieu!$C$44,10)&amp;"0243",Dulieu!$C$88:$Y$400,17,FALSE),0)</f>
        <v>0</v>
      </c>
      <c r="T168" s="36">
        <f>+IFERROR(VLOOKUP(LEFT(Dulieu!$C$44,10)&amp;"0243",Dulieu!$C$88:$Y$400,18,FALSE),0)</f>
        <v>0</v>
      </c>
      <c r="U168" s="36">
        <f>+IFERROR(VLOOKUP(LEFT(Dulieu!$C$44,10)&amp;"0243",Dulieu!$C$88:$Y$400,19,FALSE),0)</f>
        <v>0</v>
      </c>
      <c r="V168" s="36">
        <f>+IFERROR(VLOOKUP(LEFT(Dulieu!$C$44,10)&amp;"0243",Dulieu!$C$88:$Y$400,20,FALSE),0)</f>
        <v>0</v>
      </c>
      <c r="W168" s="36">
        <f>+IFERROR(VLOOKUP(LEFT(Dulieu!$C$44,10)&amp;"0243",Dulieu!$C$88:$Y$400,21,FALSE),0)</f>
        <v>0</v>
      </c>
      <c r="X168" s="36">
        <f>+IFERROR(VLOOKUP(LEFT(Dulieu!$C$44,10)&amp;"0243",Dulieu!$C$88:$Y$400,22,FALSE),0)</f>
        <v>0</v>
      </c>
      <c r="Y168" s="36">
        <f>+IFERROR(VLOOKUP(LEFT(Dulieu!$C$44,10)&amp;"0243",Dulieu!$C$88:$Y$400,23,FALSE),0)</f>
        <v>0</v>
      </c>
    </row>
    <row r="169" spans="1:25" s="41" customFormat="1" ht="12" x14ac:dyDescent="0.2">
      <c r="A169" s="38"/>
      <c r="B169" s="39" t="s">
        <v>838</v>
      </c>
      <c r="C169" s="40">
        <f t="shared" si="36"/>
        <v>0</v>
      </c>
      <c r="D169" s="40">
        <f>+IFERROR(VLOOKUP(LEFT(Dulieu!$C$44,10)&amp;"0243",Dulieu!$C$88:$N$400,2,FALSE),0)-IFERROR(VLOOKUP(LEFT(Dulieu!$C$44,10)&amp;"0243_PRE_M",Dulieu!$C$88:$N$400,2,FALSE),0)</f>
        <v>0</v>
      </c>
      <c r="E169" s="40">
        <f>+IFERROR(VLOOKUP(LEFT(Dulieu!$C$44,10)&amp;"0243",Dulieu!$C$88:$N$400,3,FALSE),0)-IFERROR(VLOOKUP(LEFT(Dulieu!$C$44,10)&amp;"0243_PRE_M",Dulieu!$C$88:$N$400,3,FALSE),0)</f>
        <v>0</v>
      </c>
      <c r="F169" s="40">
        <f>+IFERROR(VLOOKUP(LEFT(Dulieu!$C$44,10)&amp;"0243",Dulieu!$C$88:$N$400,4,FALSE),0)-IFERROR(VLOOKUP(LEFT(Dulieu!$C$44,10)&amp;"0243_PRE_M",Dulieu!$C$88:$N$400,4,FALSE),0)</f>
        <v>0</v>
      </c>
      <c r="G169" s="40">
        <f>+IFERROR(VLOOKUP(LEFT(Dulieu!$C$44,10)&amp;"0243",Dulieu!$C$88:$N$400,5,FALSE),0)-IFERROR(VLOOKUP(LEFT(Dulieu!$C$44,10)&amp;"0243_PRE_M",Dulieu!$C$88:$N$400,5,FALSE),0)</f>
        <v>0</v>
      </c>
      <c r="H169" s="40">
        <f>+IFERROR(VLOOKUP(LEFT(Dulieu!$C$44,10)&amp;"0243",Dulieu!$C$88:$N$400,6,FALSE),0)-IFERROR(VLOOKUP(LEFT(Dulieu!$C$44,10)&amp;"0243_PRE_M",Dulieu!$C$88:$N$400,6,FALSE),0)</f>
        <v>0</v>
      </c>
      <c r="I169" s="40">
        <f>+IFERROR(VLOOKUP(LEFT(Dulieu!$C$44,10)&amp;"0243",Dulieu!$C$88:$N$400,7,FALSE),0)-IFERROR(VLOOKUP(LEFT(Dulieu!$C$44,10)&amp;"0243_PRE_M",Dulieu!$C$88:$N$400,7,FALSE),0)</f>
        <v>0</v>
      </c>
      <c r="J169" s="40">
        <f>+IFERROR(VLOOKUP(LEFT(Dulieu!$C$44,10)&amp;"0243",Dulieu!$C$88:$N$400,8,FALSE),0)-IFERROR(VLOOKUP(LEFT(Dulieu!$C$44,10)&amp;"0243_PRE_M",Dulieu!$C$88:$N$400,8,FALSE),0)</f>
        <v>0</v>
      </c>
      <c r="K169" s="40">
        <f>+IFERROR(VLOOKUP(LEFT(Dulieu!$C$44,10)&amp;"0243",Dulieu!$C$88:$N$400,9,FALSE),0)-IFERROR(VLOOKUP(LEFT(Dulieu!$C$44,10)&amp;"0243_PRE_M",Dulieu!$C$88:$N$400,9,FALSE),0)</f>
        <v>0</v>
      </c>
      <c r="L169" s="40">
        <f>+IFERROR(VLOOKUP(LEFT(Dulieu!$C$44,10)&amp;"0243",Dulieu!$C$88:$N$400,10,FALSE),0)-IFERROR(VLOOKUP(LEFT(Dulieu!$C$44,10)&amp;"0243_PRE_M",Dulieu!$C$88:$N$400,10,FALSE),0)</f>
        <v>0</v>
      </c>
      <c r="M169" s="40">
        <f>+IFERROR(VLOOKUP(LEFT(Dulieu!$C$44,10)&amp;"0243",Dulieu!$C$88:$N$400,11,FALSE),0)-IFERROR(VLOOKUP(LEFT(Dulieu!$C$44,10)&amp;"0243_PRE_M",Dulieu!$C$88:$N$400,11,FALSE),0)</f>
        <v>0</v>
      </c>
      <c r="N169" s="40">
        <f>+IFERROR(VLOOKUP(LEFT(Dulieu!$C$44,10)&amp;"0243",Dulieu!$C$88:$N$400,12,FALSE),0)-IFERROR(VLOOKUP(LEFT(Dulieu!$C$44,10)&amp;"0243_PRE_M",Dulieu!$C$88:$N$400,12,FALSE),0)</f>
        <v>0</v>
      </c>
      <c r="O169" s="40">
        <f>+IFERROR(VLOOKUP(LEFT(Dulieu!$C$44,10)&amp;"0243",Dulieu!$C$88:$Y$400,13,FALSE),0)-IFERROR(VLOOKUP(LEFT(Dulieu!$C$44,10)&amp;"0243_PRE_M",Dulieu!$C$88:$Y$400,13,FALSE),0)</f>
        <v>0</v>
      </c>
      <c r="P169" s="40">
        <f>+IFERROR(VLOOKUP(LEFT(Dulieu!$C$44,10)&amp;"0243",Dulieu!$C$88:$Y$400,14,FALSE),0)-IFERROR(VLOOKUP(LEFT(Dulieu!$C$44,10)&amp;"0243_PRE_M",Dulieu!$C$88:$Y$400,14,FALSE),0)</f>
        <v>0</v>
      </c>
      <c r="Q169" s="40">
        <f>+IFERROR(VLOOKUP(LEFT(Dulieu!$C$44,10)&amp;"0243",Dulieu!$C$88:$Y$400,15,FALSE),0)-IFERROR(VLOOKUP(LEFT(Dulieu!$C$44,10)&amp;"0243_PRE_M",Dulieu!$C$88:$Y$400,15,FALSE),0)</f>
        <v>0</v>
      </c>
      <c r="R169" s="40">
        <f>+IFERROR(VLOOKUP(LEFT(Dulieu!$C$44,10)&amp;"0243",Dulieu!$C$88:$Y$400,16,FALSE),0)-IFERROR(VLOOKUP(LEFT(Dulieu!$C$44,10)&amp;"0243_PRE_M",Dulieu!$C$88:$Y$400,16,FALSE),0)</f>
        <v>0</v>
      </c>
      <c r="S169" s="40">
        <f>+IFERROR(VLOOKUP(LEFT(Dulieu!$C$44,10)&amp;"0243",Dulieu!$C$88:$Y$400,17,FALSE),0)-IFERROR(VLOOKUP(LEFT(Dulieu!$C$44,10)&amp;"0243_PRE_M",Dulieu!$C$88:$Y$400,17,FALSE),0)</f>
        <v>0</v>
      </c>
      <c r="T169" s="40">
        <f>+IFERROR(VLOOKUP(LEFT(Dulieu!$C$44,10)&amp;"0243",Dulieu!$C$88:$Y$400,18,FALSE),0)-IFERROR(VLOOKUP(LEFT(Dulieu!$C$44,10)&amp;"0243_PRE_M",Dulieu!$C$88:$Y$400,18,FALSE),0)</f>
        <v>0</v>
      </c>
      <c r="U169" s="40">
        <f>+IFERROR(VLOOKUP(LEFT(Dulieu!$C$44,10)&amp;"0243",Dulieu!$C$88:$Y$400,19,FALSE),0)-IFERROR(VLOOKUP(LEFT(Dulieu!$C$44,10)&amp;"0243_PRE_M",Dulieu!$C$88:$Y$400,19,FALSE),0)</f>
        <v>0</v>
      </c>
      <c r="V169" s="40">
        <f>+IFERROR(VLOOKUP(LEFT(Dulieu!$C$44,10)&amp;"0243",Dulieu!$C$88:$Y$400,20,FALSE),0)-IFERROR(VLOOKUP(LEFT(Dulieu!$C$44,10)&amp;"0243_PRE_M",Dulieu!$C$88:$Y$400,20,FALSE),0)</f>
        <v>0</v>
      </c>
      <c r="W169" s="40">
        <f>+IFERROR(VLOOKUP(LEFT(Dulieu!$C$44,10)&amp;"0243",Dulieu!$C$88:$Y$400,21,FALSE),0)-IFERROR(VLOOKUP(LEFT(Dulieu!$C$44,10)&amp;"0243_PRE_M",Dulieu!$C$88:$Y$400,21,FALSE),0)</f>
        <v>0</v>
      </c>
      <c r="X169" s="40">
        <f>+IFERROR(VLOOKUP(LEFT(Dulieu!$C$44,10)&amp;"0243",Dulieu!$C$88:$Y$400,22,FALSE),0)-IFERROR(VLOOKUP(LEFT(Dulieu!$C$44,10)&amp;"0243_PRE_M",Dulieu!$C$88:$Y$400,22,FALSE),0)</f>
        <v>0</v>
      </c>
      <c r="Y169" s="40">
        <f>+IFERROR(VLOOKUP(LEFT(Dulieu!$C$44,10)&amp;"0243",Dulieu!$C$88:$Y$400,23,FALSE),0)-IFERROR(VLOOKUP(LEFT(Dulieu!$C$44,10)&amp;"0243_PRE_M",Dulieu!$C$88:$Y$400,23,FALSE),0)</f>
        <v>0</v>
      </c>
    </row>
    <row r="170" spans="1:25" s="41" customFormat="1" ht="12" x14ac:dyDescent="0.2">
      <c r="A170" s="38"/>
      <c r="B170" s="39" t="s">
        <v>839</v>
      </c>
      <c r="C170" s="40">
        <f t="shared" si="36"/>
        <v>0</v>
      </c>
      <c r="D170" s="40">
        <f>+IFERROR(VLOOKUP(LEFT(Dulieu!$C$44,10)&amp;"0243",Dulieu!$C$88:$N$400,2,FALSE),0)-IFERROR(VLOOKUP(LEFT(Dulieu!$C$44,10)&amp;"0243_PRE_Y",Dulieu!$C$88:$N$400,2,FALSE),0)</f>
        <v>0</v>
      </c>
      <c r="E170" s="40">
        <f>+IFERROR(VLOOKUP(LEFT(Dulieu!$C$44,10)&amp;"0243",Dulieu!$C$88:$N$400,3,FALSE),0)-IFERROR(VLOOKUP(LEFT(Dulieu!$C$44,10)&amp;"0243_PRE_Y",Dulieu!$C$88:$N$400,3,FALSE),0)</f>
        <v>0</v>
      </c>
      <c r="F170" s="40">
        <f>+IFERROR(VLOOKUP(LEFT(Dulieu!$C$44,10)&amp;"0243",Dulieu!$C$88:$N$400,4,FALSE),0)-IFERROR(VLOOKUP(LEFT(Dulieu!$C$44,10)&amp;"0243_PRE_Y",Dulieu!$C$88:$N$400,4,FALSE),0)</f>
        <v>0</v>
      </c>
      <c r="G170" s="40">
        <f>+IFERROR(VLOOKUP(LEFT(Dulieu!$C$44,10)&amp;"0243",Dulieu!$C$88:$N$400,5,FALSE),0)-IFERROR(VLOOKUP(LEFT(Dulieu!$C$44,10)&amp;"0243_PRE_Y",Dulieu!$C$88:$N$400,5,FALSE),0)</f>
        <v>0</v>
      </c>
      <c r="H170" s="40">
        <f>+IFERROR(VLOOKUP(LEFT(Dulieu!$C$44,10)&amp;"0243",Dulieu!$C$88:$N$400,6,FALSE),0)-IFERROR(VLOOKUP(LEFT(Dulieu!$C$44,10)&amp;"0243_PRE_Y",Dulieu!$C$88:$N$400,6,FALSE),0)</f>
        <v>0</v>
      </c>
      <c r="I170" s="40">
        <f>+IFERROR(VLOOKUP(LEFT(Dulieu!$C$44,10)&amp;"0243",Dulieu!$C$88:$N$400,7,FALSE),0)-IFERROR(VLOOKUP(LEFT(Dulieu!$C$44,10)&amp;"0243_PRE_Y",Dulieu!$C$88:$N$400,7,FALSE),0)</f>
        <v>0</v>
      </c>
      <c r="J170" s="40">
        <f>+IFERROR(VLOOKUP(LEFT(Dulieu!$C$44,10)&amp;"0243",Dulieu!$C$88:$N$400,8,FALSE),0)-IFERROR(VLOOKUP(LEFT(Dulieu!$C$44,10)&amp;"0243_PRE_Y",Dulieu!$C$88:$N$400,8,FALSE),0)</f>
        <v>0</v>
      </c>
      <c r="K170" s="40">
        <f>+IFERROR(VLOOKUP(LEFT(Dulieu!$C$44,10)&amp;"0243",Dulieu!$C$88:$N$400,9,FALSE),0)-IFERROR(VLOOKUP(LEFT(Dulieu!$C$44,10)&amp;"0243_PRE_Y",Dulieu!$C$88:$N$400,9,FALSE),0)</f>
        <v>0</v>
      </c>
      <c r="L170" s="40">
        <f>+IFERROR(VLOOKUP(LEFT(Dulieu!$C$44,10)&amp;"0243",Dulieu!$C$88:$N$400,10,FALSE),0)-IFERROR(VLOOKUP(LEFT(Dulieu!$C$44,10)&amp;"0243_PRE_Y",Dulieu!$C$88:$N$400,10,FALSE),0)</f>
        <v>0</v>
      </c>
      <c r="M170" s="40">
        <f>+IFERROR(VLOOKUP(LEFT(Dulieu!$C$44,10)&amp;"0243",Dulieu!$C$88:$N$400,11,FALSE),0)-IFERROR(VLOOKUP(LEFT(Dulieu!$C$44,10)&amp;"0243_PRE_Y",Dulieu!$C$88:$N$400,11,FALSE),0)</f>
        <v>0</v>
      </c>
      <c r="N170" s="40">
        <f>+IFERROR(VLOOKUP(LEFT(Dulieu!$C$44,10)&amp;"0243",Dulieu!$C$88:$N$400,12,FALSE),0)-IFERROR(VLOOKUP(LEFT(Dulieu!$C$44,10)&amp;"0243_PRE_Y",Dulieu!$C$88:$N$400,12,FALSE),0)</f>
        <v>0</v>
      </c>
      <c r="O170" s="40">
        <f>+IFERROR(VLOOKUP(LEFT(Dulieu!$C$44,10)&amp;"0243",Dulieu!$C$88:$Y$400,13,FALSE),0)-IFERROR(VLOOKUP(LEFT(Dulieu!$C$44,10)&amp;"0243_PRE_Y",Dulieu!$C$88:$Y$400,13,FALSE),0)</f>
        <v>0</v>
      </c>
      <c r="P170" s="40">
        <f>+IFERROR(VLOOKUP(LEFT(Dulieu!$C$44,10)&amp;"0243",Dulieu!$C$88:$Y$400,14,FALSE),0)-IFERROR(VLOOKUP(LEFT(Dulieu!$C$44,10)&amp;"0243_PRE_Y",Dulieu!$C$88:$Y$400,14,FALSE),0)</f>
        <v>0</v>
      </c>
      <c r="Q170" s="40">
        <f>+IFERROR(VLOOKUP(LEFT(Dulieu!$C$44,10)&amp;"0243",Dulieu!$C$88:$Y$400,15,FALSE),0)-IFERROR(VLOOKUP(LEFT(Dulieu!$C$44,10)&amp;"0243_PRE_Y",Dulieu!$C$88:$Y$400,15,FALSE),0)</f>
        <v>0</v>
      </c>
      <c r="R170" s="40">
        <f>+IFERROR(VLOOKUP(LEFT(Dulieu!$C$44,10)&amp;"0243",Dulieu!$C$88:$Y$400,16,FALSE),0)-IFERROR(VLOOKUP(LEFT(Dulieu!$C$44,10)&amp;"0243_PRE_Y",Dulieu!$C$88:$Y$400,16,FALSE),0)</f>
        <v>0</v>
      </c>
      <c r="S170" s="40">
        <f>+IFERROR(VLOOKUP(LEFT(Dulieu!$C$44,10)&amp;"0243",Dulieu!$C$88:$Y$400,17,FALSE),0)-IFERROR(VLOOKUP(LEFT(Dulieu!$C$44,10)&amp;"0243_PRE_Y",Dulieu!$C$88:$Y$400,17,FALSE),0)</f>
        <v>0</v>
      </c>
      <c r="T170" s="40">
        <f>+IFERROR(VLOOKUP(LEFT(Dulieu!$C$44,10)&amp;"0243",Dulieu!$C$88:$Y$400,18,FALSE),0)-IFERROR(VLOOKUP(LEFT(Dulieu!$C$44,10)&amp;"0243_PRE_Y",Dulieu!$C$88:$Y$400,18,FALSE),0)</f>
        <v>0</v>
      </c>
      <c r="U170" s="40">
        <f>+IFERROR(VLOOKUP(LEFT(Dulieu!$C$44,10)&amp;"0243",Dulieu!$C$88:$Y$400,19,FALSE),0)-IFERROR(VLOOKUP(LEFT(Dulieu!$C$44,10)&amp;"0243_PRE_Y",Dulieu!$C$88:$Y$400,19,FALSE),0)</f>
        <v>0</v>
      </c>
      <c r="V170" s="40">
        <f>+IFERROR(VLOOKUP(LEFT(Dulieu!$C$44,10)&amp;"0243",Dulieu!$C$88:$Y$400,20,FALSE),0)-IFERROR(VLOOKUP(LEFT(Dulieu!$C$44,10)&amp;"0243_PRE_Y",Dulieu!$C$88:$Y$400,20,FALSE),0)</f>
        <v>0</v>
      </c>
      <c r="W170" s="40">
        <f>+IFERROR(VLOOKUP(LEFT(Dulieu!$C$44,10)&amp;"0243",Dulieu!$C$88:$Y$400,21,FALSE),0)-IFERROR(VLOOKUP(LEFT(Dulieu!$C$44,10)&amp;"0243_PRE_Y",Dulieu!$C$88:$Y$400,21,FALSE),0)</f>
        <v>0</v>
      </c>
      <c r="X170" s="40">
        <f>+IFERROR(VLOOKUP(LEFT(Dulieu!$C$44,10)&amp;"0243",Dulieu!$C$88:$Y$400,22,FALSE),0)-IFERROR(VLOOKUP(LEFT(Dulieu!$C$44,10)&amp;"0243_PRE_Y",Dulieu!$C$88:$Y$400,22,FALSE),0)</f>
        <v>0</v>
      </c>
      <c r="Y170" s="40">
        <f>+IFERROR(VLOOKUP(LEFT(Dulieu!$C$44,10)&amp;"0243",Dulieu!$C$88:$Y$400,23,FALSE),0)-IFERROR(VLOOKUP(LEFT(Dulieu!$C$44,10)&amp;"0243_PRE_Y",Dulieu!$C$88:$Y$400,23,FALSE),0)</f>
        <v>0</v>
      </c>
    </row>
    <row r="171" spans="1:25" s="59" customFormat="1" ht="12" x14ac:dyDescent="0.2">
      <c r="A171" s="56" t="s">
        <v>68</v>
      </c>
      <c r="B171" s="57" t="s">
        <v>69</v>
      </c>
      <c r="C171" s="58">
        <f t="shared" si="35"/>
        <v>0</v>
      </c>
      <c r="D171" s="58">
        <f>+Dulieu!D82</f>
        <v>0</v>
      </c>
      <c r="E171" s="58">
        <f>+Dulieu!E82</f>
        <v>0</v>
      </c>
      <c r="F171" s="58">
        <f>+Dulieu!F82</f>
        <v>0</v>
      </c>
      <c r="G171" s="58">
        <f>+Dulieu!G82</f>
        <v>0</v>
      </c>
      <c r="H171" s="58">
        <f>+Dulieu!H82</f>
        <v>0</v>
      </c>
      <c r="I171" s="58">
        <f>+Dulieu!I82</f>
        <v>0</v>
      </c>
      <c r="J171" s="58">
        <f>+Dulieu!J82</f>
        <v>0</v>
      </c>
      <c r="K171" s="58">
        <f>+Dulieu!K82</f>
        <v>0</v>
      </c>
      <c r="L171" s="58">
        <f>+Dulieu!L82</f>
        <v>0</v>
      </c>
      <c r="M171" s="58">
        <f>+Dulieu!M82</f>
        <v>0</v>
      </c>
      <c r="N171" s="58">
        <f>+Dulieu!N82</f>
        <v>0</v>
      </c>
      <c r="O171" s="58">
        <f>+Dulieu!O82</f>
        <v>0</v>
      </c>
      <c r="P171" s="58">
        <f>+Dulieu!P82</f>
        <v>0</v>
      </c>
      <c r="Q171" s="58">
        <f>+Dulieu!Q82</f>
        <v>0</v>
      </c>
      <c r="R171" s="58">
        <f>+Dulieu!R82</f>
        <v>0</v>
      </c>
      <c r="S171" s="58">
        <f>+Dulieu!S82</f>
        <v>0</v>
      </c>
      <c r="T171" s="58">
        <f>+Dulieu!T82</f>
        <v>0</v>
      </c>
      <c r="U171" s="58">
        <f>+Dulieu!U82</f>
        <v>0</v>
      </c>
      <c r="V171" s="58">
        <f>+Dulieu!V82</f>
        <v>0</v>
      </c>
      <c r="W171" s="58">
        <f>+Dulieu!W82</f>
        <v>0</v>
      </c>
      <c r="X171" s="58">
        <f>+Dulieu!X82</f>
        <v>0</v>
      </c>
      <c r="Y171" s="58">
        <f>+Dulieu!Y82</f>
        <v>0</v>
      </c>
    </row>
    <row r="172" spans="1:25" s="37" customFormat="1" ht="12" x14ac:dyDescent="0.2">
      <c r="A172" s="34" t="s">
        <v>70</v>
      </c>
      <c r="B172" s="35" t="s">
        <v>71</v>
      </c>
      <c r="C172" s="36" t="e">
        <f t="shared" si="35"/>
        <v>#VALUE!</v>
      </c>
      <c r="D172" s="36" t="e">
        <f>+Dulieu!D83</f>
        <v>#VALUE!</v>
      </c>
      <c r="E172" s="36" t="e">
        <f>+Dulieu!E83</f>
        <v>#VALUE!</v>
      </c>
      <c r="F172" s="36" t="e">
        <f>+Dulieu!F83</f>
        <v>#VALUE!</v>
      </c>
      <c r="G172" s="36" t="e">
        <f>+Dulieu!G83</f>
        <v>#VALUE!</v>
      </c>
      <c r="H172" s="36" t="e">
        <f>+Dulieu!H83</f>
        <v>#VALUE!</v>
      </c>
      <c r="I172" s="36" t="e">
        <f>+Dulieu!I83</f>
        <v>#VALUE!</v>
      </c>
      <c r="J172" s="36" t="e">
        <f>+Dulieu!J83</f>
        <v>#VALUE!</v>
      </c>
      <c r="K172" s="36" t="e">
        <f>+Dulieu!K83</f>
        <v>#VALUE!</v>
      </c>
      <c r="L172" s="36" t="e">
        <f>+Dulieu!L83</f>
        <v>#VALUE!</v>
      </c>
      <c r="M172" s="36" t="e">
        <f>+Dulieu!M83</f>
        <v>#VALUE!</v>
      </c>
      <c r="N172" s="36" t="e">
        <f>+Dulieu!N83</f>
        <v>#VALUE!</v>
      </c>
      <c r="O172" s="36" t="e">
        <f>+Dulieu!O83</f>
        <v>#VALUE!</v>
      </c>
      <c r="P172" s="36" t="e">
        <f>+Dulieu!P83</f>
        <v>#VALUE!</v>
      </c>
      <c r="Q172" s="36" t="e">
        <f>+Dulieu!Q83</f>
        <v>#VALUE!</v>
      </c>
      <c r="R172" s="36" t="e">
        <f>+Dulieu!R83</f>
        <v>#VALUE!</v>
      </c>
      <c r="S172" s="36" t="e">
        <f>+Dulieu!S83</f>
        <v>#VALUE!</v>
      </c>
      <c r="T172" s="36" t="e">
        <f>+Dulieu!T83</f>
        <v>#VALUE!</v>
      </c>
      <c r="U172" s="36" t="e">
        <f>+Dulieu!U83</f>
        <v>#VALUE!</v>
      </c>
      <c r="V172" s="36" t="e">
        <f>+Dulieu!V83</f>
        <v>#VALUE!</v>
      </c>
      <c r="W172" s="36" t="e">
        <f>+Dulieu!W83</f>
        <v>#VALUE!</v>
      </c>
      <c r="X172" s="36" t="e">
        <f>+Dulieu!X83</f>
        <v>#VALUE!</v>
      </c>
      <c r="Y172" s="36" t="e">
        <f>+Dulieu!Y83</f>
        <v>#VALUE!</v>
      </c>
    </row>
    <row r="173" spans="1:25" s="41" customFormat="1" ht="12" x14ac:dyDescent="0.2">
      <c r="A173" s="38"/>
      <c r="B173" s="39" t="s">
        <v>838</v>
      </c>
      <c r="C173" s="40" t="e">
        <f t="shared" si="35"/>
        <v>#VALUE!</v>
      </c>
      <c r="D173" s="40" t="e">
        <f>+D176+D179</f>
        <v>#VALUE!</v>
      </c>
      <c r="E173" s="40" t="e">
        <f t="shared" ref="E173:N174" si="37">+E176+E179</f>
        <v>#VALUE!</v>
      </c>
      <c r="F173" s="40" t="e">
        <f t="shared" si="37"/>
        <v>#VALUE!</v>
      </c>
      <c r="G173" s="40" t="e">
        <f t="shared" si="37"/>
        <v>#VALUE!</v>
      </c>
      <c r="H173" s="40" t="e">
        <f t="shared" si="37"/>
        <v>#VALUE!</v>
      </c>
      <c r="I173" s="40" t="e">
        <f t="shared" si="37"/>
        <v>#VALUE!</v>
      </c>
      <c r="J173" s="40" t="e">
        <f t="shared" si="37"/>
        <v>#VALUE!</v>
      </c>
      <c r="K173" s="40" t="e">
        <f t="shared" si="37"/>
        <v>#VALUE!</v>
      </c>
      <c r="L173" s="40" t="e">
        <f t="shared" si="37"/>
        <v>#VALUE!</v>
      </c>
      <c r="M173" s="40" t="e">
        <f t="shared" si="37"/>
        <v>#VALUE!</v>
      </c>
      <c r="N173" s="40" t="e">
        <f t="shared" si="37"/>
        <v>#VALUE!</v>
      </c>
      <c r="O173" s="40" t="e">
        <f t="shared" ref="O173:Y173" si="38">+O176+O179</f>
        <v>#VALUE!</v>
      </c>
      <c r="P173" s="40" t="e">
        <f t="shared" si="38"/>
        <v>#VALUE!</v>
      </c>
      <c r="Q173" s="40" t="e">
        <f t="shared" si="38"/>
        <v>#VALUE!</v>
      </c>
      <c r="R173" s="40" t="e">
        <f t="shared" si="38"/>
        <v>#VALUE!</v>
      </c>
      <c r="S173" s="40" t="e">
        <f t="shared" si="38"/>
        <v>#VALUE!</v>
      </c>
      <c r="T173" s="40" t="e">
        <f t="shared" si="38"/>
        <v>#VALUE!</v>
      </c>
      <c r="U173" s="40" t="e">
        <f t="shared" si="38"/>
        <v>#VALUE!</v>
      </c>
      <c r="V173" s="40" t="e">
        <f t="shared" si="38"/>
        <v>#VALUE!</v>
      </c>
      <c r="W173" s="40" t="e">
        <f t="shared" si="38"/>
        <v>#VALUE!</v>
      </c>
      <c r="X173" s="40" t="e">
        <f t="shared" si="38"/>
        <v>#VALUE!</v>
      </c>
      <c r="Y173" s="40" t="e">
        <f t="shared" si="38"/>
        <v>#VALUE!</v>
      </c>
    </row>
    <row r="174" spans="1:25" s="41" customFormat="1" ht="12" x14ac:dyDescent="0.2">
      <c r="A174" s="38"/>
      <c r="B174" s="39" t="s">
        <v>839</v>
      </c>
      <c r="C174" s="40" t="e">
        <f t="shared" si="35"/>
        <v>#VALUE!</v>
      </c>
      <c r="D174" s="40" t="e">
        <f>+D177+D180</f>
        <v>#VALUE!</v>
      </c>
      <c r="E174" s="40" t="e">
        <f t="shared" si="37"/>
        <v>#VALUE!</v>
      </c>
      <c r="F174" s="40" t="e">
        <f t="shared" si="37"/>
        <v>#VALUE!</v>
      </c>
      <c r="G174" s="40" t="e">
        <f t="shared" si="37"/>
        <v>#VALUE!</v>
      </c>
      <c r="H174" s="40" t="e">
        <f t="shared" si="37"/>
        <v>#VALUE!</v>
      </c>
      <c r="I174" s="40" t="e">
        <f t="shared" si="37"/>
        <v>#VALUE!</v>
      </c>
      <c r="J174" s="40" t="e">
        <f t="shared" si="37"/>
        <v>#VALUE!</v>
      </c>
      <c r="K174" s="40" t="e">
        <f t="shared" si="37"/>
        <v>#VALUE!</v>
      </c>
      <c r="L174" s="40" t="e">
        <f t="shared" si="37"/>
        <v>#VALUE!</v>
      </c>
      <c r="M174" s="40" t="e">
        <f t="shared" si="37"/>
        <v>#VALUE!</v>
      </c>
      <c r="N174" s="40" t="e">
        <f t="shared" si="37"/>
        <v>#VALUE!</v>
      </c>
      <c r="O174" s="40" t="e">
        <f t="shared" ref="O174:Y174" si="39">+O177+O180</f>
        <v>#VALUE!</v>
      </c>
      <c r="P174" s="40" t="e">
        <f t="shared" si="39"/>
        <v>#VALUE!</v>
      </c>
      <c r="Q174" s="40" t="e">
        <f t="shared" si="39"/>
        <v>#VALUE!</v>
      </c>
      <c r="R174" s="40" t="e">
        <f t="shared" si="39"/>
        <v>#VALUE!</v>
      </c>
      <c r="S174" s="40" t="e">
        <f t="shared" si="39"/>
        <v>#VALUE!</v>
      </c>
      <c r="T174" s="40" t="e">
        <f t="shared" si="39"/>
        <v>#VALUE!</v>
      </c>
      <c r="U174" s="40" t="e">
        <f t="shared" si="39"/>
        <v>#VALUE!</v>
      </c>
      <c r="V174" s="40" t="e">
        <f t="shared" si="39"/>
        <v>#VALUE!</v>
      </c>
      <c r="W174" s="40" t="e">
        <f t="shared" si="39"/>
        <v>#VALUE!</v>
      </c>
      <c r="X174" s="40" t="e">
        <f t="shared" si="39"/>
        <v>#VALUE!</v>
      </c>
      <c r="Y174" s="40" t="e">
        <f t="shared" si="39"/>
        <v>#VALUE!</v>
      </c>
    </row>
    <row r="175" spans="1:25" s="37" customFormat="1" ht="12" x14ac:dyDescent="0.2">
      <c r="A175" s="42">
        <v>1</v>
      </c>
      <c r="B175" s="43" t="s">
        <v>72</v>
      </c>
      <c r="C175" s="44">
        <f t="shared" si="35"/>
        <v>0</v>
      </c>
      <c r="D175" s="44" t="str">
        <f>+Dulieu!D84</f>
        <v>${ATCT_TM.D2}</v>
      </c>
      <c r="E175" s="44" t="str">
        <f>+Dulieu!E84</f>
        <v>${ATCT_TM.D11}</v>
      </c>
      <c r="F175" s="44" t="str">
        <f>+Dulieu!F84</f>
        <v>${ATCT_TM.D4}</v>
      </c>
      <c r="G175" s="44" t="str">
        <f>+Dulieu!G84</f>
        <v>${ATCT_TM.D6}</v>
      </c>
      <c r="H175" s="44" t="str">
        <f>+Dulieu!H84</f>
        <v>${ATCT_TM.D8}</v>
      </c>
      <c r="I175" s="44" t="str">
        <f>+Dulieu!I84</f>
        <v>${ATCT_TM.D9}</v>
      </c>
      <c r="J175" s="44" t="str">
        <f>+Dulieu!J84</f>
        <v>${ATCT_TM.D3}</v>
      </c>
      <c r="K175" s="44" t="str">
        <f>+Dulieu!K84</f>
        <v>${ATCT_TM.D10}</v>
      </c>
      <c r="L175" s="44" t="str">
        <f>+Dulieu!L84</f>
        <v>${ATCT_TM.D5}</v>
      </c>
      <c r="M175" s="44" t="str">
        <f>+Dulieu!M84</f>
        <v>${ATCT_TM.D7}</v>
      </c>
      <c r="N175" s="44" t="str">
        <f>+Dulieu!N84</f>
        <v>${ATCT_TM.D12}</v>
      </c>
      <c r="O175" s="44" t="str">
        <f>+Dulieu!O84</f>
        <v>${ATCT_TM.D13}</v>
      </c>
      <c r="P175" s="44" t="str">
        <f>+Dulieu!P84</f>
        <v>${ATCT_TM.D14}</v>
      </c>
      <c r="Q175" s="44" t="str">
        <f>+Dulieu!Q84</f>
        <v>${ATCT_TM.D15}</v>
      </c>
      <c r="R175" s="44" t="str">
        <f>+Dulieu!R84</f>
        <v>${ATCT_TM.D16}</v>
      </c>
      <c r="S175" s="44" t="str">
        <f>+Dulieu!S84</f>
        <v>${ATCT_TM.D17}</v>
      </c>
      <c r="T175" s="44" t="str">
        <f>+Dulieu!T84</f>
        <v>${ATCT_TM.D18}</v>
      </c>
      <c r="U175" s="44" t="str">
        <f>+Dulieu!U84</f>
        <v>${ATCT_TM.D19}</v>
      </c>
      <c r="V175" s="44" t="str">
        <f>+Dulieu!V84</f>
        <v>${ATCT_TM.D20}</v>
      </c>
      <c r="W175" s="44" t="str">
        <f>+Dulieu!W84</f>
        <v>${ATCT_TM.D21}</v>
      </c>
      <c r="X175" s="44" t="str">
        <f>+Dulieu!X84</f>
        <v>${ATCT_TM.D22}</v>
      </c>
      <c r="Y175" s="44" t="str">
        <f>+Dulieu!Y84</f>
        <v>${ATCT_TM.D23}</v>
      </c>
    </row>
    <row r="176" spans="1:25" s="41" customFormat="1" ht="12" x14ac:dyDescent="0.2">
      <c r="A176" s="38"/>
      <c r="B176" s="39" t="s">
        <v>838</v>
      </c>
      <c r="C176" s="40" t="e">
        <f t="shared" si="35"/>
        <v>#VALUE!</v>
      </c>
      <c r="D176" s="40" t="e">
        <f>+D175-VLOOKUP(Dulieu!$C$84&amp;"_PRE_M",Dulieu!$C$88:$N$400,2,FALSE)</f>
        <v>#VALUE!</v>
      </c>
      <c r="E176" s="40" t="e">
        <f>+E175-VLOOKUP(Dulieu!$C$84&amp;"_PRE_M",Dulieu!$C$88:$N$400,3,FALSE)</f>
        <v>#VALUE!</v>
      </c>
      <c r="F176" s="40" t="e">
        <f>+F175-VLOOKUP(Dulieu!$C$84&amp;"_PRE_M",Dulieu!$C$88:$N$400,4,FALSE)</f>
        <v>#VALUE!</v>
      </c>
      <c r="G176" s="40" t="e">
        <f>+G175-VLOOKUP(Dulieu!$C$84&amp;"_PRE_M",Dulieu!$C$88:$N$400,5,FALSE)</f>
        <v>#VALUE!</v>
      </c>
      <c r="H176" s="40" t="e">
        <f>+H175-VLOOKUP(Dulieu!$C$84&amp;"_PRE_M",Dulieu!$C$88:$N$400,6,FALSE)</f>
        <v>#VALUE!</v>
      </c>
      <c r="I176" s="40" t="e">
        <f>+I175-VLOOKUP(Dulieu!$C$84&amp;"_PRE_M",Dulieu!$C$88:$N$400,7,FALSE)</f>
        <v>#VALUE!</v>
      </c>
      <c r="J176" s="40" t="e">
        <f>+J175-VLOOKUP(Dulieu!$C$84&amp;"_PRE_M",Dulieu!$C$88:$N$400,8,FALSE)</f>
        <v>#VALUE!</v>
      </c>
      <c r="K176" s="40" t="e">
        <f>+K175-VLOOKUP(Dulieu!$C$84&amp;"_PRE_M",Dulieu!$C$88:$N$400,9,FALSE)</f>
        <v>#VALUE!</v>
      </c>
      <c r="L176" s="40" t="e">
        <f>+L175-VLOOKUP(Dulieu!$C$84&amp;"_PRE_M",Dulieu!$C$88:$N$400,10,FALSE)</f>
        <v>#VALUE!</v>
      </c>
      <c r="M176" s="40" t="e">
        <f>+M175-VLOOKUP(Dulieu!$C$84&amp;"_PRE_M",Dulieu!$C$88:$N$400,11,FALSE)</f>
        <v>#VALUE!</v>
      </c>
      <c r="N176" s="40" t="e">
        <f>+N175-VLOOKUP(Dulieu!$C$84&amp;"_PRE_M",Dulieu!$C$88:$N$400,12,FALSE)</f>
        <v>#VALUE!</v>
      </c>
      <c r="O176" s="40" t="e">
        <f>+O175-VLOOKUP(Dulieu!$C$84&amp;"_PRE_M",Dulieu!$C$88:$Y$400,13,FALSE)</f>
        <v>#VALUE!</v>
      </c>
      <c r="P176" s="40" t="e">
        <f>+P175-VLOOKUP(Dulieu!$C$84&amp;"_PRE_M",Dulieu!$C$88:$Y$400,14,FALSE)</f>
        <v>#VALUE!</v>
      </c>
      <c r="Q176" s="40" t="e">
        <f>+Q175-VLOOKUP(Dulieu!$C$84&amp;"_PRE_M",Dulieu!$C$88:$Y$400,15,FALSE)</f>
        <v>#VALUE!</v>
      </c>
      <c r="R176" s="40" t="e">
        <f>+R175-VLOOKUP(Dulieu!$C$84&amp;"_PRE_M",Dulieu!$C$88:$Y$400,16,FALSE)</f>
        <v>#VALUE!</v>
      </c>
      <c r="S176" s="40" t="e">
        <f>+S175-VLOOKUP(Dulieu!$C$84&amp;"_PRE_M",Dulieu!$C$88:$Y$400,17,FALSE)</f>
        <v>#VALUE!</v>
      </c>
      <c r="T176" s="40" t="e">
        <f>+T175-VLOOKUP(Dulieu!$C$84&amp;"_PRE_M",Dulieu!$C$88:$Y$400,18,FALSE)</f>
        <v>#VALUE!</v>
      </c>
      <c r="U176" s="40" t="e">
        <f>+U175-VLOOKUP(Dulieu!$C$84&amp;"_PRE_M",Dulieu!$C$88:$Y$400,19,FALSE)</f>
        <v>#VALUE!</v>
      </c>
      <c r="V176" s="40" t="e">
        <f>+V175-VLOOKUP(Dulieu!$C$84&amp;"_PRE_M",Dulieu!$C$88:$Y$400,20,FALSE)</f>
        <v>#VALUE!</v>
      </c>
      <c r="W176" s="40" t="e">
        <f>+W175-VLOOKUP(Dulieu!$C$84&amp;"_PRE_M",Dulieu!$C$88:$Y$400,21,FALSE)</f>
        <v>#VALUE!</v>
      </c>
      <c r="X176" s="40" t="e">
        <f>+X175-VLOOKUP(Dulieu!$C$84&amp;"_PRE_M",Dulieu!$C$88:$Y$400,22,FALSE)</f>
        <v>#VALUE!</v>
      </c>
      <c r="Y176" s="40" t="e">
        <f>+Y175-VLOOKUP(Dulieu!$C$84&amp;"_PRE_M",Dulieu!$C$88:$Y$400,23,FALSE)</f>
        <v>#VALUE!</v>
      </c>
    </row>
    <row r="177" spans="1:25" s="41" customFormat="1" ht="12" x14ac:dyDescent="0.2">
      <c r="A177" s="38"/>
      <c r="B177" s="39" t="s">
        <v>839</v>
      </c>
      <c r="C177" s="40" t="e">
        <f t="shared" si="35"/>
        <v>#VALUE!</v>
      </c>
      <c r="D177" s="40" t="e">
        <f>+D175-VLOOKUP(Dulieu!$C$84&amp;"_PRE_Y",Dulieu!$C$88:$N$400,2,FALSE)</f>
        <v>#VALUE!</v>
      </c>
      <c r="E177" s="40" t="e">
        <f>+E175-VLOOKUP(Dulieu!$C$84&amp;"_PRE_Y",Dulieu!$C$88:$N$400,3,FALSE)</f>
        <v>#VALUE!</v>
      </c>
      <c r="F177" s="40" t="e">
        <f>+F175-VLOOKUP(Dulieu!$C$84&amp;"_PRE_Y",Dulieu!$C$88:$N$400,4,FALSE)</f>
        <v>#VALUE!</v>
      </c>
      <c r="G177" s="40" t="e">
        <f>+G175-VLOOKUP(Dulieu!$C$84&amp;"_PRE_Y",Dulieu!$C$88:$N$400,5,FALSE)</f>
        <v>#VALUE!</v>
      </c>
      <c r="H177" s="40" t="e">
        <f>+H175-VLOOKUP(Dulieu!$C$84&amp;"_PRE_Y",Dulieu!$C$88:$N$400,6,FALSE)</f>
        <v>#VALUE!</v>
      </c>
      <c r="I177" s="40" t="e">
        <f>+I175-VLOOKUP(Dulieu!$C$84&amp;"_PRE_Y",Dulieu!$C$88:$N$400,7,FALSE)</f>
        <v>#VALUE!</v>
      </c>
      <c r="J177" s="40" t="e">
        <f>+J175-VLOOKUP(Dulieu!$C$84&amp;"_PRE_Y",Dulieu!$C$88:$N$400,8,FALSE)</f>
        <v>#VALUE!</v>
      </c>
      <c r="K177" s="40" t="e">
        <f>+K175-VLOOKUP(Dulieu!$C$84&amp;"_PRE_Y",Dulieu!$C$88:$N$400,9,FALSE)</f>
        <v>#VALUE!</v>
      </c>
      <c r="L177" s="40" t="e">
        <f>+L175-VLOOKUP(Dulieu!$C$84&amp;"_PRE_Y",Dulieu!$C$88:$N$400,10,FALSE)</f>
        <v>#VALUE!</v>
      </c>
      <c r="M177" s="40" t="e">
        <f>+M175-VLOOKUP(Dulieu!$C$84&amp;"_PRE_Y",Dulieu!$C$88:$N$400,11,FALSE)</f>
        <v>#VALUE!</v>
      </c>
      <c r="N177" s="40" t="e">
        <f>+N175-VLOOKUP(Dulieu!$C$84&amp;"_PRE_Y",Dulieu!$C$88:$N$400,12,FALSE)</f>
        <v>#VALUE!</v>
      </c>
      <c r="O177" s="40" t="e">
        <f>+O175-VLOOKUP(Dulieu!$C$84&amp;"_PRE_Y",Dulieu!$C$88:$Y$400,13,FALSE)</f>
        <v>#VALUE!</v>
      </c>
      <c r="P177" s="40" t="e">
        <f>+P175-VLOOKUP(Dulieu!$C$84&amp;"_PRE_Y",Dulieu!$C$88:$Y$400,14,FALSE)</f>
        <v>#VALUE!</v>
      </c>
      <c r="Q177" s="40" t="e">
        <f>+Q175-VLOOKUP(Dulieu!$C$84&amp;"_PRE_Y",Dulieu!$C$88:$Y$400,15,FALSE)</f>
        <v>#VALUE!</v>
      </c>
      <c r="R177" s="40" t="e">
        <f>+R175-VLOOKUP(Dulieu!$C$84&amp;"_PRE_Y",Dulieu!$C$88:$Y$400,16,FALSE)</f>
        <v>#VALUE!</v>
      </c>
      <c r="S177" s="40" t="e">
        <f>+S175-VLOOKUP(Dulieu!$C$84&amp;"_PRE_Y",Dulieu!$C$88:$Y$400,17,FALSE)</f>
        <v>#VALUE!</v>
      </c>
      <c r="T177" s="40" t="e">
        <f>+T175-VLOOKUP(Dulieu!$C$84&amp;"_PRE_Y",Dulieu!$C$88:$Y$400,18,FALSE)</f>
        <v>#VALUE!</v>
      </c>
      <c r="U177" s="40" t="e">
        <f>+U175-VLOOKUP(Dulieu!$C$84&amp;"_PRE_Y",Dulieu!$C$88:$Y$400,19,FALSE)</f>
        <v>#VALUE!</v>
      </c>
      <c r="V177" s="40" t="e">
        <f>+V175-VLOOKUP(Dulieu!$C$84&amp;"_PRE_Y",Dulieu!$C$88:$Y$400,20,FALSE)</f>
        <v>#VALUE!</v>
      </c>
      <c r="W177" s="40" t="e">
        <f>+W175-VLOOKUP(Dulieu!$C$84&amp;"_PRE_Y",Dulieu!$C$88:$Y$400,21,FALSE)</f>
        <v>#VALUE!</v>
      </c>
      <c r="X177" s="40" t="e">
        <f>+X175-VLOOKUP(Dulieu!$C$84&amp;"_PRE_Y",Dulieu!$C$88:$Y$400,22,FALSE)</f>
        <v>#VALUE!</v>
      </c>
      <c r="Y177" s="40" t="e">
        <f>+Y175-VLOOKUP(Dulieu!$C$84&amp;"_PRE_Y",Dulieu!$C$88:$Y$400,23,FALSE)</f>
        <v>#VALUE!</v>
      </c>
    </row>
    <row r="178" spans="1:25" s="37" customFormat="1" ht="12" x14ac:dyDescent="0.2">
      <c r="A178" s="42">
        <v>2</v>
      </c>
      <c r="B178" s="43" t="s">
        <v>73</v>
      </c>
      <c r="C178" s="44">
        <f t="shared" si="35"/>
        <v>0</v>
      </c>
      <c r="D178" s="44" t="str">
        <f>+Dulieu!D85</f>
        <v>${ATCT_TG.D2}</v>
      </c>
      <c r="E178" s="44" t="str">
        <f>+Dulieu!E85</f>
        <v>${ATCT_TG.D11}</v>
      </c>
      <c r="F178" s="44" t="str">
        <f>+Dulieu!F85</f>
        <v>${ATCT_TG.D4}</v>
      </c>
      <c r="G178" s="44" t="str">
        <f>+Dulieu!G85</f>
        <v>${ATCT_TG.D6}</v>
      </c>
      <c r="H178" s="44" t="str">
        <f>+Dulieu!H85</f>
        <v>${ATCT_TG.D8}</v>
      </c>
      <c r="I178" s="44" t="str">
        <f>+Dulieu!I85</f>
        <v>${ATCT_TG.D9}</v>
      </c>
      <c r="J178" s="44" t="str">
        <f>+Dulieu!J85</f>
        <v>${ATCT_TG.D3}</v>
      </c>
      <c r="K178" s="44" t="str">
        <f>+Dulieu!K85</f>
        <v>${ATCT_TG.D10}</v>
      </c>
      <c r="L178" s="44" t="str">
        <f>+Dulieu!L85</f>
        <v>${ATCT_TG.D5}</v>
      </c>
      <c r="M178" s="44" t="str">
        <f>+Dulieu!M85</f>
        <v>${ATCT_TG.D7}</v>
      </c>
      <c r="N178" s="44" t="str">
        <f>+Dulieu!N85</f>
        <v>${ATCT_TG.D12}</v>
      </c>
      <c r="O178" s="44" t="str">
        <f>+Dulieu!O85</f>
        <v>${ATCT_TG.D13}</v>
      </c>
      <c r="P178" s="44" t="str">
        <f>+Dulieu!P85</f>
        <v>${ATCT_TG.D14}</v>
      </c>
      <c r="Q178" s="44" t="str">
        <f>+Dulieu!Q85</f>
        <v>${ATCT_TG.D15}</v>
      </c>
      <c r="R178" s="44" t="str">
        <f>+Dulieu!R85</f>
        <v>${ATCT_TG.D16}</v>
      </c>
      <c r="S178" s="44" t="str">
        <f>+Dulieu!S85</f>
        <v>${ATCT_TG.D17}</v>
      </c>
      <c r="T178" s="44" t="str">
        <f>+Dulieu!T85</f>
        <v>${ATCT_TG.D18}</v>
      </c>
      <c r="U178" s="44" t="str">
        <f>+Dulieu!U85</f>
        <v>${ATCT_TG.D19}</v>
      </c>
      <c r="V178" s="44" t="str">
        <f>+Dulieu!V85</f>
        <v>${ATCT_TG.D20}</v>
      </c>
      <c r="W178" s="44" t="str">
        <f>+Dulieu!W85</f>
        <v>${ATCT_TG.D21}</v>
      </c>
      <c r="X178" s="44" t="str">
        <f>+Dulieu!X85</f>
        <v>${ATCT_TG.D22}</v>
      </c>
      <c r="Y178" s="44" t="str">
        <f>+Dulieu!Y85</f>
        <v>${ATCT_TG.D23}</v>
      </c>
    </row>
    <row r="179" spans="1:25" s="41" customFormat="1" ht="12" x14ac:dyDescent="0.2">
      <c r="A179" s="38"/>
      <c r="B179" s="39" t="s">
        <v>838</v>
      </c>
      <c r="C179" s="40" t="e">
        <f t="shared" si="35"/>
        <v>#VALUE!</v>
      </c>
      <c r="D179" s="40" t="e">
        <f>+D178-VLOOKUP(Dulieu!$C$85&amp;"_PRE_M",Dulieu!$C$88:$N$400,2,FALSE)</f>
        <v>#VALUE!</v>
      </c>
      <c r="E179" s="40" t="e">
        <f>+E178-VLOOKUP(Dulieu!$C$85&amp;"_PRE_M",Dulieu!$C$88:$N$400,3,FALSE)</f>
        <v>#VALUE!</v>
      </c>
      <c r="F179" s="40" t="e">
        <f>+F178-VLOOKUP(Dulieu!$C$85&amp;"_PRE_M",Dulieu!$C$88:$N$400,4,FALSE)</f>
        <v>#VALUE!</v>
      </c>
      <c r="G179" s="40" t="e">
        <f>+G178-VLOOKUP(Dulieu!$C$85&amp;"_PRE_M",Dulieu!$C$88:$N$400,5,FALSE)</f>
        <v>#VALUE!</v>
      </c>
      <c r="H179" s="40" t="e">
        <f>+H178-VLOOKUP(Dulieu!$C$85&amp;"_PRE_M",Dulieu!$C$88:$N$400,6,FALSE)</f>
        <v>#VALUE!</v>
      </c>
      <c r="I179" s="40" t="e">
        <f>+I178-VLOOKUP(Dulieu!$C$85&amp;"_PRE_M",Dulieu!$C$88:$N$400,7,FALSE)</f>
        <v>#VALUE!</v>
      </c>
      <c r="J179" s="40" t="e">
        <f>+J178-VLOOKUP(Dulieu!$C$85&amp;"_PRE_M",Dulieu!$C$88:$N$400,8,FALSE)</f>
        <v>#VALUE!</v>
      </c>
      <c r="K179" s="40" t="e">
        <f>+K178-VLOOKUP(Dulieu!$C$85&amp;"_PRE_M",Dulieu!$C$88:$N$400,9,FALSE)</f>
        <v>#VALUE!</v>
      </c>
      <c r="L179" s="40" t="e">
        <f>+L178-VLOOKUP(Dulieu!$C$85&amp;"_PRE_M",Dulieu!$C$88:$N$400,10,FALSE)</f>
        <v>#VALUE!</v>
      </c>
      <c r="M179" s="40" t="e">
        <f>+M178-VLOOKUP(Dulieu!$C$85&amp;"_PRE_M",Dulieu!$C$88:$N$400,11,FALSE)</f>
        <v>#VALUE!</v>
      </c>
      <c r="N179" s="40" t="e">
        <f>+N178-VLOOKUP(Dulieu!$C$85&amp;"_PRE_M",Dulieu!$C$88:$N$400,12,FALSE)</f>
        <v>#VALUE!</v>
      </c>
      <c r="O179" s="40" t="e">
        <f>+O178-VLOOKUP(Dulieu!$C$85&amp;"_PRE_M",Dulieu!$C$88:$Y$400,13,FALSE)</f>
        <v>#VALUE!</v>
      </c>
      <c r="P179" s="40" t="e">
        <f>+P178-VLOOKUP(Dulieu!$C$85&amp;"_PRE_M",Dulieu!$C$88:$Y$400,14,FALSE)</f>
        <v>#VALUE!</v>
      </c>
      <c r="Q179" s="40" t="e">
        <f>+Q178-VLOOKUP(Dulieu!$C$85&amp;"_PRE_M",Dulieu!$C$88:$Y$400,15,FALSE)</f>
        <v>#VALUE!</v>
      </c>
      <c r="R179" s="40" t="e">
        <f>+R178-VLOOKUP(Dulieu!$C$85&amp;"_PRE_M",Dulieu!$C$88:$Y$400,16,FALSE)</f>
        <v>#VALUE!</v>
      </c>
      <c r="S179" s="40" t="e">
        <f>+S178-VLOOKUP(Dulieu!$C$85&amp;"_PRE_M",Dulieu!$C$88:$Y$400,17,FALSE)</f>
        <v>#VALUE!</v>
      </c>
      <c r="T179" s="40" t="e">
        <f>+T178-VLOOKUP(Dulieu!$C$85&amp;"_PRE_M",Dulieu!$C$88:$Y$400,18,FALSE)</f>
        <v>#VALUE!</v>
      </c>
      <c r="U179" s="40" t="e">
        <f>+U178-VLOOKUP(Dulieu!$C$85&amp;"_PRE_M",Dulieu!$C$88:$Y$400,19,FALSE)</f>
        <v>#VALUE!</v>
      </c>
      <c r="V179" s="40" t="e">
        <f>+V178-VLOOKUP(Dulieu!$C$85&amp;"_PRE_M",Dulieu!$C$88:$Y$400,20,FALSE)</f>
        <v>#VALUE!</v>
      </c>
      <c r="W179" s="40" t="e">
        <f>+W178-VLOOKUP(Dulieu!$C$85&amp;"_PRE_M",Dulieu!$C$88:$Y$400,21,FALSE)</f>
        <v>#VALUE!</v>
      </c>
      <c r="X179" s="40" t="e">
        <f>+X178-VLOOKUP(Dulieu!$C$85&amp;"_PRE_M",Dulieu!$C$88:$Y$400,22,FALSE)</f>
        <v>#VALUE!</v>
      </c>
      <c r="Y179" s="40" t="e">
        <f>+Y178-VLOOKUP(Dulieu!$C$85&amp;"_PRE_M",Dulieu!$C$88:$Y$400,23,FALSE)</f>
        <v>#VALUE!</v>
      </c>
    </row>
    <row r="180" spans="1:25" s="41" customFormat="1" ht="12" x14ac:dyDescent="0.2">
      <c r="A180" s="38"/>
      <c r="B180" s="39" t="s">
        <v>839</v>
      </c>
      <c r="C180" s="40" t="e">
        <f t="shared" si="35"/>
        <v>#VALUE!</v>
      </c>
      <c r="D180" s="40" t="e">
        <f>+D178-VLOOKUP(Dulieu!$C$85&amp;"_PRE_Y",Dulieu!$C$88:$N$400,2,FALSE)</f>
        <v>#VALUE!</v>
      </c>
      <c r="E180" s="40" t="e">
        <f>+E178-VLOOKUP(Dulieu!$C$85&amp;"_PRE_Y",Dulieu!$C$88:$N$400,3,FALSE)</f>
        <v>#VALUE!</v>
      </c>
      <c r="F180" s="40" t="e">
        <f>+F178-VLOOKUP(Dulieu!$C$85&amp;"_PRE_Y",Dulieu!$C$88:$N$400,4,FALSE)</f>
        <v>#VALUE!</v>
      </c>
      <c r="G180" s="40" t="e">
        <f>+G178-VLOOKUP(Dulieu!$C$85&amp;"_PRE_Y",Dulieu!$C$88:$N$400,5,FALSE)</f>
        <v>#VALUE!</v>
      </c>
      <c r="H180" s="40" t="e">
        <f>+H178-VLOOKUP(Dulieu!$C$85&amp;"_PRE_Y",Dulieu!$C$88:$N$400,6,FALSE)</f>
        <v>#VALUE!</v>
      </c>
      <c r="I180" s="40" t="e">
        <f>+I178-VLOOKUP(Dulieu!$C$85&amp;"_PRE_Y",Dulieu!$C$88:$N$400,7,FALSE)</f>
        <v>#VALUE!</v>
      </c>
      <c r="J180" s="40" t="e">
        <f>+J178-VLOOKUP(Dulieu!$C$85&amp;"_PRE_Y",Dulieu!$C$88:$N$400,8,FALSE)</f>
        <v>#VALUE!</v>
      </c>
      <c r="K180" s="40" t="e">
        <f>+K178-VLOOKUP(Dulieu!$C$85&amp;"_PRE_Y",Dulieu!$C$88:$N$400,9,FALSE)</f>
        <v>#VALUE!</v>
      </c>
      <c r="L180" s="40" t="e">
        <f>+L178-VLOOKUP(Dulieu!$C$85&amp;"_PRE_Y",Dulieu!$C$88:$N$400,10,FALSE)</f>
        <v>#VALUE!</v>
      </c>
      <c r="M180" s="40" t="e">
        <f>+M178-VLOOKUP(Dulieu!$C$85&amp;"_PRE_Y",Dulieu!$C$88:$N$400,11,FALSE)</f>
        <v>#VALUE!</v>
      </c>
      <c r="N180" s="40" t="e">
        <f>+N178-VLOOKUP(Dulieu!$C$85&amp;"_PRE_Y",Dulieu!$C$88:$N$400,12,FALSE)</f>
        <v>#VALUE!</v>
      </c>
      <c r="O180" s="40" t="e">
        <f>+O178-VLOOKUP(Dulieu!$C$85&amp;"_PRE_Y",Dulieu!$C$88:$Y$400,13,FALSE)</f>
        <v>#VALUE!</v>
      </c>
      <c r="P180" s="40" t="e">
        <f>+P178-VLOOKUP(Dulieu!$C$85&amp;"_PRE_Y",Dulieu!$C$88:$Y$400,14,FALSE)</f>
        <v>#VALUE!</v>
      </c>
      <c r="Q180" s="40" t="e">
        <f>+Q178-VLOOKUP(Dulieu!$C$85&amp;"_PRE_Y",Dulieu!$C$88:$Y$400,15,FALSE)</f>
        <v>#VALUE!</v>
      </c>
      <c r="R180" s="40" t="e">
        <f>+R178-VLOOKUP(Dulieu!$C$85&amp;"_PRE_Y",Dulieu!$C$88:$Y$400,16,FALSE)</f>
        <v>#VALUE!</v>
      </c>
      <c r="S180" s="40" t="e">
        <f>+S178-VLOOKUP(Dulieu!$C$85&amp;"_PRE_Y",Dulieu!$C$88:$Y$400,17,FALSE)</f>
        <v>#VALUE!</v>
      </c>
      <c r="T180" s="40" t="e">
        <f>+T178-VLOOKUP(Dulieu!$C$85&amp;"_PRE_Y",Dulieu!$C$88:$Y$400,18,FALSE)</f>
        <v>#VALUE!</v>
      </c>
      <c r="U180" s="40" t="e">
        <f>+U178-VLOOKUP(Dulieu!$C$85&amp;"_PRE_Y",Dulieu!$C$88:$Y$400,19,FALSE)</f>
        <v>#VALUE!</v>
      </c>
      <c r="V180" s="40" t="e">
        <f>+V178-VLOOKUP(Dulieu!$C$85&amp;"_PRE_Y",Dulieu!$C$88:$Y$400,20,FALSE)</f>
        <v>#VALUE!</v>
      </c>
      <c r="W180" s="40" t="e">
        <f>+W178-VLOOKUP(Dulieu!$C$85&amp;"_PRE_Y",Dulieu!$C$88:$Y$400,21,FALSE)</f>
        <v>#VALUE!</v>
      </c>
      <c r="X180" s="40" t="e">
        <f>+X178-VLOOKUP(Dulieu!$C$85&amp;"_PRE_Y",Dulieu!$C$88:$Y$400,22,FALSE)</f>
        <v>#VALUE!</v>
      </c>
      <c r="Y180" s="40" t="e">
        <f>+Y178-VLOOKUP(Dulieu!$C$85&amp;"_PRE_Y",Dulieu!$C$88:$Y$400,23,FALSE)</f>
        <v>#VALUE!</v>
      </c>
    </row>
    <row r="181" spans="1:25" s="37" customFormat="1" ht="12" x14ac:dyDescent="0.2">
      <c r="A181" s="42">
        <v>3</v>
      </c>
      <c r="B181" s="43" t="s">
        <v>74</v>
      </c>
      <c r="C181" s="44">
        <f t="shared" si="35"/>
        <v>0</v>
      </c>
      <c r="D181" s="44" t="str">
        <f>+Dulieu!D86</f>
        <v>${DM_ATCT.D2}</v>
      </c>
      <c r="E181" s="44" t="str">
        <f>+Dulieu!E86</f>
        <v>${DM_ATCT.D11}</v>
      </c>
      <c r="F181" s="44" t="str">
        <f>+Dulieu!F86</f>
        <v>${DM_ATCT.D4}</v>
      </c>
      <c r="G181" s="44" t="str">
        <f>+Dulieu!G86</f>
        <v>${DM_ATCT.D6}</v>
      </c>
      <c r="H181" s="44" t="str">
        <f>+Dulieu!H86</f>
        <v>${DM_ATCT.D8}</v>
      </c>
      <c r="I181" s="44" t="str">
        <f>+Dulieu!I86</f>
        <v>${DM_ATCT.D9}</v>
      </c>
      <c r="J181" s="44" t="str">
        <f>+Dulieu!J86</f>
        <v>${DM_ATCT.D3}</v>
      </c>
      <c r="K181" s="44" t="str">
        <f>+Dulieu!K86</f>
        <v>${DM_ATCT.D10}</v>
      </c>
      <c r="L181" s="44" t="str">
        <f>+Dulieu!L86</f>
        <v>${DM_ATCT.D5}</v>
      </c>
      <c r="M181" s="44" t="str">
        <f>+Dulieu!M86</f>
        <v>${DM_ATCT.D7}</v>
      </c>
      <c r="N181" s="44" t="str">
        <f>+Dulieu!N86</f>
        <v>${DM_ATCT.D12}</v>
      </c>
      <c r="O181" s="44" t="str">
        <f>+Dulieu!O86</f>
        <v>${DM_ATCT.D13}</v>
      </c>
      <c r="P181" s="44" t="str">
        <f>+Dulieu!P86</f>
        <v>${DM_ATCT.D14}</v>
      </c>
      <c r="Q181" s="44" t="str">
        <f>+Dulieu!Q86</f>
        <v>${DM_ATCT.D15}</v>
      </c>
      <c r="R181" s="44" t="str">
        <f>+Dulieu!R86</f>
        <v>${DM_ATCT.D16}</v>
      </c>
      <c r="S181" s="44" t="str">
        <f>+Dulieu!S86</f>
        <v>${DM_ATCT.D17}</v>
      </c>
      <c r="T181" s="44" t="str">
        <f>+Dulieu!T86</f>
        <v>${DM_ATCT.D18}</v>
      </c>
      <c r="U181" s="44" t="str">
        <f>+Dulieu!U86</f>
        <v>${DM_ATCT.D19}</v>
      </c>
      <c r="V181" s="44" t="str">
        <f>+Dulieu!V86</f>
        <v>${DM_ATCT.D20}</v>
      </c>
      <c r="W181" s="44" t="str">
        <f>+Dulieu!W86</f>
        <v>${DM_ATCT.D21}</v>
      </c>
      <c r="X181" s="44" t="str">
        <f>+Dulieu!X86</f>
        <v>${DM_ATCT.D22}</v>
      </c>
      <c r="Y181" s="44" t="str">
        <f>+Dulieu!Y86</f>
        <v>${DM_ATCT.D23}</v>
      </c>
    </row>
    <row r="182" spans="1:25" s="37" customFormat="1" ht="12" hidden="1" x14ac:dyDescent="0.2">
      <c r="C182" s="55">
        <v>12700</v>
      </c>
      <c r="D182" s="55">
        <v>4100</v>
      </c>
      <c r="E182" s="55">
        <v>800</v>
      </c>
      <c r="F182" s="55">
        <v>800</v>
      </c>
      <c r="G182" s="55">
        <v>800</v>
      </c>
      <c r="H182" s="55">
        <v>1000</v>
      </c>
      <c r="I182" s="55">
        <v>1000</v>
      </c>
      <c r="J182" s="55">
        <v>800</v>
      </c>
      <c r="K182" s="55">
        <v>1000</v>
      </c>
      <c r="L182" s="55">
        <v>800</v>
      </c>
      <c r="M182" s="55">
        <v>800</v>
      </c>
      <c r="N182" s="55">
        <v>800</v>
      </c>
    </row>
    <row r="183" spans="1:25" s="37" customFormat="1" ht="12" x14ac:dyDescent="0.2">
      <c r="A183" s="42"/>
      <c r="B183" s="69" t="s">
        <v>1544</v>
      </c>
      <c r="C183" s="36">
        <f t="shared" ref="C183:C184" si="40">SUM(D183:Y183)</f>
        <v>0</v>
      </c>
      <c r="D183" s="64">
        <f>+IFERROR(VLOOKUP("NQ11_03",Dulieu!$C$88:$Y$400,2,FALSE),0)</f>
        <v>0</v>
      </c>
      <c r="E183" s="64">
        <f>+IFERROR(VLOOKUP("NQ11_03",Dulieu!$C$88:$Y$400,3,FALSE),0)</f>
        <v>0</v>
      </c>
      <c r="F183" s="64">
        <f>+IFERROR(VLOOKUP("NQ11_03",Dulieu!$C$88:$Y$400,4,FALSE),0)</f>
        <v>0</v>
      </c>
      <c r="G183" s="64">
        <f>+IFERROR(VLOOKUP("NQ11_03",Dulieu!$C$88:$Y$400,5,FALSE),0)</f>
        <v>0</v>
      </c>
      <c r="H183" s="64">
        <f>+IFERROR(VLOOKUP("NQ11_03",Dulieu!$C$88:$Y$400,6,FALSE),0)</f>
        <v>0</v>
      </c>
      <c r="I183" s="64">
        <f>+IFERROR(VLOOKUP("NQ11_03",Dulieu!$C$88:$Y$400,7,FALSE),0)</f>
        <v>0</v>
      </c>
      <c r="J183" s="64">
        <f>+IFERROR(VLOOKUP("NQ11_03",Dulieu!$C$88:$Y$400,8,FALSE),0)</f>
        <v>0</v>
      </c>
      <c r="K183" s="64">
        <f>+IFERROR(VLOOKUP("NQ11_03",Dulieu!$C$88:$Y$400,9,FALSE),0)</f>
        <v>0</v>
      </c>
      <c r="L183" s="64">
        <f>+IFERROR(VLOOKUP("NQ11_03",Dulieu!$C$88:$Y$400,10,FALSE),0)</f>
        <v>0</v>
      </c>
      <c r="M183" s="64">
        <f>+IFERROR(VLOOKUP("NQ11_03",Dulieu!$C$88:$Y$400,11,FALSE),0)</f>
        <v>0</v>
      </c>
      <c r="N183" s="64">
        <f>+IFERROR(VLOOKUP("NQ11_03",Dulieu!$C$88:$Y$400,12,FALSE),0)</f>
        <v>0</v>
      </c>
      <c r="O183" s="64">
        <f>+IFERROR(VLOOKUP("NQ11_03",Dulieu!$C$88:$Y$400,13,FALSE),0)</f>
        <v>0</v>
      </c>
      <c r="P183" s="64">
        <f>+IFERROR(VLOOKUP("NQ11_03",Dulieu!$C$88:$Y$400,14,FALSE),0)</f>
        <v>0</v>
      </c>
      <c r="Q183" s="64">
        <f>+IFERROR(VLOOKUP("NQ11_03",Dulieu!$C$88:$Y$400,15,FALSE),0)</f>
        <v>0</v>
      </c>
      <c r="R183" s="64">
        <f>+IFERROR(VLOOKUP("NQ11_03",Dulieu!$C$88:$Y$400,16,FALSE),0)</f>
        <v>0</v>
      </c>
      <c r="S183" s="64">
        <f>+IFERROR(VLOOKUP("NQ11_03",Dulieu!$C$88:$Y$400,17,FALSE),0)</f>
        <v>0</v>
      </c>
      <c r="T183" s="64">
        <f>+IFERROR(VLOOKUP("NQ11_03",Dulieu!$C$88:$Y$400,18,FALSE),0)</f>
        <v>0</v>
      </c>
      <c r="U183" s="64">
        <f>+IFERROR(VLOOKUP("NQ11_03",Dulieu!$C$88:$Y$400,19,FALSE),0)</f>
        <v>0</v>
      </c>
      <c r="V183" s="64">
        <f>+IFERROR(VLOOKUP("NQ11_03",Dulieu!$C$88:$Y$400,20,FALSE),0)</f>
        <v>0</v>
      </c>
      <c r="W183" s="64">
        <f>+IFERROR(VLOOKUP("NQ11_03",Dulieu!$C$88:$Y$400,21,FALSE),0)</f>
        <v>0</v>
      </c>
      <c r="X183" s="64">
        <f>+IFERROR(VLOOKUP("NQ11_03",Dulieu!$C$88:$Y$400,22,FALSE),0)</f>
        <v>0</v>
      </c>
      <c r="Y183" s="64">
        <f>+IFERROR(VLOOKUP("NQ11_03",Dulieu!$C$88:$Y$400,23,FALSE),0)</f>
        <v>0</v>
      </c>
    </row>
    <row r="184" spans="1:25" s="37" customFormat="1" ht="12" x14ac:dyDescent="0.2">
      <c r="A184" s="42"/>
      <c r="B184" s="69" t="s">
        <v>1545</v>
      </c>
      <c r="C184" s="36">
        <f t="shared" si="40"/>
        <v>0</v>
      </c>
      <c r="D184" s="64">
        <f>+IFERROR(VLOOKUP("NQ11_12",Dulieu!$C$88:$Y$400,2,FALSE),0)</f>
        <v>0</v>
      </c>
      <c r="E184" s="64">
        <f>+IFERROR(VLOOKUP("NQ11_12",Dulieu!$C$88:$Y$400,3,FALSE),0)</f>
        <v>0</v>
      </c>
      <c r="F184" s="64">
        <f>+IFERROR(VLOOKUP("NQ11_12",Dulieu!$C$88:$Y$400,4,FALSE),0)</f>
        <v>0</v>
      </c>
      <c r="G184" s="64">
        <f>+IFERROR(VLOOKUP("NQ11_12",Dulieu!$C$88:$Y$400,5,FALSE),0)</f>
        <v>0</v>
      </c>
      <c r="H184" s="64">
        <f>+IFERROR(VLOOKUP("NQ11_12",Dulieu!$C$88:$Y$400,6,FALSE),0)</f>
        <v>0</v>
      </c>
      <c r="I184" s="64">
        <f>+IFERROR(VLOOKUP("NQ11_12",Dulieu!$C$88:$Y$400,7,FALSE),0)</f>
        <v>0</v>
      </c>
      <c r="J184" s="64">
        <f>+IFERROR(VLOOKUP("NQ11_12",Dulieu!$C$88:$Y$400,8,FALSE),0)</f>
        <v>0</v>
      </c>
      <c r="K184" s="64">
        <f>+IFERROR(VLOOKUP("NQ11_12",Dulieu!$C$88:$Y$400,9,FALSE),0)</f>
        <v>0</v>
      </c>
      <c r="L184" s="64">
        <f>+IFERROR(VLOOKUP("NQ11_12",Dulieu!$C$88:$Y$400,10,FALSE),0)</f>
        <v>0</v>
      </c>
      <c r="M184" s="64">
        <f>+IFERROR(VLOOKUP("NQ11_12",Dulieu!$C$88:$Y$400,11,FALSE),0)</f>
        <v>0</v>
      </c>
      <c r="N184" s="64">
        <f>+IFERROR(VLOOKUP("NQ11_12",Dulieu!$C$88:$Y$400,12,FALSE),0)</f>
        <v>0</v>
      </c>
      <c r="O184" s="64">
        <f>+IFERROR(VLOOKUP("NQ11_12",Dulieu!$C$88:$Y$400,13,FALSE),0)</f>
        <v>0</v>
      </c>
      <c r="P184" s="64">
        <f>+IFERROR(VLOOKUP("NQ11_12",Dulieu!$C$88:$Y$400,14,FALSE),0)</f>
        <v>0</v>
      </c>
      <c r="Q184" s="64">
        <f>+IFERROR(VLOOKUP("NQ11_12",Dulieu!$C$88:$Y$400,15,FALSE),0)</f>
        <v>0</v>
      </c>
      <c r="R184" s="64">
        <f>+IFERROR(VLOOKUP("NQ11_12",Dulieu!$C$88:$Y$400,16,FALSE),0)</f>
        <v>0</v>
      </c>
      <c r="S184" s="64">
        <f>+IFERROR(VLOOKUP("NQ11_12",Dulieu!$C$88:$Y$400,17,FALSE),0)</f>
        <v>0</v>
      </c>
      <c r="T184" s="64">
        <f>+IFERROR(VLOOKUP("NQ11_12",Dulieu!$C$88:$Y$400,18,FALSE),0)</f>
        <v>0</v>
      </c>
      <c r="U184" s="64">
        <f>+IFERROR(VLOOKUP("NQ11_12",Dulieu!$C$88:$Y$400,19,FALSE),0)</f>
        <v>0</v>
      </c>
      <c r="V184" s="64">
        <f>+IFERROR(VLOOKUP("NQ11_12",Dulieu!$C$88:$Y$400,20,FALSE),0)</f>
        <v>0</v>
      </c>
      <c r="W184" s="64">
        <f>+IFERROR(VLOOKUP("NQ11_12",Dulieu!$C$88:$Y$400,21,FALSE),0)</f>
        <v>0</v>
      </c>
      <c r="X184" s="64">
        <f>+IFERROR(VLOOKUP("NQ11_12",Dulieu!$C$88:$Y$400,22,FALSE),0)</f>
        <v>0</v>
      </c>
      <c r="Y184" s="64">
        <f>+IFERROR(VLOOKUP("NQ11_12",Dulieu!$C$88:$Y$400,23,FALSE),0)</f>
        <v>0</v>
      </c>
    </row>
    <row r="185" spans="1:25" s="37" customFormat="1" ht="12" x14ac:dyDescent="0.2">
      <c r="A185" s="42"/>
      <c r="B185" s="81" t="s">
        <v>1548</v>
      </c>
      <c r="C185" s="36">
        <f t="shared" ref="C185:C186" si="41">SUM(D185:Y185)</f>
        <v>0</v>
      </c>
      <c r="D185" s="64">
        <f>+IFERROR(VLOOKUP("HDV_CS105_CD",Dulieu!$C$88:$Y$400,2,FALSE),0)</f>
        <v>0</v>
      </c>
      <c r="E185" s="64">
        <f>+IFERROR(VLOOKUP("HDV_CS105_CD",Dulieu!$C$88:$Y$400,3,FALSE),0)</f>
        <v>0</v>
      </c>
      <c r="F185" s="64">
        <f>+IFERROR(VLOOKUP("HDV_CS105_CD",Dulieu!$C$88:$Y$400,4,FALSE),0)</f>
        <v>0</v>
      </c>
      <c r="G185" s="64">
        <f>+IFERROR(VLOOKUP("HDV_CS105_CD",Dulieu!$C$88:$Y$400,5,FALSE),0)</f>
        <v>0</v>
      </c>
      <c r="H185" s="64">
        <f>+IFERROR(VLOOKUP("HDV_CS105_CD",Dulieu!$C$88:$Y$400,6,FALSE),0)</f>
        <v>0</v>
      </c>
      <c r="I185" s="64">
        <f>+IFERROR(VLOOKUP("HDV_CS105_CD",Dulieu!$C$88:$Y$400,7,FALSE),0)</f>
        <v>0</v>
      </c>
      <c r="J185" s="64">
        <f>+IFERROR(VLOOKUP("HDV_CS105_CD",Dulieu!$C$88:$Y$400,8,FALSE),0)</f>
        <v>0</v>
      </c>
      <c r="K185" s="64">
        <f>+IFERROR(VLOOKUP("HDV_CS105_CD",Dulieu!$C$88:$Y$400,9,FALSE),0)</f>
        <v>0</v>
      </c>
      <c r="L185" s="64">
        <f>+IFERROR(VLOOKUP("HDV_CS105_CD",Dulieu!$C$88:$Y$400,10,FALSE),0)</f>
        <v>0</v>
      </c>
      <c r="M185" s="64">
        <f>+IFERROR(VLOOKUP("HDV_CS105_CD",Dulieu!$C$88:$Y$400,11,FALSE),0)</f>
        <v>0</v>
      </c>
      <c r="N185" s="64">
        <f>+IFERROR(VLOOKUP("HDV_CS105_CD",Dulieu!$C$88:$Y$400,12,FALSE),0)</f>
        <v>0</v>
      </c>
      <c r="O185" s="64">
        <f>+IFERROR(VLOOKUP("HDV_CS105_CD",Dulieu!$C$88:$Y$400,13,FALSE),0)</f>
        <v>0</v>
      </c>
      <c r="P185" s="64">
        <f>+IFERROR(VLOOKUP("HDV_CS105_CD",Dulieu!$C$88:$Y$400,14,FALSE),0)</f>
        <v>0</v>
      </c>
      <c r="Q185" s="64">
        <f>+IFERROR(VLOOKUP("HDV_CS105_CD",Dulieu!$C$88:$Y$400,15,FALSE),0)</f>
        <v>0</v>
      </c>
      <c r="R185" s="64">
        <f>+IFERROR(VLOOKUP("HDV_CS105_CD",Dulieu!$C$88:$Y$400,16,FALSE),0)</f>
        <v>0</v>
      </c>
      <c r="S185" s="64">
        <f>+IFERROR(VLOOKUP("HDV_CS105_CD",Dulieu!$C$88:$Y$400,17,FALSE),0)</f>
        <v>0</v>
      </c>
      <c r="T185" s="64">
        <f>+IFERROR(VLOOKUP("HDV_CS105_CD",Dulieu!$C$88:$Y$400,18,FALSE),0)</f>
        <v>0</v>
      </c>
      <c r="U185" s="64">
        <f>+IFERROR(VLOOKUP("HDV_CS105_CD",Dulieu!$C$88:$Y$400,19,FALSE),0)</f>
        <v>0</v>
      </c>
      <c r="V185" s="64">
        <f>+IFERROR(VLOOKUP("HDV_CS105_CD",Dulieu!$C$88:$Y$400,20,FALSE),0)</f>
        <v>0</v>
      </c>
      <c r="W185" s="64">
        <f>+IFERROR(VLOOKUP("HDV_CS105_CD",Dulieu!$C$88:$Y$400,21,FALSE),0)</f>
        <v>0</v>
      </c>
      <c r="X185" s="64">
        <f>+IFERROR(VLOOKUP("HDV_CS105_CD",Dulieu!$C$88:$Y$400,22,FALSE),0)</f>
        <v>0</v>
      </c>
      <c r="Y185" s="64">
        <f>+IFERROR(VLOOKUP("HDV_CS105_CD",Dulieu!$C$88:$Y$400,23,FALSE),0)</f>
        <v>0</v>
      </c>
    </row>
    <row r="186" spans="1:25" s="37" customFormat="1" ht="12" x14ac:dyDescent="0.2">
      <c r="A186" s="42"/>
      <c r="B186" s="81" t="s">
        <v>1547</v>
      </c>
      <c r="C186" s="36">
        <f t="shared" si="41"/>
        <v>0</v>
      </c>
      <c r="D186" s="64">
        <f>+IFERROR(VLOOKUP("HDV_DC_CD",Dulieu!$C$88:$Y$400,2,FALSE),0)</f>
        <v>0</v>
      </c>
      <c r="E186" s="64">
        <f>+IFERROR(VLOOKUP("HDV_DC_CD",Dulieu!$C$88:$Y$400,3,FALSE),0)</f>
        <v>0</v>
      </c>
      <c r="F186" s="64">
        <f>+IFERROR(VLOOKUP("HDV_DC_CD",Dulieu!$C$88:$Y$400,4,FALSE),0)</f>
        <v>0</v>
      </c>
      <c r="G186" s="64">
        <f>+IFERROR(VLOOKUP("HDV_DC_CD",Dulieu!$C$88:$Y$400,5,FALSE),0)</f>
        <v>0</v>
      </c>
      <c r="H186" s="64">
        <f>+IFERROR(VLOOKUP("HDV_DC_CD",Dulieu!$C$88:$Y$400,6,FALSE),0)</f>
        <v>0</v>
      </c>
      <c r="I186" s="64">
        <f>+IFERROR(VLOOKUP("HDV_DC_CD",Dulieu!$C$88:$Y$400,7,FALSE),0)</f>
        <v>0</v>
      </c>
      <c r="J186" s="64">
        <f>+IFERROR(VLOOKUP("HDV_DC_CD",Dulieu!$C$88:$Y$400,8,FALSE),0)</f>
        <v>0</v>
      </c>
      <c r="K186" s="64">
        <f>+IFERROR(VLOOKUP("HDV_DC_CD",Dulieu!$C$88:$Y$400,9,FALSE),0)</f>
        <v>0</v>
      </c>
      <c r="L186" s="64">
        <f>+IFERROR(VLOOKUP("HDV_DC_CD",Dulieu!$C$88:$Y$400,10,FALSE),0)</f>
        <v>0</v>
      </c>
      <c r="M186" s="64">
        <f>+IFERROR(VLOOKUP("HDV_DC_CD",Dulieu!$C$88:$Y$400,11,FALSE),0)</f>
        <v>0</v>
      </c>
      <c r="N186" s="64">
        <f>+IFERROR(VLOOKUP("HDV_DC_CD",Dulieu!$C$88:$Y$400,12,FALSE),0)</f>
        <v>0</v>
      </c>
      <c r="O186" s="64">
        <f>+IFERROR(VLOOKUP("HDV_DC_CD",Dulieu!$C$88:$Y$400,13,FALSE),0)</f>
        <v>0</v>
      </c>
      <c r="P186" s="64">
        <f>+IFERROR(VLOOKUP("HDV_DC_CD",Dulieu!$C$88:$Y$400,14,FALSE),0)</f>
        <v>0</v>
      </c>
      <c r="Q186" s="64">
        <f>+IFERROR(VLOOKUP("HDV_DC_CD",Dulieu!$C$88:$Y$400,15,FALSE),0)</f>
        <v>0</v>
      </c>
      <c r="R186" s="64">
        <f>+IFERROR(VLOOKUP("HDV_DC_CD",Dulieu!$C$88:$Y$400,16,FALSE),0)</f>
        <v>0</v>
      </c>
      <c r="S186" s="64">
        <f>+IFERROR(VLOOKUP("HDV_DC_CD",Dulieu!$C$88:$Y$400,17,FALSE),0)</f>
        <v>0</v>
      </c>
      <c r="T186" s="64">
        <f>+IFERROR(VLOOKUP("HDV_DC_CD",Dulieu!$C$88:$Y$400,18,FALSE),0)</f>
        <v>0</v>
      </c>
      <c r="U186" s="64">
        <f>+IFERROR(VLOOKUP("HDV_DC_CD",Dulieu!$C$88:$Y$400,19,FALSE),0)</f>
        <v>0</v>
      </c>
      <c r="V186" s="64">
        <f>+IFERROR(VLOOKUP("HDV_DC_CD",Dulieu!$C$88:$Y$400,20,FALSE),0)</f>
        <v>0</v>
      </c>
      <c r="W186" s="64">
        <f>+IFERROR(VLOOKUP("HDV_DC_CD",Dulieu!$C$88:$Y$400,21,FALSE),0)</f>
        <v>0</v>
      </c>
      <c r="X186" s="64">
        <f>+IFERROR(VLOOKUP("HDV_DC_CD",Dulieu!$C$88:$Y$400,22,FALSE),0)</f>
        <v>0</v>
      </c>
      <c r="Y186" s="64">
        <f>+IFERROR(VLOOKUP("HDV_DC_CD",Dulieu!$C$88:$Y$400,23,FALSE),0)</f>
        <v>0</v>
      </c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28" spans="1:2" x14ac:dyDescent="0.25">
      <c r="A228" s="1"/>
      <c r="B228" s="1"/>
    </row>
    <row r="238" spans="1:2" x14ac:dyDescent="0.25">
      <c r="A238" s="1"/>
      <c r="B238" s="1"/>
    </row>
    <row r="251" spans="1:2" x14ac:dyDescent="0.25">
      <c r="A251" s="1"/>
      <c r="B251" s="1"/>
    </row>
  </sheetData>
  <mergeCells count="7">
    <mergeCell ref="O6:Y6"/>
    <mergeCell ref="A3:N3"/>
    <mergeCell ref="A4:N4"/>
    <mergeCell ref="A6:A7"/>
    <mergeCell ref="B6:B7"/>
    <mergeCell ref="C6:C7"/>
    <mergeCell ref="D6:N6"/>
  </mergeCells>
  <pageMargins left="0.43" right="0.27" top="0.32" bottom="0.32" header="0.31" footer="0.3"/>
  <pageSetup paperSize="9" scale="8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Dulieu</vt:lpstr>
      <vt:lpstr>TonghopBC</vt:lpstr>
      <vt:lpstr>Sheet2</vt:lpstr>
      <vt:lpstr>Sheet3</vt:lpstr>
      <vt:lpstr>Dulieu!Print_Area</vt:lpstr>
      <vt:lpstr>TonghopBC!Print_Area</vt:lpstr>
      <vt:lpstr>Dulieu!Print_Titles</vt:lpstr>
      <vt:lpstr>TonghopBC!Print_Titles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2021-02-24T08:45:47Z</dcterms:created>
  <dc:creator>Windows User</dc:creator>
  <cp:lastModifiedBy>vbsp cndongnai</cp:lastModifiedBy>
  <cp:lastPrinted>2021-05-14T08:57:23Z</cp:lastPrinted>
  <dcterms:modified xsi:type="dcterms:W3CDTF">2025-12-03T07:00:44Z</dcterms:modified>
</cp:coreProperties>
</file>