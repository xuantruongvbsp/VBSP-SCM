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Business Dropbox\nguyễn xuân trường\"/>
    </mc:Choice>
  </mc:AlternateContent>
  <xr:revisionPtr revIDLastSave="0" documentId="13_ncr:1_{5F251915-B450-4093-BB44-C78945B1F6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ulieu" sheetId="1" r:id="rId1"/>
    <sheet name="TonghopBC" sheetId="4" r:id="rId2"/>
    <sheet name="Sheet2" sheetId="2" r:id="rId3"/>
    <sheet name="Sheet3" sheetId="3" r:id="rId4"/>
  </sheets>
  <definedNames>
    <definedName name="_xlnm.Print_Area" localSheetId="0">Dulieu!$A:$N</definedName>
    <definedName name="_xlnm.Print_Area" localSheetId="1">TonghopBC!$A:$N</definedName>
    <definedName name="_xlnm.Print_Titles" localSheetId="0">Dulieu!$6:$7</definedName>
    <definedName name="_xlnm.Print_Titles" localSheetId="1">TonghopBC!$6:$7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 s="1"/>
  <c r="Y185" i="4"/>
  <c r="X185" i="4"/>
  <c r="W185" i="4"/>
  <c r="V185" i="4"/>
  <c r="U185" i="4"/>
  <c r="T185" i="4"/>
  <c r="S185" i="4"/>
  <c r="R185" i="4"/>
  <c r="C185" i="4" s="1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Y83" i="1"/>
  <c r="Y25" i="1" s="1"/>
  <c r="X83" i="1"/>
  <c r="X25" i="1" s="1"/>
  <c r="W83" i="1"/>
  <c r="W25" i="1" s="1"/>
  <c r="V83" i="1"/>
  <c r="V25" i="1" s="1"/>
  <c r="U83" i="1"/>
  <c r="U25" i="1" s="1"/>
  <c r="T83" i="1"/>
  <c r="T25" i="1" s="1"/>
  <c r="S83" i="1"/>
  <c r="S25" i="1" s="1"/>
  <c r="R83" i="1"/>
  <c r="R25" i="1" s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Y26" i="1"/>
  <c r="X26" i="1"/>
  <c r="W26" i="1"/>
  <c r="V26" i="1"/>
  <c r="U26" i="1"/>
  <c r="T26" i="1"/>
  <c r="S26" i="1"/>
  <c r="R26" i="1"/>
  <c r="Q26" i="1"/>
  <c r="Q8" i="1" s="1"/>
  <c r="P26" i="1"/>
  <c r="P8" i="1" s="1"/>
  <c r="O26" i="1"/>
  <c r="O8" i="1" s="1"/>
  <c r="N26" i="1"/>
  <c r="N8" i="1" s="1"/>
  <c r="M26" i="1"/>
  <c r="M8" i="1" s="1"/>
  <c r="L26" i="1"/>
  <c r="L8" i="1" s="1"/>
  <c r="K26" i="1"/>
  <c r="K8" i="1" s="1"/>
  <c r="J26" i="1"/>
  <c r="J8" i="1" s="1"/>
  <c r="I26" i="1"/>
  <c r="I8" i="1" s="1"/>
  <c r="H26" i="1"/>
  <c r="H8" i="1" s="1"/>
  <c r="G26" i="1"/>
  <c r="F26" i="1"/>
  <c r="E26" i="1"/>
  <c r="D26" i="1"/>
  <c r="C26" i="1"/>
  <c r="Q25" i="1"/>
  <c r="P25" i="1"/>
  <c r="O25" i="1"/>
  <c r="N25" i="1"/>
  <c r="M25" i="1"/>
  <c r="L25" i="1"/>
  <c r="K25" i="1"/>
  <c r="J25" i="1"/>
  <c r="I25" i="1"/>
  <c r="H25" i="1"/>
  <c r="Y20" i="1"/>
  <c r="X20" i="1"/>
  <c r="W20" i="1"/>
  <c r="V20" i="1"/>
  <c r="U20" i="1"/>
  <c r="T20" i="1"/>
  <c r="S20" i="1"/>
  <c r="R20" i="1"/>
  <c r="Q20" i="1"/>
  <c r="Q21" i="1" s="1"/>
  <c r="P20" i="1"/>
  <c r="P21" i="1" s="1"/>
  <c r="O20" i="1"/>
  <c r="O21" i="1" s="1"/>
  <c r="N20" i="1"/>
  <c r="N21" i="1" s="1"/>
  <c r="M20" i="1"/>
  <c r="M21" i="1" s="1"/>
  <c r="L20" i="1"/>
  <c r="L21" i="1" s="1"/>
  <c r="K20" i="1"/>
  <c r="K21" i="1" s="1"/>
  <c r="J20" i="1"/>
  <c r="J21" i="1" s="1"/>
  <c r="I20" i="1"/>
  <c r="I21" i="1" s="1"/>
  <c r="H20" i="1"/>
  <c r="H21" i="1" s="1"/>
  <c r="G20" i="1"/>
  <c r="F20" i="1"/>
  <c r="E20" i="1"/>
  <c r="D20" i="1"/>
  <c r="C20" i="1"/>
  <c r="W8" i="1" l="1"/>
  <c r="S8" i="1"/>
  <c r="Y8" i="1"/>
  <c r="V8" i="1"/>
  <c r="R8" i="1"/>
  <c r="X8" i="1"/>
  <c r="X21" i="1" s="1"/>
  <c r="T8" i="1"/>
  <c r="T21" i="1" s="1"/>
  <c r="U8" i="1"/>
  <c r="U21" i="1" s="1"/>
  <c r="X9" i="1"/>
  <c r="X10" i="1" s="1"/>
  <c r="X11" i="1" s="1"/>
  <c r="X13" i="1"/>
  <c r="U9" i="1"/>
  <c r="U10" i="1" s="1"/>
  <c r="U11" i="1" s="1"/>
  <c r="U13" i="1"/>
  <c r="T9" i="1"/>
  <c r="T10" i="1" s="1"/>
  <c r="T11" i="1" s="1"/>
  <c r="T13" i="1"/>
  <c r="Q9" i="1"/>
  <c r="Q10" i="1" s="1"/>
  <c r="Q11" i="1" s="1"/>
  <c r="Q13" i="1"/>
  <c r="P9" i="1"/>
  <c r="P10" i="1" s="1"/>
  <c r="P11" i="1" s="1"/>
  <c r="P13" i="1"/>
  <c r="O9" i="1"/>
  <c r="O10" i="1" s="1"/>
  <c r="O11" i="1" s="1"/>
  <c r="O13" i="1"/>
  <c r="N9" i="1"/>
  <c r="N10" i="1" s="1"/>
  <c r="N11" i="1" s="1"/>
  <c r="N13" i="1"/>
  <c r="M9" i="1"/>
  <c r="M10" i="1" s="1"/>
  <c r="M11" i="1" s="1"/>
  <c r="M13" i="1"/>
  <c r="L9" i="1"/>
  <c r="L10" i="1" s="1"/>
  <c r="L11" i="1" s="1"/>
  <c r="L13" i="1"/>
  <c r="K9" i="1"/>
  <c r="K10" i="1" s="1"/>
  <c r="K11" i="1" s="1"/>
  <c r="K13" i="1"/>
  <c r="J9" i="1"/>
  <c r="J10" i="1" s="1"/>
  <c r="J11" i="1" s="1"/>
  <c r="J13" i="1"/>
  <c r="I9" i="1"/>
  <c r="I10" i="1" s="1"/>
  <c r="I11" i="1" s="1"/>
  <c r="I13" i="1"/>
  <c r="H9" i="1"/>
  <c r="H10" i="1" s="1"/>
  <c r="H11" i="1" s="1"/>
  <c r="H13" i="1"/>
  <c r="G25" i="1"/>
  <c r="G8" i="1"/>
  <c r="F25" i="1"/>
  <c r="F8" i="1"/>
  <c r="E25" i="1"/>
  <c r="E8" i="1"/>
  <c r="D25" i="1"/>
  <c r="D8" i="1"/>
  <c r="C25" i="1"/>
  <c r="C8" i="1"/>
  <c r="C110" i="4"/>
  <c r="W21" i="1" l="1"/>
  <c r="W9" i="1"/>
  <c r="W10" i="1" s="1"/>
  <c r="W11" i="1" s="1"/>
  <c r="W13" i="1"/>
  <c r="S21" i="1"/>
  <c r="S9" i="1"/>
  <c r="S10" i="1" s="1"/>
  <c r="S11" i="1" s="1"/>
  <c r="S13" i="1"/>
  <c r="Y21" i="1"/>
  <c r="Y13" i="1"/>
  <c r="Y9" i="1"/>
  <c r="Y10" i="1" s="1"/>
  <c r="Y11" i="1" s="1"/>
  <c r="V21" i="1"/>
  <c r="V9" i="1"/>
  <c r="V10" i="1" s="1"/>
  <c r="V11" i="1" s="1"/>
  <c r="V13" i="1"/>
  <c r="R21" i="1"/>
  <c r="R9" i="1"/>
  <c r="R10" i="1" s="1"/>
  <c r="R11" i="1" s="1"/>
  <c r="R13" i="1"/>
  <c r="G21" i="1"/>
  <c r="G9" i="1"/>
  <c r="G10" i="1" s="1"/>
  <c r="G11" i="1" s="1"/>
  <c r="G13" i="1"/>
  <c r="F21" i="1"/>
  <c r="F9" i="1"/>
  <c r="F10" i="1" s="1"/>
  <c r="F11" i="1" s="1"/>
  <c r="F13" i="1"/>
  <c r="E21" i="1"/>
  <c r="E9" i="1"/>
  <c r="E10" i="1" s="1"/>
  <c r="E11" i="1" s="1"/>
  <c r="E13" i="1"/>
  <c r="D21" i="1"/>
  <c r="D9" i="1"/>
  <c r="D10" i="1" s="1"/>
  <c r="D11" i="1" s="1"/>
  <c r="D13" i="1"/>
  <c r="C21" i="1"/>
  <c r="C9" i="1"/>
  <c r="C10" i="1" s="1"/>
  <c r="C13" i="1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D183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68" i="4" l="1"/>
  <c r="C170" i="4"/>
  <c r="C169" i="4"/>
  <c r="C124" i="4"/>
  <c r="C123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C184" i="4" l="1"/>
  <c r="C183" i="4"/>
  <c r="Y161" i="4" l="1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61" i="4" l="1"/>
  <c r="C160" i="4"/>
  <c r="C159" i="4"/>
  <c r="Y167" i="4" l="1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6" i="4" l="1"/>
  <c r="C167" i="4"/>
  <c r="C165" i="4"/>
  <c r="Y158" i="4" l="1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6" i="4" l="1"/>
  <c r="C155" i="4"/>
  <c r="Y154" i="4" l="1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Y153" i="4"/>
  <c r="X153" i="4"/>
  <c r="W153" i="4"/>
  <c r="V153" i="4"/>
  <c r="U153" i="4"/>
  <c r="T153" i="4"/>
  <c r="S153" i="4"/>
  <c r="R153" i="4"/>
  <c r="Q153" i="4"/>
  <c r="P153" i="4"/>
  <c r="O153" i="4"/>
  <c r="Y152" i="4"/>
  <c r="X152" i="4"/>
  <c r="W152" i="4"/>
  <c r="V152" i="4"/>
  <c r="U152" i="4"/>
  <c r="T152" i="4"/>
  <c r="S152" i="4"/>
  <c r="R152" i="4"/>
  <c r="Q152" i="4"/>
  <c r="P152" i="4"/>
  <c r="O152" i="4"/>
  <c r="Y151" i="4"/>
  <c r="X151" i="4"/>
  <c r="W151" i="4"/>
  <c r="V151" i="4"/>
  <c r="U151" i="4"/>
  <c r="T151" i="4"/>
  <c r="S151" i="4"/>
  <c r="R151" i="4"/>
  <c r="Q151" i="4"/>
  <c r="P151" i="4"/>
  <c r="O151" i="4"/>
  <c r="Y150" i="4"/>
  <c r="X150" i="4"/>
  <c r="W150" i="4"/>
  <c r="V150" i="4"/>
  <c r="U150" i="4"/>
  <c r="T150" i="4"/>
  <c r="S150" i="4"/>
  <c r="R150" i="4"/>
  <c r="Q150" i="4"/>
  <c r="P150" i="4"/>
  <c r="O150" i="4"/>
  <c r="Y149" i="4"/>
  <c r="X149" i="4"/>
  <c r="W149" i="4"/>
  <c r="V149" i="4"/>
  <c r="U149" i="4"/>
  <c r="T149" i="4"/>
  <c r="S149" i="4"/>
  <c r="R149" i="4"/>
  <c r="Q149" i="4"/>
  <c r="P149" i="4"/>
  <c r="O149" i="4"/>
  <c r="Y148" i="4"/>
  <c r="X148" i="4"/>
  <c r="W148" i="4"/>
  <c r="V148" i="4"/>
  <c r="U148" i="4"/>
  <c r="T148" i="4"/>
  <c r="S148" i="4"/>
  <c r="R148" i="4"/>
  <c r="Q148" i="4"/>
  <c r="P148" i="4"/>
  <c r="O148" i="4"/>
  <c r="Y145" i="4"/>
  <c r="Y146" i="4" s="1"/>
  <c r="X145" i="4"/>
  <c r="X147" i="4" s="1"/>
  <c r="W145" i="4"/>
  <c r="W147" i="4" s="1"/>
  <c r="V145" i="4"/>
  <c r="V146" i="4" s="1"/>
  <c r="U145" i="4"/>
  <c r="U147" i="4" s="1"/>
  <c r="T145" i="4"/>
  <c r="T147" i="4" s="1"/>
  <c r="S145" i="4"/>
  <c r="S146" i="4" s="1"/>
  <c r="R145" i="4"/>
  <c r="R146" i="4" s="1"/>
  <c r="Q145" i="4"/>
  <c r="Q147" i="4" s="1"/>
  <c r="P145" i="4"/>
  <c r="O145" i="4"/>
  <c r="O147" i="4" s="1"/>
  <c r="Y87" i="4"/>
  <c r="X87" i="4"/>
  <c r="W87" i="4"/>
  <c r="V87" i="4"/>
  <c r="U87" i="4"/>
  <c r="T87" i="4"/>
  <c r="S87" i="4"/>
  <c r="R87" i="4"/>
  <c r="Q87" i="4"/>
  <c r="P87" i="4"/>
  <c r="O87" i="4"/>
  <c r="Y80" i="4"/>
  <c r="X80" i="4"/>
  <c r="W80" i="4"/>
  <c r="V80" i="4"/>
  <c r="U80" i="4"/>
  <c r="T80" i="4"/>
  <c r="S80" i="4"/>
  <c r="R80" i="4"/>
  <c r="Q80" i="4"/>
  <c r="P80" i="4"/>
  <c r="O80" i="4"/>
  <c r="Y73" i="4"/>
  <c r="X73" i="4"/>
  <c r="W73" i="4"/>
  <c r="V73" i="4"/>
  <c r="U73" i="4"/>
  <c r="T73" i="4"/>
  <c r="S73" i="4"/>
  <c r="R73" i="4"/>
  <c r="Q73" i="4"/>
  <c r="P73" i="4"/>
  <c r="O73" i="4"/>
  <c r="C164" i="4" l="1"/>
  <c r="C162" i="4"/>
  <c r="C157" i="4"/>
  <c r="C154" i="4"/>
  <c r="C163" i="4"/>
  <c r="C158" i="4"/>
  <c r="O146" i="4"/>
  <c r="T146" i="4"/>
  <c r="S147" i="4"/>
  <c r="U146" i="4"/>
  <c r="V147" i="4"/>
  <c r="P147" i="4"/>
  <c r="P146" i="4"/>
  <c r="R147" i="4"/>
  <c r="Q146" i="4"/>
  <c r="Y147" i="4"/>
  <c r="W146" i="4"/>
  <c r="X146" i="4"/>
  <c r="Y181" i="4" l="1"/>
  <c r="X181" i="4"/>
  <c r="W181" i="4"/>
  <c r="V181" i="4"/>
  <c r="U181" i="4"/>
  <c r="T181" i="4"/>
  <c r="S181" i="4"/>
  <c r="R181" i="4"/>
  <c r="Q181" i="4"/>
  <c r="P181" i="4"/>
  <c r="O181" i="4"/>
  <c r="Y178" i="4"/>
  <c r="X178" i="4"/>
  <c r="W178" i="4"/>
  <c r="V178" i="4"/>
  <c r="U178" i="4"/>
  <c r="T178" i="4"/>
  <c r="S178" i="4"/>
  <c r="R178" i="4"/>
  <c r="Q178" i="4"/>
  <c r="P178" i="4"/>
  <c r="O178" i="4"/>
  <c r="Y175" i="4"/>
  <c r="X175" i="4"/>
  <c r="W175" i="4"/>
  <c r="V175" i="4"/>
  <c r="U175" i="4"/>
  <c r="T175" i="4"/>
  <c r="S175" i="4"/>
  <c r="R175" i="4"/>
  <c r="Q175" i="4"/>
  <c r="P175" i="4"/>
  <c r="O175" i="4"/>
  <c r="Y171" i="4"/>
  <c r="X171" i="4"/>
  <c r="W171" i="4"/>
  <c r="V171" i="4"/>
  <c r="U171" i="4"/>
  <c r="T171" i="4"/>
  <c r="S171" i="4"/>
  <c r="R171" i="4"/>
  <c r="Q171" i="4"/>
  <c r="P171" i="4"/>
  <c r="O171" i="4"/>
  <c r="Y142" i="4"/>
  <c r="X142" i="4"/>
  <c r="W142" i="4"/>
  <c r="V142" i="4"/>
  <c r="U142" i="4"/>
  <c r="T142" i="4"/>
  <c r="S142" i="4"/>
  <c r="R142" i="4"/>
  <c r="Q142" i="4"/>
  <c r="P142" i="4"/>
  <c r="O142" i="4"/>
  <c r="Y141" i="4"/>
  <c r="X141" i="4"/>
  <c r="W141" i="4"/>
  <c r="V141" i="4"/>
  <c r="U141" i="4"/>
  <c r="T141" i="4"/>
  <c r="S141" i="4"/>
  <c r="R141" i="4"/>
  <c r="Q141" i="4"/>
  <c r="P141" i="4"/>
  <c r="O141" i="4"/>
  <c r="Y138" i="4"/>
  <c r="X138" i="4"/>
  <c r="W138" i="4"/>
  <c r="V138" i="4"/>
  <c r="U138" i="4"/>
  <c r="T138" i="4"/>
  <c r="S138" i="4"/>
  <c r="R138" i="4"/>
  <c r="Q138" i="4"/>
  <c r="P138" i="4"/>
  <c r="O138" i="4"/>
  <c r="Y137" i="4"/>
  <c r="X137" i="4"/>
  <c r="W137" i="4"/>
  <c r="V137" i="4"/>
  <c r="U137" i="4"/>
  <c r="T137" i="4"/>
  <c r="S137" i="4"/>
  <c r="R137" i="4"/>
  <c r="Q137" i="4"/>
  <c r="P137" i="4"/>
  <c r="O137" i="4"/>
  <c r="Y136" i="4"/>
  <c r="X136" i="4"/>
  <c r="W136" i="4"/>
  <c r="V136" i="4"/>
  <c r="U136" i="4"/>
  <c r="T136" i="4"/>
  <c r="S136" i="4"/>
  <c r="R136" i="4"/>
  <c r="Q136" i="4"/>
  <c r="P136" i="4"/>
  <c r="O136" i="4"/>
  <c r="Y133" i="4"/>
  <c r="X133" i="4"/>
  <c r="W133" i="4"/>
  <c r="V133" i="4"/>
  <c r="U133" i="4"/>
  <c r="T133" i="4"/>
  <c r="S133" i="4"/>
  <c r="R133" i="4"/>
  <c r="Q133" i="4"/>
  <c r="P133" i="4"/>
  <c r="O133" i="4"/>
  <c r="Y132" i="4"/>
  <c r="X132" i="4"/>
  <c r="W132" i="4"/>
  <c r="V132" i="4"/>
  <c r="U132" i="4"/>
  <c r="T132" i="4"/>
  <c r="S132" i="4"/>
  <c r="R132" i="4"/>
  <c r="Q132" i="4"/>
  <c r="P132" i="4"/>
  <c r="O132" i="4"/>
  <c r="Y131" i="4"/>
  <c r="X131" i="4"/>
  <c r="W131" i="4"/>
  <c r="V131" i="4"/>
  <c r="U131" i="4"/>
  <c r="T131" i="4"/>
  <c r="S131" i="4"/>
  <c r="R131" i="4"/>
  <c r="Q131" i="4"/>
  <c r="P131" i="4"/>
  <c r="O131" i="4"/>
  <c r="Y128" i="4"/>
  <c r="X128" i="4"/>
  <c r="W128" i="4"/>
  <c r="V128" i="4"/>
  <c r="U128" i="4"/>
  <c r="T128" i="4"/>
  <c r="S128" i="4"/>
  <c r="R128" i="4"/>
  <c r="Q128" i="4"/>
  <c r="P128" i="4"/>
  <c r="O128" i="4"/>
  <c r="Y125" i="4"/>
  <c r="X125" i="4"/>
  <c r="W125" i="4"/>
  <c r="V125" i="4"/>
  <c r="U125" i="4"/>
  <c r="T125" i="4"/>
  <c r="S125" i="4"/>
  <c r="R125" i="4"/>
  <c r="Q125" i="4"/>
  <c r="P125" i="4"/>
  <c r="O125" i="4"/>
  <c r="Y120" i="4"/>
  <c r="X120" i="4"/>
  <c r="W120" i="4"/>
  <c r="V120" i="4"/>
  <c r="U120" i="4"/>
  <c r="T120" i="4"/>
  <c r="S120" i="4"/>
  <c r="R120" i="4"/>
  <c r="Q120" i="4"/>
  <c r="P120" i="4"/>
  <c r="O120" i="4"/>
  <c r="Y112" i="4"/>
  <c r="X112" i="4"/>
  <c r="W112" i="4"/>
  <c r="V112" i="4"/>
  <c r="U112" i="4"/>
  <c r="T112" i="4"/>
  <c r="S112" i="4"/>
  <c r="R112" i="4"/>
  <c r="Q112" i="4"/>
  <c r="P112" i="4"/>
  <c r="O112" i="4"/>
  <c r="Y107" i="4"/>
  <c r="Y111" i="4" s="1"/>
  <c r="X107" i="4"/>
  <c r="X111" i="4" s="1"/>
  <c r="W107" i="4"/>
  <c r="W111" i="4" s="1"/>
  <c r="V107" i="4"/>
  <c r="V111" i="4" s="1"/>
  <c r="U107" i="4"/>
  <c r="U111" i="4" s="1"/>
  <c r="T107" i="4"/>
  <c r="T111" i="4" s="1"/>
  <c r="S107" i="4"/>
  <c r="S111" i="4" s="1"/>
  <c r="R107" i="4"/>
  <c r="R111" i="4" s="1"/>
  <c r="Q107" i="4"/>
  <c r="Q111" i="4" s="1"/>
  <c r="P107" i="4"/>
  <c r="P111" i="4" s="1"/>
  <c r="O107" i="4"/>
  <c r="O111" i="4" s="1"/>
  <c r="Y106" i="4"/>
  <c r="X106" i="4"/>
  <c r="W106" i="4"/>
  <c r="V106" i="4"/>
  <c r="U106" i="4"/>
  <c r="T106" i="4"/>
  <c r="S106" i="4"/>
  <c r="R106" i="4"/>
  <c r="Q106" i="4"/>
  <c r="P106" i="4"/>
  <c r="O106" i="4"/>
  <c r="Y105" i="4"/>
  <c r="X105" i="4"/>
  <c r="W105" i="4"/>
  <c r="V105" i="4"/>
  <c r="U105" i="4"/>
  <c r="T105" i="4"/>
  <c r="S105" i="4"/>
  <c r="R105" i="4"/>
  <c r="Q105" i="4"/>
  <c r="P105" i="4"/>
  <c r="O105" i="4"/>
  <c r="Y104" i="4"/>
  <c r="X104" i="4"/>
  <c r="W104" i="4"/>
  <c r="V104" i="4"/>
  <c r="U104" i="4"/>
  <c r="T104" i="4"/>
  <c r="S104" i="4"/>
  <c r="R104" i="4"/>
  <c r="Q104" i="4"/>
  <c r="P104" i="4"/>
  <c r="O104" i="4"/>
  <c r="Y103" i="4"/>
  <c r="X103" i="4"/>
  <c r="W103" i="4"/>
  <c r="V103" i="4"/>
  <c r="U103" i="4"/>
  <c r="T103" i="4"/>
  <c r="S103" i="4"/>
  <c r="R103" i="4"/>
  <c r="Q103" i="4"/>
  <c r="P103" i="4"/>
  <c r="O103" i="4"/>
  <c r="Y102" i="4"/>
  <c r="X102" i="4"/>
  <c r="W102" i="4"/>
  <c r="V102" i="4"/>
  <c r="U102" i="4"/>
  <c r="T102" i="4"/>
  <c r="S102" i="4"/>
  <c r="R102" i="4"/>
  <c r="Q102" i="4"/>
  <c r="P102" i="4"/>
  <c r="O102" i="4"/>
  <c r="Y101" i="4"/>
  <c r="X101" i="4"/>
  <c r="W101" i="4"/>
  <c r="V101" i="4"/>
  <c r="U101" i="4"/>
  <c r="T101" i="4"/>
  <c r="S101" i="4"/>
  <c r="R101" i="4"/>
  <c r="Q101" i="4"/>
  <c r="P101" i="4"/>
  <c r="O101" i="4"/>
  <c r="Y100" i="4"/>
  <c r="X100" i="4"/>
  <c r="W100" i="4"/>
  <c r="V100" i="4"/>
  <c r="U100" i="4"/>
  <c r="T100" i="4"/>
  <c r="S100" i="4"/>
  <c r="R100" i="4"/>
  <c r="Q100" i="4"/>
  <c r="P100" i="4"/>
  <c r="O100" i="4"/>
  <c r="Y97" i="4"/>
  <c r="X97" i="4"/>
  <c r="W97" i="4"/>
  <c r="V97" i="4"/>
  <c r="U97" i="4"/>
  <c r="T97" i="4"/>
  <c r="S97" i="4"/>
  <c r="R97" i="4"/>
  <c r="Q97" i="4"/>
  <c r="P97" i="4"/>
  <c r="O97" i="4"/>
  <c r="Y96" i="4"/>
  <c r="X96" i="4"/>
  <c r="W96" i="4"/>
  <c r="V96" i="4"/>
  <c r="U96" i="4"/>
  <c r="T96" i="4"/>
  <c r="S96" i="4"/>
  <c r="R96" i="4"/>
  <c r="Q96" i="4"/>
  <c r="P96" i="4"/>
  <c r="O96" i="4"/>
  <c r="Y95" i="4"/>
  <c r="X95" i="4"/>
  <c r="W95" i="4"/>
  <c r="V95" i="4"/>
  <c r="U95" i="4"/>
  <c r="T95" i="4"/>
  <c r="S95" i="4"/>
  <c r="R95" i="4"/>
  <c r="Q95" i="4"/>
  <c r="P95" i="4"/>
  <c r="O95" i="4"/>
  <c r="Y92" i="4"/>
  <c r="X92" i="4"/>
  <c r="W92" i="4"/>
  <c r="V92" i="4"/>
  <c r="U92" i="4"/>
  <c r="T92" i="4"/>
  <c r="S92" i="4"/>
  <c r="R92" i="4"/>
  <c r="Q92" i="4"/>
  <c r="P92" i="4"/>
  <c r="O92" i="4"/>
  <c r="Y89" i="4"/>
  <c r="X89" i="4"/>
  <c r="W89" i="4"/>
  <c r="V89" i="4"/>
  <c r="U89" i="4"/>
  <c r="T89" i="4"/>
  <c r="S89" i="4"/>
  <c r="R89" i="4"/>
  <c r="Q89" i="4"/>
  <c r="P89" i="4"/>
  <c r="O89" i="4"/>
  <c r="Y86" i="4"/>
  <c r="X86" i="4"/>
  <c r="W86" i="4"/>
  <c r="V86" i="4"/>
  <c r="U86" i="4"/>
  <c r="T86" i="4"/>
  <c r="S86" i="4"/>
  <c r="R86" i="4"/>
  <c r="Q86" i="4"/>
  <c r="P86" i="4"/>
  <c r="O86" i="4"/>
  <c r="Y85" i="4"/>
  <c r="X85" i="4"/>
  <c r="W85" i="4"/>
  <c r="V85" i="4"/>
  <c r="U85" i="4"/>
  <c r="T85" i="4"/>
  <c r="S85" i="4"/>
  <c r="R85" i="4"/>
  <c r="Q85" i="4"/>
  <c r="P85" i="4"/>
  <c r="O85" i="4"/>
  <c r="Y82" i="4"/>
  <c r="X82" i="4"/>
  <c r="W82" i="4"/>
  <c r="V82" i="4"/>
  <c r="U82" i="4"/>
  <c r="T82" i="4"/>
  <c r="S82" i="4"/>
  <c r="R82" i="4"/>
  <c r="Q82" i="4"/>
  <c r="P82" i="4"/>
  <c r="O82" i="4"/>
  <c r="Y79" i="4"/>
  <c r="X79" i="4"/>
  <c r="W79" i="4"/>
  <c r="V79" i="4"/>
  <c r="U79" i="4"/>
  <c r="T79" i="4"/>
  <c r="S79" i="4"/>
  <c r="R79" i="4"/>
  <c r="Q79" i="4"/>
  <c r="P79" i="4"/>
  <c r="O79" i="4"/>
  <c r="Y78" i="4"/>
  <c r="X78" i="4"/>
  <c r="W78" i="4"/>
  <c r="V78" i="4"/>
  <c r="U78" i="4"/>
  <c r="T78" i="4"/>
  <c r="S78" i="4"/>
  <c r="R78" i="4"/>
  <c r="Q78" i="4"/>
  <c r="P78" i="4"/>
  <c r="O78" i="4"/>
  <c r="Y75" i="4"/>
  <c r="X75" i="4"/>
  <c r="W75" i="4"/>
  <c r="V75" i="4"/>
  <c r="U75" i="4"/>
  <c r="T75" i="4"/>
  <c r="S75" i="4"/>
  <c r="R75" i="4"/>
  <c r="Q75" i="4"/>
  <c r="P75" i="4"/>
  <c r="O75" i="4"/>
  <c r="Y72" i="4"/>
  <c r="X72" i="4"/>
  <c r="W72" i="4"/>
  <c r="V72" i="4"/>
  <c r="U72" i="4"/>
  <c r="T72" i="4"/>
  <c r="S72" i="4"/>
  <c r="R72" i="4"/>
  <c r="Q72" i="4"/>
  <c r="P72" i="4"/>
  <c r="O72" i="4"/>
  <c r="Y71" i="4"/>
  <c r="X71" i="4"/>
  <c r="W71" i="4"/>
  <c r="V71" i="4"/>
  <c r="U71" i="4"/>
  <c r="T71" i="4"/>
  <c r="S71" i="4"/>
  <c r="R71" i="4"/>
  <c r="Q71" i="4"/>
  <c r="P71" i="4"/>
  <c r="O71" i="4"/>
  <c r="Y68" i="4"/>
  <c r="X68" i="4"/>
  <c r="W68" i="4"/>
  <c r="V68" i="4"/>
  <c r="U68" i="4"/>
  <c r="T68" i="4"/>
  <c r="S68" i="4"/>
  <c r="R68" i="4"/>
  <c r="Q68" i="4"/>
  <c r="P68" i="4"/>
  <c r="O68" i="4"/>
  <c r="Y65" i="4"/>
  <c r="X65" i="4"/>
  <c r="W65" i="4"/>
  <c r="V65" i="4"/>
  <c r="U65" i="4"/>
  <c r="T65" i="4"/>
  <c r="S65" i="4"/>
  <c r="R65" i="4"/>
  <c r="Q65" i="4"/>
  <c r="P65" i="4"/>
  <c r="O65" i="4"/>
  <c r="Y64" i="4"/>
  <c r="X64" i="4"/>
  <c r="W64" i="4"/>
  <c r="V64" i="4"/>
  <c r="U64" i="4"/>
  <c r="T64" i="4"/>
  <c r="S64" i="4"/>
  <c r="R64" i="4"/>
  <c r="Q64" i="4"/>
  <c r="P64" i="4"/>
  <c r="O64" i="4"/>
  <c r="Y63" i="4"/>
  <c r="X63" i="4"/>
  <c r="W63" i="4"/>
  <c r="V63" i="4"/>
  <c r="U63" i="4"/>
  <c r="T63" i="4"/>
  <c r="S63" i="4"/>
  <c r="R63" i="4"/>
  <c r="Q63" i="4"/>
  <c r="P63" i="4"/>
  <c r="O63" i="4"/>
  <c r="Y62" i="4"/>
  <c r="X62" i="4"/>
  <c r="W62" i="4"/>
  <c r="V62" i="4"/>
  <c r="U62" i="4"/>
  <c r="T62" i="4"/>
  <c r="S62" i="4"/>
  <c r="R62" i="4"/>
  <c r="Q62" i="4"/>
  <c r="P62" i="4"/>
  <c r="O62" i="4"/>
  <c r="Y61" i="4"/>
  <c r="X61" i="4"/>
  <c r="W61" i="4"/>
  <c r="V61" i="4"/>
  <c r="U61" i="4"/>
  <c r="T61" i="4"/>
  <c r="S61" i="4"/>
  <c r="R61" i="4"/>
  <c r="Q61" i="4"/>
  <c r="P61" i="4"/>
  <c r="O61" i="4"/>
  <c r="Y60" i="4"/>
  <c r="X60" i="4"/>
  <c r="W60" i="4"/>
  <c r="V60" i="4"/>
  <c r="U60" i="4"/>
  <c r="T60" i="4"/>
  <c r="S60" i="4"/>
  <c r="R60" i="4"/>
  <c r="Q60" i="4"/>
  <c r="P60" i="4"/>
  <c r="O60" i="4"/>
  <c r="Y58" i="4"/>
  <c r="X58" i="4"/>
  <c r="W58" i="4"/>
  <c r="V58" i="4"/>
  <c r="U58" i="4"/>
  <c r="T58" i="4"/>
  <c r="S58" i="4"/>
  <c r="R58" i="4"/>
  <c r="Q58" i="4"/>
  <c r="P58" i="4"/>
  <c r="O58" i="4"/>
  <c r="Y57" i="4"/>
  <c r="X57" i="4"/>
  <c r="W57" i="4"/>
  <c r="V57" i="4"/>
  <c r="U57" i="4"/>
  <c r="T57" i="4"/>
  <c r="S57" i="4"/>
  <c r="R57" i="4"/>
  <c r="Q57" i="4"/>
  <c r="P57" i="4"/>
  <c r="O57" i="4"/>
  <c r="Y56" i="4"/>
  <c r="X56" i="4"/>
  <c r="W56" i="4"/>
  <c r="V56" i="4"/>
  <c r="U56" i="4"/>
  <c r="T56" i="4"/>
  <c r="S56" i="4"/>
  <c r="R56" i="4"/>
  <c r="Q56" i="4"/>
  <c r="P56" i="4"/>
  <c r="O56" i="4"/>
  <c r="Y55" i="4"/>
  <c r="X55" i="4"/>
  <c r="W55" i="4"/>
  <c r="V55" i="4"/>
  <c r="U55" i="4"/>
  <c r="T55" i="4"/>
  <c r="S55" i="4"/>
  <c r="R55" i="4"/>
  <c r="Q55" i="4"/>
  <c r="P55" i="4"/>
  <c r="O55" i="4"/>
  <c r="Y54" i="4"/>
  <c r="X54" i="4"/>
  <c r="W54" i="4"/>
  <c r="V54" i="4"/>
  <c r="U54" i="4"/>
  <c r="T54" i="4"/>
  <c r="S54" i="4"/>
  <c r="R54" i="4"/>
  <c r="Q54" i="4"/>
  <c r="P54" i="4"/>
  <c r="O54" i="4"/>
  <c r="Y53" i="4"/>
  <c r="X53" i="4"/>
  <c r="W53" i="4"/>
  <c r="V53" i="4"/>
  <c r="U53" i="4"/>
  <c r="T53" i="4"/>
  <c r="S53" i="4"/>
  <c r="R53" i="4"/>
  <c r="Q53" i="4"/>
  <c r="P53" i="4"/>
  <c r="O53" i="4"/>
  <c r="Y46" i="4"/>
  <c r="X46" i="4"/>
  <c r="W46" i="4"/>
  <c r="V46" i="4"/>
  <c r="U46" i="4"/>
  <c r="T46" i="4"/>
  <c r="S46" i="4"/>
  <c r="R46" i="4"/>
  <c r="Q46" i="4"/>
  <c r="P46" i="4"/>
  <c r="O46" i="4"/>
  <c r="Y43" i="4"/>
  <c r="X43" i="4"/>
  <c r="W43" i="4"/>
  <c r="V43" i="4"/>
  <c r="U43" i="4"/>
  <c r="T43" i="4"/>
  <c r="S43" i="4"/>
  <c r="R43" i="4"/>
  <c r="Q43" i="4"/>
  <c r="P43" i="4"/>
  <c r="O43" i="4"/>
  <c r="Y40" i="4"/>
  <c r="X40" i="4"/>
  <c r="W40" i="4"/>
  <c r="V40" i="4"/>
  <c r="U40" i="4"/>
  <c r="T40" i="4"/>
  <c r="S40" i="4"/>
  <c r="R40" i="4"/>
  <c r="Q40" i="4"/>
  <c r="P40" i="4"/>
  <c r="O40" i="4"/>
  <c r="Y33" i="4"/>
  <c r="X33" i="4"/>
  <c r="W33" i="4"/>
  <c r="V33" i="4"/>
  <c r="U33" i="4"/>
  <c r="T33" i="4"/>
  <c r="S33" i="4"/>
  <c r="R33" i="4"/>
  <c r="Q33" i="4"/>
  <c r="P33" i="4"/>
  <c r="O33" i="4"/>
  <c r="Y30" i="4"/>
  <c r="X30" i="4"/>
  <c r="W30" i="4"/>
  <c r="V30" i="4"/>
  <c r="U30" i="4"/>
  <c r="T30" i="4"/>
  <c r="S30" i="4"/>
  <c r="R30" i="4"/>
  <c r="Q30" i="4"/>
  <c r="P30" i="4"/>
  <c r="O30" i="4"/>
  <c r="Y27" i="4"/>
  <c r="X27" i="4"/>
  <c r="W27" i="4"/>
  <c r="V27" i="4"/>
  <c r="U27" i="4"/>
  <c r="T27" i="4"/>
  <c r="S27" i="4"/>
  <c r="R27" i="4"/>
  <c r="Q27" i="4"/>
  <c r="P27" i="4"/>
  <c r="O27" i="4"/>
  <c r="Y26" i="4"/>
  <c r="X26" i="4"/>
  <c r="W26" i="4"/>
  <c r="V26" i="4"/>
  <c r="U26" i="4"/>
  <c r="T26" i="4"/>
  <c r="S26" i="4"/>
  <c r="R26" i="4"/>
  <c r="Q26" i="4"/>
  <c r="P26" i="4"/>
  <c r="O26" i="4"/>
  <c r="Y25" i="4"/>
  <c r="X25" i="4"/>
  <c r="W25" i="4"/>
  <c r="V25" i="4"/>
  <c r="U25" i="4"/>
  <c r="T25" i="4"/>
  <c r="S25" i="4"/>
  <c r="R25" i="4"/>
  <c r="Q25" i="4"/>
  <c r="P25" i="4"/>
  <c r="O25" i="4"/>
  <c r="Y22" i="4"/>
  <c r="X22" i="4"/>
  <c r="W22" i="4"/>
  <c r="V22" i="4"/>
  <c r="U22" i="4"/>
  <c r="T22" i="4"/>
  <c r="S22" i="4"/>
  <c r="R22" i="4"/>
  <c r="Q22" i="4"/>
  <c r="P22" i="4"/>
  <c r="O22" i="4"/>
  <c r="Y18" i="4"/>
  <c r="X18" i="4"/>
  <c r="W18" i="4"/>
  <c r="V18" i="4"/>
  <c r="U18" i="4"/>
  <c r="T18" i="4"/>
  <c r="S18" i="4"/>
  <c r="R18" i="4"/>
  <c r="Q18" i="4"/>
  <c r="P18" i="4"/>
  <c r="O18" i="4"/>
  <c r="Y172" i="4" s="1"/>
  <c r="X172" i="4" s="1"/>
  <c r="W172" i="4" s="1"/>
  <c r="V172" i="4" s="1"/>
  <c r="U172" i="4" s="1"/>
  <c r="T172" i="4" s="1"/>
  <c r="S172" i="4" s="1"/>
  <c r="R172" i="4" s="1"/>
  <c r="Q172" i="4" s="1"/>
  <c r="P172" i="4" s="1"/>
  <c r="O172" i="4" s="1"/>
  <c r="Y67" i="4" s="1"/>
  <c r="X67" i="4" s="1"/>
  <c r="W67" i="4" s="1"/>
  <c r="V67" i="4" s="1"/>
  <c r="U67" i="4" s="1"/>
  <c r="T67" i="4" s="1"/>
  <c r="S67" i="4" s="1"/>
  <c r="R67" i="4" s="1"/>
  <c r="Q67" i="4" s="1"/>
  <c r="P67" i="4" s="1"/>
  <c r="O67" i="4" s="1"/>
  <c r="Y66" i="4" s="1"/>
  <c r="X66" i="4" s="1"/>
  <c r="W66" i="4" s="1"/>
  <c r="V66" i="4" s="1"/>
  <c r="U66" i="4" s="1"/>
  <c r="T66" i="4" s="1"/>
  <c r="S66" i="4" s="1"/>
  <c r="R66" i="4" s="1"/>
  <c r="Q66" i="4" s="1"/>
  <c r="P66" i="4" s="1"/>
  <c r="O66" i="4" s="1"/>
  <c r="Y59" i="4" s="1"/>
  <c r="X59" i="4" s="1"/>
  <c r="W59" i="4" s="1"/>
  <c r="V59" i="4" s="1"/>
  <c r="U59" i="4" s="1"/>
  <c r="T59" i="4" s="1"/>
  <c r="S59" i="4" s="1"/>
  <c r="R59" i="4" s="1"/>
  <c r="Q59" i="4" s="1"/>
  <c r="P59" i="4" s="1"/>
  <c r="O59" i="4" s="1"/>
  <c r="S50" i="4" s="1"/>
  <c r="R50" i="4" s="1"/>
  <c r="Q50" i="4" s="1"/>
  <c r="P50" i="4" s="1"/>
  <c r="O50" i="4" s="1"/>
  <c r="Y36" i="4" s="1"/>
  <c r="X36" i="4" s="1"/>
  <c r="W36" i="4" s="1"/>
  <c r="V36" i="4" s="1"/>
  <c r="U36" i="4" s="1"/>
  <c r="T36" i="4" s="1"/>
  <c r="S36" i="4" s="1"/>
  <c r="R36" i="4" s="1"/>
  <c r="Q36" i="4" s="1"/>
  <c r="P36" i="4" s="1"/>
  <c r="O36" i="4" s="1"/>
  <c r="U41" i="4" l="1"/>
  <c r="U42" i="4"/>
  <c r="W91" i="4"/>
  <c r="W90" i="4"/>
  <c r="O130" i="4"/>
  <c r="O129" i="4"/>
  <c r="W44" i="4"/>
  <c r="W45" i="4"/>
  <c r="P32" i="4"/>
  <c r="P31" i="4"/>
  <c r="Y93" i="4"/>
  <c r="Y94" i="4"/>
  <c r="T23" i="4"/>
  <c r="T24" i="4"/>
  <c r="X31" i="4"/>
  <c r="X32" i="4"/>
  <c r="T41" i="4"/>
  <c r="T42" i="4"/>
  <c r="W70" i="4"/>
  <c r="W69" i="4"/>
  <c r="T91" i="4"/>
  <c r="T90" i="4"/>
  <c r="X99" i="4"/>
  <c r="X98" i="4"/>
  <c r="U114" i="4"/>
  <c r="U113" i="4"/>
  <c r="W126" i="4"/>
  <c r="W127" i="4"/>
  <c r="R139" i="4"/>
  <c r="R140" i="4"/>
  <c r="T143" i="4"/>
  <c r="T144" i="4"/>
  <c r="T176" i="4"/>
  <c r="T177" i="4"/>
  <c r="V91" i="4"/>
  <c r="V90" i="4"/>
  <c r="V143" i="4"/>
  <c r="V144" i="4"/>
  <c r="U139" i="4"/>
  <c r="U140" i="4"/>
  <c r="X24" i="4"/>
  <c r="X23" i="4"/>
  <c r="O28" i="4"/>
  <c r="O29" i="4"/>
  <c r="Q34" i="4"/>
  <c r="Q35" i="4"/>
  <c r="X41" i="4"/>
  <c r="X42" i="4"/>
  <c r="R77" i="4"/>
  <c r="R76" i="4"/>
  <c r="X91" i="4"/>
  <c r="X90" i="4"/>
  <c r="Y113" i="4"/>
  <c r="Y114" i="4"/>
  <c r="P129" i="4"/>
  <c r="P130" i="4"/>
  <c r="V140" i="4"/>
  <c r="V139" i="4"/>
  <c r="X144" i="4"/>
  <c r="X143" i="4"/>
  <c r="X176" i="4"/>
  <c r="X177" i="4"/>
  <c r="Y24" i="4"/>
  <c r="Y23" i="4"/>
  <c r="P28" i="4"/>
  <c r="P29" i="4"/>
  <c r="R34" i="4"/>
  <c r="R35" i="4"/>
  <c r="Y42" i="4"/>
  <c r="Y41" i="4"/>
  <c r="S77" i="4"/>
  <c r="S76" i="4"/>
  <c r="Y91" i="4"/>
  <c r="Y90" i="4"/>
  <c r="O121" i="4"/>
  <c r="O122" i="4"/>
  <c r="Q130" i="4"/>
  <c r="Q129" i="4"/>
  <c r="W139" i="4"/>
  <c r="W140" i="4"/>
  <c r="Y143" i="4"/>
  <c r="Y144" i="4"/>
  <c r="Y176" i="4"/>
  <c r="Y177" i="4"/>
  <c r="Q28" i="4"/>
  <c r="Q29" i="4"/>
  <c r="S34" i="4"/>
  <c r="S35" i="4"/>
  <c r="O45" i="4"/>
  <c r="O44" i="4"/>
  <c r="T77" i="4"/>
  <c r="T76" i="4"/>
  <c r="O94" i="4"/>
  <c r="O93" i="4"/>
  <c r="P121" i="4"/>
  <c r="P122" i="4"/>
  <c r="R130" i="4"/>
  <c r="R129" i="4"/>
  <c r="X139" i="4"/>
  <c r="X140" i="4"/>
  <c r="O180" i="4"/>
  <c r="O179" i="4"/>
  <c r="U143" i="4"/>
  <c r="U144" i="4"/>
  <c r="W143" i="4"/>
  <c r="W144" i="4"/>
  <c r="P44" i="4"/>
  <c r="P45" i="4"/>
  <c r="S29" i="4"/>
  <c r="S28" i="4"/>
  <c r="U34" i="4"/>
  <c r="U35" i="4"/>
  <c r="Q45" i="4"/>
  <c r="Q44" i="4"/>
  <c r="V76" i="4"/>
  <c r="V77" i="4"/>
  <c r="Q94" i="4"/>
  <c r="Q93" i="4"/>
  <c r="P108" i="4"/>
  <c r="P109" i="4"/>
  <c r="T129" i="4"/>
  <c r="T130" i="4"/>
  <c r="Q180" i="4"/>
  <c r="Q179" i="4"/>
  <c r="T121" i="4"/>
  <c r="T122" i="4"/>
  <c r="R19" i="4"/>
  <c r="R20" i="4"/>
  <c r="S109" i="4"/>
  <c r="S108" i="4"/>
  <c r="W129" i="4"/>
  <c r="W130" i="4"/>
  <c r="T179" i="4"/>
  <c r="T180" i="4"/>
  <c r="O34" i="4"/>
  <c r="O35" i="4"/>
  <c r="P94" i="4"/>
  <c r="P93" i="4"/>
  <c r="P20" i="4"/>
  <c r="P19" i="4"/>
  <c r="T29" i="4"/>
  <c r="T28" i="4"/>
  <c r="V34" i="4"/>
  <c r="V35" i="4"/>
  <c r="R44" i="4"/>
  <c r="R45" i="4"/>
  <c r="W77" i="4"/>
  <c r="W76" i="4"/>
  <c r="R94" i="4"/>
  <c r="R93" i="4"/>
  <c r="Q108" i="4"/>
  <c r="Q109" i="4"/>
  <c r="S121" i="4"/>
  <c r="S122" i="4"/>
  <c r="U129" i="4"/>
  <c r="U130" i="4"/>
  <c r="R179" i="4"/>
  <c r="R180" i="4"/>
  <c r="Q20" i="4"/>
  <c r="Q19" i="4"/>
  <c r="W35" i="4"/>
  <c r="W34" i="4"/>
  <c r="S44" i="4"/>
  <c r="S45" i="4"/>
  <c r="X76" i="4"/>
  <c r="X77" i="4"/>
  <c r="S94" i="4"/>
  <c r="S93" i="4"/>
  <c r="R108" i="4"/>
  <c r="R109" i="4"/>
  <c r="S180" i="4"/>
  <c r="S179" i="4"/>
  <c r="V28" i="4"/>
  <c r="V29" i="4"/>
  <c r="T44" i="4"/>
  <c r="T45" i="4"/>
  <c r="Y76" i="4"/>
  <c r="Y77" i="4"/>
  <c r="P83" i="4"/>
  <c r="P84" i="4"/>
  <c r="T93" i="4"/>
  <c r="T94" i="4"/>
  <c r="U121" i="4"/>
  <c r="U122" i="4"/>
  <c r="S19" i="4"/>
  <c r="S20" i="4"/>
  <c r="W28" i="4"/>
  <c r="W29" i="4"/>
  <c r="Y35" i="4"/>
  <c r="Y34" i="4"/>
  <c r="U44" i="4"/>
  <c r="U45" i="4"/>
  <c r="Q83" i="4"/>
  <c r="Q84" i="4"/>
  <c r="U94" i="4"/>
  <c r="U93" i="4"/>
  <c r="T109" i="4"/>
  <c r="T108" i="4"/>
  <c r="V121" i="4"/>
  <c r="V122" i="4"/>
  <c r="X129" i="4"/>
  <c r="X130" i="4"/>
  <c r="O135" i="4" a="1"/>
  <c r="O135" i="4" s="1"/>
  <c r="O134" i="4" a="1"/>
  <c r="O134" i="4" s="1"/>
  <c r="U179" i="4"/>
  <c r="U180" i="4"/>
  <c r="V41" i="4"/>
  <c r="V42" i="4"/>
  <c r="Y127" i="4"/>
  <c r="Y126" i="4"/>
  <c r="W176" i="4"/>
  <c r="W177" i="4"/>
  <c r="R28" i="4"/>
  <c r="R29" i="4"/>
  <c r="T34" i="4"/>
  <c r="T35" i="4"/>
  <c r="U77" i="4"/>
  <c r="U76" i="4"/>
  <c r="O108" i="4"/>
  <c r="O109" i="4"/>
  <c r="Q121" i="4"/>
  <c r="Q122" i="4"/>
  <c r="S129" i="4"/>
  <c r="S130" i="4"/>
  <c r="Y139" i="4"/>
  <c r="Y140" i="4"/>
  <c r="P180" i="4"/>
  <c r="P179" i="4"/>
  <c r="O20" i="4"/>
  <c r="O19" i="4"/>
  <c r="R121" i="4"/>
  <c r="R122" i="4"/>
  <c r="U29" i="4"/>
  <c r="U28" i="4"/>
  <c r="O84" i="4"/>
  <c r="O83" i="4"/>
  <c r="V130" i="4"/>
  <c r="V129" i="4"/>
  <c r="X35" i="4"/>
  <c r="X34" i="4"/>
  <c r="T20" i="4"/>
  <c r="T19" i="4"/>
  <c r="X29" i="4"/>
  <c r="X28" i="4"/>
  <c r="V44" i="4"/>
  <c r="V45" i="4"/>
  <c r="R83" i="4"/>
  <c r="R84" i="4"/>
  <c r="V94" i="4"/>
  <c r="V93" i="4"/>
  <c r="U109" i="4"/>
  <c r="U108" i="4"/>
  <c r="W122" i="4"/>
  <c r="W121" i="4"/>
  <c r="Y129" i="4"/>
  <c r="Y130" i="4"/>
  <c r="P134" i="4" a="1"/>
  <c r="P134" i="4" s="1"/>
  <c r="P135" i="4" a="1"/>
  <c r="P135" i="4" s="1"/>
  <c r="V179" i="4"/>
  <c r="V180" i="4"/>
  <c r="U23" i="4"/>
  <c r="U24" i="4"/>
  <c r="Y31" i="4"/>
  <c r="Y32" i="4"/>
  <c r="O77" i="4"/>
  <c r="O76" i="4"/>
  <c r="U91" i="4"/>
  <c r="U90" i="4"/>
  <c r="Y99" i="4"/>
  <c r="Y98" i="4"/>
  <c r="V114" i="4"/>
  <c r="V113" i="4"/>
  <c r="X126" i="4"/>
  <c r="X127" i="4"/>
  <c r="S139" i="4"/>
  <c r="S140" i="4"/>
  <c r="U176" i="4"/>
  <c r="U177" i="4"/>
  <c r="V177" i="4"/>
  <c r="V176" i="4"/>
  <c r="W24" i="4"/>
  <c r="W23" i="4"/>
  <c r="W41" i="4"/>
  <c r="W42" i="4"/>
  <c r="Q77" i="4"/>
  <c r="Q76" i="4"/>
  <c r="X93" i="4"/>
  <c r="X94" i="4"/>
  <c r="W83" i="4"/>
  <c r="W84" i="4"/>
  <c r="Q126" i="4"/>
  <c r="Q127" i="4"/>
  <c r="O23" i="4"/>
  <c r="O24" i="4"/>
  <c r="S31" i="4"/>
  <c r="S32" i="4"/>
  <c r="O42" i="4"/>
  <c r="O41" i="4"/>
  <c r="R70" i="4"/>
  <c r="R69" i="4"/>
  <c r="X84" i="4"/>
  <c r="X83" i="4"/>
  <c r="O91" i="4"/>
  <c r="O90" i="4"/>
  <c r="S99" i="4"/>
  <c r="S98" i="4"/>
  <c r="P114" i="4"/>
  <c r="P113" i="4"/>
  <c r="R126" i="4"/>
  <c r="R127" i="4"/>
  <c r="V134" i="4" a="1"/>
  <c r="V134" i="4" s="1"/>
  <c r="V135" i="4" a="1"/>
  <c r="V135" i="4" s="1"/>
  <c r="O144" i="4"/>
  <c r="O143" i="4"/>
  <c r="O177" i="4"/>
  <c r="O176" i="4"/>
  <c r="P77" i="4"/>
  <c r="P76" i="4"/>
  <c r="W114" i="4"/>
  <c r="W113" i="4"/>
  <c r="T139" i="4"/>
  <c r="T140" i="4"/>
  <c r="P34" i="4"/>
  <c r="P35" i="4"/>
  <c r="S84" i="4"/>
  <c r="S83" i="4"/>
  <c r="V20" i="4"/>
  <c r="V19" i="4"/>
  <c r="O31" i="4"/>
  <c r="O32" i="4"/>
  <c r="X44" i="4"/>
  <c r="X45" i="4"/>
  <c r="T83" i="4"/>
  <c r="T84" i="4"/>
  <c r="O98" i="4"/>
  <c r="O99" i="4"/>
  <c r="W108" i="4"/>
  <c r="W109" i="4"/>
  <c r="Y122" i="4"/>
  <c r="Y121" i="4"/>
  <c r="R135" i="4" a="1"/>
  <c r="R135" i="4" s="1"/>
  <c r="R134" i="4" a="1"/>
  <c r="R134" i="4" s="1"/>
  <c r="X180" i="4"/>
  <c r="X179" i="4"/>
  <c r="P23" i="4"/>
  <c r="P24" i="4"/>
  <c r="T31" i="4"/>
  <c r="T32" i="4"/>
  <c r="P42" i="4"/>
  <c r="P41" i="4"/>
  <c r="S70" i="4"/>
  <c r="S69" i="4"/>
  <c r="Y84" i="4"/>
  <c r="Y83" i="4"/>
  <c r="P91" i="4"/>
  <c r="P90" i="4"/>
  <c r="T98" i="4"/>
  <c r="T99" i="4"/>
  <c r="Q113" i="4"/>
  <c r="Q114" i="4"/>
  <c r="S126" i="4"/>
  <c r="S127" i="4"/>
  <c r="W135" i="4" a="1"/>
  <c r="W135" i="4" s="1"/>
  <c r="W134" i="4" a="1"/>
  <c r="W134" i="4" s="1"/>
  <c r="P144" i="4"/>
  <c r="P143" i="4"/>
  <c r="P176" i="4"/>
  <c r="P177" i="4"/>
  <c r="V24" i="4"/>
  <c r="V23" i="4"/>
  <c r="Y70" i="4"/>
  <c r="Y69" i="4"/>
  <c r="U20" i="4"/>
  <c r="U19" i="4"/>
  <c r="Y29" i="4"/>
  <c r="Y28" i="4"/>
  <c r="W93" i="4"/>
  <c r="W94" i="4"/>
  <c r="V108" i="4"/>
  <c r="V109" i="4"/>
  <c r="X122" i="4"/>
  <c r="X121" i="4"/>
  <c r="W179" i="4"/>
  <c r="W180" i="4"/>
  <c r="W20" i="4"/>
  <c r="W19" i="4"/>
  <c r="Y44" i="4"/>
  <c r="Y45" i="4"/>
  <c r="O69" i="4"/>
  <c r="O70" i="4"/>
  <c r="U83" i="4"/>
  <c r="U84" i="4"/>
  <c r="P98" i="4"/>
  <c r="P99" i="4"/>
  <c r="X109" i="4"/>
  <c r="X108" i="4"/>
  <c r="O127" i="4"/>
  <c r="O126" i="4"/>
  <c r="Y179" i="4"/>
  <c r="Y180" i="4"/>
  <c r="Q31" i="4"/>
  <c r="Q32" i="4"/>
  <c r="V83" i="4"/>
  <c r="V84" i="4"/>
  <c r="Y109" i="4"/>
  <c r="Y108" i="4"/>
  <c r="Q24" i="4"/>
  <c r="Q23" i="4"/>
  <c r="U32" i="4"/>
  <c r="U31" i="4"/>
  <c r="Q41" i="4"/>
  <c r="Q42" i="4"/>
  <c r="T70" i="4"/>
  <c r="T69" i="4"/>
  <c r="Q91" i="4"/>
  <c r="Q90" i="4"/>
  <c r="U98" i="4"/>
  <c r="U99" i="4"/>
  <c r="R113" i="4"/>
  <c r="R114" i="4"/>
  <c r="T127" i="4"/>
  <c r="T126" i="4"/>
  <c r="X134" i="4" a="1"/>
  <c r="X134" i="4" s="1"/>
  <c r="X135" i="4" a="1"/>
  <c r="X135" i="4" s="1"/>
  <c r="O140" i="4"/>
  <c r="O139" i="4"/>
  <c r="Q144" i="4"/>
  <c r="Q143" i="4"/>
  <c r="Q177" i="4"/>
  <c r="Q176" i="4"/>
  <c r="X70" i="4"/>
  <c r="X69" i="4"/>
  <c r="P69" i="4"/>
  <c r="P70" i="4"/>
  <c r="Q99" i="4"/>
  <c r="Q98" i="4"/>
  <c r="P127" i="4"/>
  <c r="P126" i="4"/>
  <c r="T134" i="4" a="1"/>
  <c r="T134" i="4" s="1"/>
  <c r="T135" i="4" a="1"/>
  <c r="T135" i="4" s="1"/>
  <c r="Y20" i="4"/>
  <c r="Y19" i="4"/>
  <c r="R31" i="4"/>
  <c r="R32" i="4"/>
  <c r="Q69" i="4"/>
  <c r="Q70" i="4"/>
  <c r="R99" i="4"/>
  <c r="R98" i="4"/>
  <c r="O113" i="4"/>
  <c r="O114" i="4"/>
  <c r="U134" i="4" a="1"/>
  <c r="U134" i="4" s="1"/>
  <c r="U135" i="4" a="1"/>
  <c r="U135" i="4" s="1"/>
  <c r="R24" i="4"/>
  <c r="R23" i="4"/>
  <c r="V32" i="4"/>
  <c r="V31" i="4"/>
  <c r="R41" i="4"/>
  <c r="R42" i="4"/>
  <c r="R38" i="4" s="1"/>
  <c r="U69" i="4"/>
  <c r="U70" i="4"/>
  <c r="R90" i="4"/>
  <c r="R91" i="4"/>
  <c r="V99" i="4"/>
  <c r="V98" i="4"/>
  <c r="S113" i="4"/>
  <c r="S114" i="4"/>
  <c r="U126" i="4"/>
  <c r="U127" i="4"/>
  <c r="Y134" i="4" a="1"/>
  <c r="Y134" i="4" s="1"/>
  <c r="Y135" i="4" a="1"/>
  <c r="Y135" i="4" s="1"/>
  <c r="P139" i="4"/>
  <c r="P140" i="4"/>
  <c r="R143" i="4"/>
  <c r="R144" i="4"/>
  <c r="R177" i="4"/>
  <c r="R176" i="4"/>
  <c r="X113" i="4"/>
  <c r="X114" i="4"/>
  <c r="Q134" i="4" a="1"/>
  <c r="Q134" i="4" s="1"/>
  <c r="Q135" i="4" a="1"/>
  <c r="Q135" i="4" s="1"/>
  <c r="S135" i="4" a="1"/>
  <c r="S135" i="4" s="1"/>
  <c r="S134" i="4" a="1"/>
  <c r="S134" i="4" s="1"/>
  <c r="X20" i="4"/>
  <c r="X19" i="4"/>
  <c r="S24" i="4"/>
  <c r="S23" i="4"/>
  <c r="W32" i="4"/>
  <c r="W31" i="4"/>
  <c r="S41" i="4"/>
  <c r="S42" i="4"/>
  <c r="V69" i="4"/>
  <c r="V70" i="4"/>
  <c r="S90" i="4"/>
  <c r="S91" i="4"/>
  <c r="W99" i="4"/>
  <c r="W98" i="4"/>
  <c r="T113" i="4"/>
  <c r="T114" i="4"/>
  <c r="V126" i="4"/>
  <c r="V127" i="4"/>
  <c r="Q140" i="4"/>
  <c r="Q139" i="4"/>
  <c r="S144" i="4"/>
  <c r="S143" i="4"/>
  <c r="S176" i="4"/>
  <c r="S177" i="4"/>
  <c r="X52" i="4"/>
  <c r="Y52" i="4"/>
  <c r="P51" i="4"/>
  <c r="Q88" i="4"/>
  <c r="Y81" i="4"/>
  <c r="O51" i="4"/>
  <c r="W81" i="4"/>
  <c r="W52" i="4"/>
  <c r="S52" i="4"/>
  <c r="Q51" i="4"/>
  <c r="R88" i="4"/>
  <c r="T52" i="4"/>
  <c r="P74" i="4"/>
  <c r="U81" i="4"/>
  <c r="Y88" i="4"/>
  <c r="P81" i="4"/>
  <c r="R51" i="4"/>
  <c r="T51" i="4"/>
  <c r="O52" i="4"/>
  <c r="P52" i="4"/>
  <c r="Q52" i="4"/>
  <c r="R52" i="4"/>
  <c r="U52" i="4"/>
  <c r="X81" i="4"/>
  <c r="V8" i="4" s="1"/>
  <c r="V11" i="4" s="1"/>
  <c r="V14" i="4" s="1"/>
  <c r="W74" i="4"/>
  <c r="O88" i="4"/>
  <c r="V52" i="4"/>
  <c r="V81" i="4"/>
  <c r="P88" i="4"/>
  <c r="V51" i="4"/>
  <c r="T47" i="4" s="1"/>
  <c r="U8" i="4" s="1"/>
  <c r="U11" i="4" s="1"/>
  <c r="U14" i="4" s="1"/>
  <c r="Y51" i="4"/>
  <c r="O74" i="4"/>
  <c r="W8" i="4" s="1"/>
  <c r="W11" i="4" s="1"/>
  <c r="W14" i="4" s="1"/>
  <c r="Q81" i="4"/>
  <c r="S88" i="4"/>
  <c r="X8" i="4" s="1"/>
  <c r="X11" i="4" s="1"/>
  <c r="X14" i="4" s="1"/>
  <c r="Y8" i="4" s="1"/>
  <c r="Y11" i="4" s="1"/>
  <c r="Y14" i="4" s="1"/>
  <c r="O81" i="4"/>
  <c r="U74" i="4"/>
  <c r="T50" i="4"/>
  <c r="U50" i="4"/>
  <c r="V50" i="4"/>
  <c r="W51" i="4"/>
  <c r="S74" i="4"/>
  <c r="W50" i="4"/>
  <c r="X50" i="4"/>
  <c r="Y50" i="4"/>
  <c r="S81" i="4"/>
  <c r="X51" i="4"/>
  <c r="X74" i="4"/>
  <c r="R81" i="4"/>
  <c r="V74" i="4"/>
  <c r="T88" i="4"/>
  <c r="X88" i="4"/>
  <c r="Y74" i="4"/>
  <c r="W88" i="4"/>
  <c r="T81" i="4"/>
  <c r="T74" i="4"/>
  <c r="R74" i="4"/>
  <c r="Q74" i="4"/>
  <c r="U88" i="4"/>
  <c r="S51" i="4"/>
  <c r="V88" i="4"/>
  <c r="U51" i="4"/>
  <c r="Y47" i="4" s="1"/>
  <c r="X47" i="4" s="1"/>
  <c r="W47" i="4" s="1"/>
  <c r="V47" i="4" s="1"/>
  <c r="U47" i="4" s="1"/>
  <c r="S17" i="4" s="1"/>
  <c r="R47" i="4" s="1"/>
  <c r="Q8" i="4" s="1"/>
  <c r="Q11" i="4" s="1"/>
  <c r="Q14" i="4" s="1"/>
  <c r="P47" i="4" s="1"/>
  <c r="O47" i="4" s="1"/>
  <c r="O8" i="4" s="1"/>
  <c r="O11" i="4" s="1"/>
  <c r="O14" i="4" s="1"/>
  <c r="R8" i="4" s="1"/>
  <c r="R11" i="4" s="1"/>
  <c r="R14" i="4" s="1"/>
  <c r="T8" i="4" s="1"/>
  <c r="T11" i="4" s="1"/>
  <c r="T14" i="4" s="1"/>
  <c r="Q47" i="4" s="1"/>
  <c r="S47" i="4" s="1"/>
  <c r="P8" i="4" s="1"/>
  <c r="P11" i="4" s="1"/>
  <c r="P14" i="4" s="1"/>
  <c r="P38" i="4" l="1"/>
  <c r="U174" i="4"/>
  <c r="P174" i="4"/>
  <c r="P10" i="4" s="1"/>
  <c r="P37" i="4"/>
  <c r="O174" i="4"/>
  <c r="O49" i="4" s="1"/>
  <c r="S174" i="4"/>
  <c r="S49" i="4" s="1"/>
  <c r="U38" i="4"/>
  <c r="T38" i="4"/>
  <c r="V37" i="4"/>
  <c r="Q174" i="4"/>
  <c r="Q10" i="4" s="1"/>
  <c r="V38" i="4"/>
  <c r="X174" i="4"/>
  <c r="X10" i="4" s="1"/>
  <c r="Y37" i="4"/>
  <c r="T173" i="4"/>
  <c r="T9" i="4" s="1"/>
  <c r="V174" i="4"/>
  <c r="V10" i="4" s="1"/>
  <c r="Y174" i="4"/>
  <c r="Y10" i="4" s="1"/>
  <c r="W38" i="4"/>
  <c r="S37" i="4"/>
  <c r="Y38" i="4"/>
  <c r="R37" i="4"/>
  <c r="Q37" i="4"/>
  <c r="R174" i="4"/>
  <c r="R10" i="4" s="1"/>
  <c r="R13" i="4" s="1"/>
  <c r="R16" i="4" s="1"/>
  <c r="W174" i="4"/>
  <c r="W49" i="4" s="1"/>
  <c r="X38" i="4"/>
  <c r="X17" i="4" s="1"/>
  <c r="P173" i="4"/>
  <c r="P48" i="4" s="1"/>
  <c r="Y173" i="4"/>
  <c r="Y9" i="4" s="1"/>
  <c r="O38" i="4"/>
  <c r="X21" i="4" s="1"/>
  <c r="X173" i="4"/>
  <c r="X9" i="4" s="1"/>
  <c r="V173" i="4"/>
  <c r="V9" i="4" s="1"/>
  <c r="Q173" i="4"/>
  <c r="Q48" i="4" s="1"/>
  <c r="O173" i="4"/>
  <c r="O9" i="4" s="1"/>
  <c r="R173" i="4"/>
  <c r="U49" i="4"/>
  <c r="W21" i="4" s="1"/>
  <c r="U173" i="4"/>
  <c r="U48" i="4" s="1"/>
  <c r="T37" i="4"/>
  <c r="V39" i="4" s="1"/>
  <c r="V21" i="4" s="1"/>
  <c r="W17" i="4" s="1"/>
  <c r="V17" i="4" s="1"/>
  <c r="Y17" i="4" s="1"/>
  <c r="Q38" i="4"/>
  <c r="Q39" i="4" s="1"/>
  <c r="Y39" i="4" s="1"/>
  <c r="U37" i="4"/>
  <c r="W37" i="4"/>
  <c r="U17" i="4" s="1"/>
  <c r="Q17" i="4" s="1"/>
  <c r="X39" i="4" s="1"/>
  <c r="W39" i="4" s="1"/>
  <c r="Q21" i="4" s="1"/>
  <c r="U21" i="4" s="1"/>
  <c r="U39" i="4" s="1"/>
  <c r="S38" i="4"/>
  <c r="Y21" i="4" s="1"/>
  <c r="W173" i="4"/>
  <c r="W48" i="4" s="1"/>
  <c r="S39" i="4" s="1"/>
  <c r="S8" i="4"/>
  <c r="S11" i="4" s="1"/>
  <c r="S14" i="4" s="1"/>
  <c r="S173" i="4"/>
  <c r="S9" i="4" s="1"/>
  <c r="U10" i="4"/>
  <c r="X37" i="4"/>
  <c r="T174" i="4"/>
  <c r="O37" i="4"/>
  <c r="S21" i="4" s="1"/>
  <c r="T17" i="4" s="1"/>
  <c r="T21" i="4" s="1"/>
  <c r="R21" i="4" s="1"/>
  <c r="R39" i="4" s="1"/>
  <c r="R17" i="4" s="1"/>
  <c r="O21" i="4" s="1"/>
  <c r="O17" i="4" s="1"/>
  <c r="O39" i="4" s="1"/>
  <c r="P21" i="4" s="1"/>
  <c r="P39" i="4" s="1"/>
  <c r="P17" i="4" s="1"/>
  <c r="T39" i="4" s="1"/>
  <c r="O10" i="4" l="1"/>
  <c r="S10" i="4"/>
  <c r="S13" i="4" s="1"/>
  <c r="S16" i="4" s="1"/>
  <c r="R49" i="4"/>
  <c r="P49" i="4"/>
  <c r="X13" i="4"/>
  <c r="X16" i="4" s="1"/>
  <c r="P13" i="4"/>
  <c r="P16" i="4" s="1"/>
  <c r="Y12" i="4"/>
  <c r="Y15" i="4" s="1"/>
  <c r="X49" i="4"/>
  <c r="W10" i="4"/>
  <c r="W13" i="4" s="1"/>
  <c r="W16" i="4" s="1"/>
  <c r="T48" i="4"/>
  <c r="Y13" i="4"/>
  <c r="Y16" i="4" s="1"/>
  <c r="V13" i="4"/>
  <c r="V16" i="4" s="1"/>
  <c r="Q49" i="4"/>
  <c r="X48" i="4"/>
  <c r="U13" i="4"/>
  <c r="U16" i="4" s="1"/>
  <c r="V49" i="4"/>
  <c r="V12" i="4"/>
  <c r="V15" i="4" s="1"/>
  <c r="Y49" i="4"/>
  <c r="S12" i="4"/>
  <c r="S15" i="4" s="1"/>
  <c r="P9" i="4"/>
  <c r="P12" i="4" s="1"/>
  <c r="P15" i="4" s="1"/>
  <c r="T12" i="4"/>
  <c r="T15" i="4" s="1"/>
  <c r="W9" i="4"/>
  <c r="W12" i="4" s="1"/>
  <c r="W15" i="4" s="1"/>
  <c r="O13" i="4"/>
  <c r="O16" i="4" s="1"/>
  <c r="Y48" i="4"/>
  <c r="V48" i="4"/>
  <c r="O48" i="4"/>
  <c r="Q9" i="4"/>
  <c r="Q12" i="4" s="1"/>
  <c r="Q15" i="4" s="1"/>
  <c r="S48" i="4"/>
  <c r="R48" i="4"/>
  <c r="R9" i="4"/>
  <c r="R12" i="4" s="1"/>
  <c r="R15" i="4" s="1"/>
  <c r="U9" i="4"/>
  <c r="U12" i="4" s="1"/>
  <c r="U15" i="4" s="1"/>
  <c r="Q13" i="4"/>
  <c r="Q16" i="4" s="1"/>
  <c r="O12" i="4"/>
  <c r="O15" i="4" s="1"/>
  <c r="X12" i="4"/>
  <c r="X15" i="4" s="1"/>
  <c r="T10" i="4"/>
  <c r="T13" i="4" s="1"/>
  <c r="T16" i="4" s="1"/>
  <c r="T49" i="4"/>
  <c r="N142" i="4" l="1"/>
  <c r="N143" i="4" s="1"/>
  <c r="M142" i="4"/>
  <c r="M144" i="4" s="1"/>
  <c r="L142" i="4"/>
  <c r="L144" i="4" s="1"/>
  <c r="K142" i="4"/>
  <c r="K144" i="4" s="1"/>
  <c r="J142" i="4"/>
  <c r="J144" i="4" s="1"/>
  <c r="I142" i="4"/>
  <c r="I144" i="4" s="1"/>
  <c r="H142" i="4"/>
  <c r="H143" i="4" s="1"/>
  <c r="G142" i="4"/>
  <c r="G144" i="4" s="1"/>
  <c r="F142" i="4"/>
  <c r="F144" i="4" s="1"/>
  <c r="E142" i="4"/>
  <c r="E144" i="4" s="1"/>
  <c r="D142" i="4"/>
  <c r="N153" i="4"/>
  <c r="M153" i="4"/>
  <c r="L153" i="4"/>
  <c r="K153" i="4"/>
  <c r="J153" i="4"/>
  <c r="I153" i="4"/>
  <c r="H153" i="4"/>
  <c r="G153" i="4"/>
  <c r="F153" i="4"/>
  <c r="E153" i="4"/>
  <c r="D153" i="4"/>
  <c r="N152" i="4"/>
  <c r="M152" i="4"/>
  <c r="L152" i="4"/>
  <c r="K152" i="4"/>
  <c r="J152" i="4"/>
  <c r="I152" i="4"/>
  <c r="H152" i="4"/>
  <c r="G152" i="4"/>
  <c r="F152" i="4"/>
  <c r="E152" i="4"/>
  <c r="D152" i="4"/>
  <c r="N151" i="4"/>
  <c r="M151" i="4"/>
  <c r="L151" i="4"/>
  <c r="K151" i="4"/>
  <c r="J151" i="4"/>
  <c r="I151" i="4"/>
  <c r="H151" i="4"/>
  <c r="G151" i="4"/>
  <c r="F151" i="4"/>
  <c r="E151" i="4"/>
  <c r="D151" i="4"/>
  <c r="N87" i="4"/>
  <c r="M87" i="4"/>
  <c r="L87" i="4"/>
  <c r="K87" i="4"/>
  <c r="J87" i="4"/>
  <c r="I87" i="4"/>
  <c r="H87" i="4"/>
  <c r="G87" i="4"/>
  <c r="F87" i="4"/>
  <c r="E87" i="4"/>
  <c r="D87" i="4"/>
  <c r="N80" i="4"/>
  <c r="M80" i="4"/>
  <c r="L80" i="4"/>
  <c r="K80" i="4"/>
  <c r="J80" i="4"/>
  <c r="I80" i="4"/>
  <c r="H80" i="4"/>
  <c r="G80" i="4"/>
  <c r="F80" i="4"/>
  <c r="E80" i="4"/>
  <c r="D80" i="4"/>
  <c r="N73" i="4"/>
  <c r="M73" i="4"/>
  <c r="L73" i="4"/>
  <c r="K73" i="4"/>
  <c r="J73" i="4"/>
  <c r="I73" i="4"/>
  <c r="H73" i="4"/>
  <c r="G73" i="4"/>
  <c r="F73" i="4"/>
  <c r="E73" i="4"/>
  <c r="D73" i="4"/>
  <c r="C151" i="4" l="1"/>
  <c r="C152" i="4"/>
  <c r="C80" i="4"/>
  <c r="C87" i="4"/>
  <c r="C73" i="4"/>
  <c r="D144" i="4"/>
  <c r="C142" i="4"/>
  <c r="C153" i="4"/>
  <c r="D143" i="4"/>
  <c r="E143" i="4"/>
  <c r="F143" i="4"/>
  <c r="J143" i="4"/>
  <c r="K143" i="4"/>
  <c r="H144" i="4"/>
  <c r="G143" i="4"/>
  <c r="I143" i="4"/>
  <c r="N144" i="4"/>
  <c r="L143" i="4"/>
  <c r="M143" i="4"/>
  <c r="C144" i="4" l="1"/>
  <c r="C143" i="4"/>
  <c r="N150" i="4"/>
  <c r="M150" i="4"/>
  <c r="L150" i="4"/>
  <c r="K150" i="4"/>
  <c r="J150" i="4"/>
  <c r="I150" i="4"/>
  <c r="H150" i="4"/>
  <c r="G150" i="4"/>
  <c r="F150" i="4"/>
  <c r="E150" i="4"/>
  <c r="D150" i="4"/>
  <c r="N149" i="4"/>
  <c r="M149" i="4"/>
  <c r="L149" i="4"/>
  <c r="K149" i="4"/>
  <c r="J149" i="4"/>
  <c r="I149" i="4"/>
  <c r="H149" i="4"/>
  <c r="G149" i="4"/>
  <c r="F149" i="4"/>
  <c r="E149" i="4"/>
  <c r="D149" i="4"/>
  <c r="N148" i="4"/>
  <c r="M148" i="4"/>
  <c r="L148" i="4"/>
  <c r="K148" i="4"/>
  <c r="J148" i="4"/>
  <c r="I148" i="4"/>
  <c r="H148" i="4"/>
  <c r="G148" i="4"/>
  <c r="F148" i="4"/>
  <c r="E148" i="4"/>
  <c r="D148" i="4"/>
  <c r="N145" i="4"/>
  <c r="N147" i="4" s="1"/>
  <c r="M145" i="4"/>
  <c r="M146" i="4" s="1"/>
  <c r="L145" i="4"/>
  <c r="L147" i="4" s="1"/>
  <c r="K145" i="4"/>
  <c r="K147" i="4" s="1"/>
  <c r="J145" i="4"/>
  <c r="J146" i="4" s="1"/>
  <c r="I145" i="4"/>
  <c r="I146" i="4" s="1"/>
  <c r="H145" i="4"/>
  <c r="H146" i="4" s="1"/>
  <c r="G145" i="4"/>
  <c r="G146" i="4" s="1"/>
  <c r="F145" i="4"/>
  <c r="F147" i="4" s="1"/>
  <c r="E145" i="4"/>
  <c r="E147" i="4" s="1"/>
  <c r="D145" i="4"/>
  <c r="C150" i="4" l="1"/>
  <c r="C149" i="4"/>
  <c r="C148" i="4"/>
  <c r="D147" i="4"/>
  <c r="C145" i="4"/>
  <c r="M147" i="4"/>
  <c r="E146" i="4"/>
  <c r="K146" i="4"/>
  <c r="G147" i="4"/>
  <c r="D146" i="4"/>
  <c r="L146" i="4"/>
  <c r="H147" i="4"/>
  <c r="F146" i="4"/>
  <c r="N146" i="4"/>
  <c r="J147" i="4"/>
  <c r="I147" i="4"/>
  <c r="E54" i="4"/>
  <c r="F54" i="4"/>
  <c r="G54" i="4"/>
  <c r="H54" i="4"/>
  <c r="I54" i="4"/>
  <c r="J54" i="4"/>
  <c r="K54" i="4"/>
  <c r="L54" i="4"/>
  <c r="M54" i="4"/>
  <c r="N54" i="4"/>
  <c r="E55" i="4"/>
  <c r="F55" i="4"/>
  <c r="G55" i="4"/>
  <c r="H55" i="4"/>
  <c r="I55" i="4"/>
  <c r="J55" i="4"/>
  <c r="K55" i="4"/>
  <c r="L55" i="4"/>
  <c r="M55" i="4"/>
  <c r="N55" i="4"/>
  <c r="E56" i="4"/>
  <c r="F56" i="4"/>
  <c r="G56" i="4"/>
  <c r="H56" i="4"/>
  <c r="I56" i="4"/>
  <c r="J56" i="4"/>
  <c r="K56" i="4"/>
  <c r="L56" i="4"/>
  <c r="M56" i="4"/>
  <c r="N56" i="4"/>
  <c r="D54" i="4"/>
  <c r="D55" i="4"/>
  <c r="E61" i="4"/>
  <c r="F61" i="4"/>
  <c r="G61" i="4"/>
  <c r="H61" i="4"/>
  <c r="I61" i="4"/>
  <c r="J61" i="4"/>
  <c r="K61" i="4"/>
  <c r="L61" i="4"/>
  <c r="M61" i="4"/>
  <c r="N61" i="4"/>
  <c r="E62" i="4"/>
  <c r="F62" i="4"/>
  <c r="G62" i="4"/>
  <c r="H62" i="4"/>
  <c r="I62" i="4"/>
  <c r="J62" i="4"/>
  <c r="K62" i="4"/>
  <c r="L62" i="4"/>
  <c r="M62" i="4"/>
  <c r="N62" i="4"/>
  <c r="E63" i="4"/>
  <c r="F63" i="4"/>
  <c r="G63" i="4"/>
  <c r="H63" i="4"/>
  <c r="I63" i="4"/>
  <c r="J63" i="4"/>
  <c r="K63" i="4"/>
  <c r="L63" i="4"/>
  <c r="M63" i="4"/>
  <c r="N63" i="4"/>
  <c r="D61" i="4"/>
  <c r="D62" i="4"/>
  <c r="E57" i="4"/>
  <c r="F57" i="4"/>
  <c r="G57" i="4"/>
  <c r="H57" i="4"/>
  <c r="I57" i="4"/>
  <c r="J57" i="4"/>
  <c r="K57" i="4"/>
  <c r="L57" i="4"/>
  <c r="M57" i="4"/>
  <c r="N57" i="4"/>
  <c r="E58" i="4"/>
  <c r="F58" i="4"/>
  <c r="G58" i="4"/>
  <c r="H58" i="4"/>
  <c r="I58" i="4"/>
  <c r="J58" i="4"/>
  <c r="K58" i="4"/>
  <c r="L58" i="4"/>
  <c r="M58" i="4"/>
  <c r="N58" i="4"/>
  <c r="D57" i="4"/>
  <c r="D58" i="4"/>
  <c r="E64" i="4"/>
  <c r="F64" i="4"/>
  <c r="G64" i="4"/>
  <c r="H64" i="4"/>
  <c r="I64" i="4"/>
  <c r="J64" i="4"/>
  <c r="K64" i="4"/>
  <c r="L64" i="4"/>
  <c r="M64" i="4"/>
  <c r="N64" i="4"/>
  <c r="E65" i="4"/>
  <c r="F65" i="4"/>
  <c r="G65" i="4"/>
  <c r="H65" i="4"/>
  <c r="I65" i="4"/>
  <c r="J65" i="4"/>
  <c r="K65" i="4"/>
  <c r="L65" i="4"/>
  <c r="M65" i="4"/>
  <c r="N65" i="4"/>
  <c r="D64" i="4"/>
  <c r="D65" i="4"/>
  <c r="N181" i="4"/>
  <c r="M181" i="4"/>
  <c r="L181" i="4"/>
  <c r="K181" i="4"/>
  <c r="J181" i="4"/>
  <c r="I181" i="4"/>
  <c r="H181" i="4"/>
  <c r="G181" i="4"/>
  <c r="F181" i="4"/>
  <c r="E181" i="4"/>
  <c r="D181" i="4"/>
  <c r="N178" i="4"/>
  <c r="N180" i="4" s="1"/>
  <c r="M178" i="4"/>
  <c r="M180" i="4" s="1"/>
  <c r="L178" i="4"/>
  <c r="L179" i="4" s="1"/>
  <c r="K178" i="4"/>
  <c r="K179" i="4" s="1"/>
  <c r="J178" i="4"/>
  <c r="J179" i="4" s="1"/>
  <c r="I178" i="4"/>
  <c r="I180" i="4" s="1"/>
  <c r="H178" i="4"/>
  <c r="H180" i="4" s="1"/>
  <c r="G178" i="4"/>
  <c r="G180" i="4" s="1"/>
  <c r="F178" i="4"/>
  <c r="F180" i="4" s="1"/>
  <c r="E178" i="4"/>
  <c r="E180" i="4" s="1"/>
  <c r="D178" i="4"/>
  <c r="N175" i="4"/>
  <c r="N177" i="4" s="1"/>
  <c r="M175" i="4"/>
  <c r="M176" i="4" s="1"/>
  <c r="L175" i="4"/>
  <c r="L176" i="4" s="1"/>
  <c r="K175" i="4"/>
  <c r="K176" i="4" s="1"/>
  <c r="J175" i="4"/>
  <c r="J177" i="4" s="1"/>
  <c r="I175" i="4"/>
  <c r="I177" i="4" s="1"/>
  <c r="H175" i="4"/>
  <c r="H177" i="4" s="1"/>
  <c r="G175" i="4"/>
  <c r="G177" i="4" s="1"/>
  <c r="F175" i="4"/>
  <c r="F177" i="4" s="1"/>
  <c r="E175" i="4"/>
  <c r="E176" i="4" s="1"/>
  <c r="D175" i="4"/>
  <c r="N171" i="4"/>
  <c r="M171" i="4"/>
  <c r="L171" i="4"/>
  <c r="K171" i="4"/>
  <c r="J171" i="4"/>
  <c r="I171" i="4"/>
  <c r="H171" i="4"/>
  <c r="G171" i="4"/>
  <c r="F171" i="4"/>
  <c r="E171" i="4"/>
  <c r="D171" i="4"/>
  <c r="N141" i="4"/>
  <c r="M141" i="4"/>
  <c r="L141" i="4"/>
  <c r="K141" i="4"/>
  <c r="J141" i="4"/>
  <c r="I141" i="4"/>
  <c r="H141" i="4"/>
  <c r="G141" i="4"/>
  <c r="F141" i="4"/>
  <c r="E141" i="4"/>
  <c r="D141" i="4"/>
  <c r="N138" i="4"/>
  <c r="M138" i="4"/>
  <c r="L138" i="4"/>
  <c r="K138" i="4"/>
  <c r="J138" i="4"/>
  <c r="I138" i="4"/>
  <c r="H138" i="4"/>
  <c r="G138" i="4"/>
  <c r="F138" i="4"/>
  <c r="E138" i="4"/>
  <c r="D138" i="4"/>
  <c r="N137" i="4"/>
  <c r="M137" i="4"/>
  <c r="L137" i="4"/>
  <c r="K137" i="4"/>
  <c r="J137" i="4"/>
  <c r="I137" i="4"/>
  <c r="H137" i="4"/>
  <c r="G137" i="4"/>
  <c r="F137" i="4"/>
  <c r="E137" i="4"/>
  <c r="D137" i="4"/>
  <c r="N136" i="4"/>
  <c r="M136" i="4"/>
  <c r="L136" i="4"/>
  <c r="K136" i="4"/>
  <c r="J136" i="4"/>
  <c r="I136" i="4"/>
  <c r="H136" i="4"/>
  <c r="G136" i="4"/>
  <c r="F136" i="4"/>
  <c r="E136" i="4"/>
  <c r="D136" i="4"/>
  <c r="N133" i="4"/>
  <c r="M133" i="4"/>
  <c r="L133" i="4"/>
  <c r="K133" i="4"/>
  <c r="J133" i="4"/>
  <c r="I133" i="4"/>
  <c r="H133" i="4"/>
  <c r="G133" i="4"/>
  <c r="F133" i="4"/>
  <c r="E133" i="4"/>
  <c r="D133" i="4"/>
  <c r="N132" i="4"/>
  <c r="M132" i="4"/>
  <c r="L132" i="4"/>
  <c r="K132" i="4"/>
  <c r="J132" i="4"/>
  <c r="I132" i="4"/>
  <c r="H132" i="4"/>
  <c r="G132" i="4"/>
  <c r="F132" i="4"/>
  <c r="E132" i="4"/>
  <c r="D132" i="4"/>
  <c r="N131" i="4"/>
  <c r="M131" i="4"/>
  <c r="L131" i="4"/>
  <c r="K131" i="4"/>
  <c r="J131" i="4"/>
  <c r="I131" i="4"/>
  <c r="H131" i="4"/>
  <c r="G131" i="4"/>
  <c r="F131" i="4"/>
  <c r="E131" i="4"/>
  <c r="D131" i="4"/>
  <c r="N128" i="4"/>
  <c r="M128" i="4"/>
  <c r="L128" i="4"/>
  <c r="K128" i="4"/>
  <c r="J128" i="4"/>
  <c r="I128" i="4"/>
  <c r="H128" i="4"/>
  <c r="G128" i="4"/>
  <c r="F128" i="4"/>
  <c r="E128" i="4"/>
  <c r="D128" i="4"/>
  <c r="N125" i="4"/>
  <c r="M125" i="4"/>
  <c r="L125" i="4"/>
  <c r="K125" i="4"/>
  <c r="J125" i="4"/>
  <c r="I125" i="4"/>
  <c r="H125" i="4"/>
  <c r="G125" i="4"/>
  <c r="F125" i="4"/>
  <c r="E125" i="4"/>
  <c r="D125" i="4"/>
  <c r="N120" i="4"/>
  <c r="M120" i="4"/>
  <c r="L120" i="4"/>
  <c r="K120" i="4"/>
  <c r="J120" i="4"/>
  <c r="I120" i="4"/>
  <c r="H120" i="4"/>
  <c r="G120" i="4"/>
  <c r="F120" i="4"/>
  <c r="E120" i="4"/>
  <c r="D120" i="4"/>
  <c r="N112" i="4"/>
  <c r="M112" i="4"/>
  <c r="L112" i="4"/>
  <c r="K112" i="4"/>
  <c r="J112" i="4"/>
  <c r="I112" i="4"/>
  <c r="H112" i="4"/>
  <c r="G112" i="4"/>
  <c r="F112" i="4"/>
  <c r="E112" i="4"/>
  <c r="D112" i="4"/>
  <c r="N107" i="4"/>
  <c r="N111" i="4" s="1"/>
  <c r="M107" i="4"/>
  <c r="M111" i="4" s="1"/>
  <c r="L107" i="4"/>
  <c r="L111" i="4" s="1"/>
  <c r="K107" i="4"/>
  <c r="K111" i="4" s="1"/>
  <c r="J107" i="4"/>
  <c r="J111" i="4" s="1"/>
  <c r="I107" i="4"/>
  <c r="I111" i="4" s="1"/>
  <c r="H107" i="4"/>
  <c r="H111" i="4" s="1"/>
  <c r="G107" i="4"/>
  <c r="G111" i="4" s="1"/>
  <c r="F107" i="4"/>
  <c r="F111" i="4" s="1"/>
  <c r="E107" i="4"/>
  <c r="E111" i="4" s="1"/>
  <c r="D107" i="4"/>
  <c r="D111" i="4" s="1"/>
  <c r="C111" i="4" s="1"/>
  <c r="N106" i="4"/>
  <c r="M106" i="4"/>
  <c r="L106" i="4"/>
  <c r="K106" i="4"/>
  <c r="J106" i="4"/>
  <c r="I106" i="4"/>
  <c r="H106" i="4"/>
  <c r="G106" i="4"/>
  <c r="F106" i="4"/>
  <c r="E106" i="4"/>
  <c r="D106" i="4"/>
  <c r="N105" i="4"/>
  <c r="M105" i="4"/>
  <c r="L105" i="4"/>
  <c r="K105" i="4"/>
  <c r="J105" i="4"/>
  <c r="I105" i="4"/>
  <c r="H105" i="4"/>
  <c r="G105" i="4"/>
  <c r="F105" i="4"/>
  <c r="E105" i="4"/>
  <c r="D105" i="4"/>
  <c r="N104" i="4"/>
  <c r="M104" i="4"/>
  <c r="L104" i="4"/>
  <c r="K104" i="4"/>
  <c r="J104" i="4"/>
  <c r="I104" i="4"/>
  <c r="H104" i="4"/>
  <c r="G104" i="4"/>
  <c r="F104" i="4"/>
  <c r="E104" i="4"/>
  <c r="D104" i="4"/>
  <c r="N103" i="4"/>
  <c r="M103" i="4"/>
  <c r="L103" i="4"/>
  <c r="K103" i="4"/>
  <c r="J103" i="4"/>
  <c r="I103" i="4"/>
  <c r="H103" i="4"/>
  <c r="G103" i="4"/>
  <c r="F103" i="4"/>
  <c r="E103" i="4"/>
  <c r="D103" i="4"/>
  <c r="N102" i="4"/>
  <c r="M102" i="4"/>
  <c r="L102" i="4"/>
  <c r="K102" i="4"/>
  <c r="J102" i="4"/>
  <c r="I102" i="4"/>
  <c r="H102" i="4"/>
  <c r="G102" i="4"/>
  <c r="F102" i="4"/>
  <c r="E102" i="4"/>
  <c r="D102" i="4"/>
  <c r="N101" i="4"/>
  <c r="M101" i="4"/>
  <c r="L101" i="4"/>
  <c r="K101" i="4"/>
  <c r="J101" i="4"/>
  <c r="I101" i="4"/>
  <c r="H101" i="4"/>
  <c r="G101" i="4"/>
  <c r="F101" i="4"/>
  <c r="E101" i="4"/>
  <c r="D101" i="4"/>
  <c r="N100" i="4"/>
  <c r="M100" i="4"/>
  <c r="L100" i="4"/>
  <c r="K100" i="4"/>
  <c r="J100" i="4"/>
  <c r="I100" i="4"/>
  <c r="H100" i="4"/>
  <c r="G100" i="4"/>
  <c r="F100" i="4"/>
  <c r="E100" i="4"/>
  <c r="D100" i="4"/>
  <c r="N97" i="4"/>
  <c r="M97" i="4"/>
  <c r="L97" i="4"/>
  <c r="K97" i="4"/>
  <c r="J97" i="4"/>
  <c r="I97" i="4"/>
  <c r="H97" i="4"/>
  <c r="G97" i="4"/>
  <c r="F97" i="4"/>
  <c r="E97" i="4"/>
  <c r="D97" i="4"/>
  <c r="N96" i="4"/>
  <c r="M96" i="4"/>
  <c r="L96" i="4"/>
  <c r="K96" i="4"/>
  <c r="J96" i="4"/>
  <c r="I96" i="4"/>
  <c r="H96" i="4"/>
  <c r="G96" i="4"/>
  <c r="F96" i="4"/>
  <c r="E96" i="4"/>
  <c r="D96" i="4"/>
  <c r="N95" i="4"/>
  <c r="M95" i="4"/>
  <c r="L95" i="4"/>
  <c r="K95" i="4"/>
  <c r="J95" i="4"/>
  <c r="I95" i="4"/>
  <c r="H95" i="4"/>
  <c r="G95" i="4"/>
  <c r="F95" i="4"/>
  <c r="E95" i="4"/>
  <c r="D95" i="4"/>
  <c r="N92" i="4"/>
  <c r="M92" i="4"/>
  <c r="L92" i="4"/>
  <c r="K92" i="4"/>
  <c r="J92" i="4"/>
  <c r="I92" i="4"/>
  <c r="H92" i="4"/>
  <c r="G92" i="4"/>
  <c r="F92" i="4"/>
  <c r="E92" i="4"/>
  <c r="D92" i="4"/>
  <c r="N89" i="4"/>
  <c r="M89" i="4"/>
  <c r="L89" i="4"/>
  <c r="K89" i="4"/>
  <c r="J89" i="4"/>
  <c r="I89" i="4"/>
  <c r="H89" i="4"/>
  <c r="G89" i="4"/>
  <c r="F89" i="4"/>
  <c r="E89" i="4"/>
  <c r="D89" i="4"/>
  <c r="N86" i="4"/>
  <c r="N88" i="4" s="1"/>
  <c r="M86" i="4"/>
  <c r="M88" i="4" s="1"/>
  <c r="L86" i="4"/>
  <c r="L88" i="4" s="1"/>
  <c r="K86" i="4"/>
  <c r="K88" i="4" s="1"/>
  <c r="J86" i="4"/>
  <c r="J88" i="4" s="1"/>
  <c r="I86" i="4"/>
  <c r="I88" i="4" s="1"/>
  <c r="H86" i="4"/>
  <c r="H88" i="4" s="1"/>
  <c r="G86" i="4"/>
  <c r="G88" i="4" s="1"/>
  <c r="F86" i="4"/>
  <c r="F88" i="4" s="1"/>
  <c r="E86" i="4"/>
  <c r="E88" i="4" s="1"/>
  <c r="D86" i="4"/>
  <c r="N85" i="4"/>
  <c r="M85" i="4"/>
  <c r="L85" i="4"/>
  <c r="K85" i="4"/>
  <c r="J85" i="4"/>
  <c r="I85" i="4"/>
  <c r="H85" i="4"/>
  <c r="G85" i="4"/>
  <c r="F85" i="4"/>
  <c r="E85" i="4"/>
  <c r="D85" i="4"/>
  <c r="N82" i="4"/>
  <c r="M82" i="4"/>
  <c r="L82" i="4"/>
  <c r="K82" i="4"/>
  <c r="J82" i="4"/>
  <c r="I82" i="4"/>
  <c r="H82" i="4"/>
  <c r="G82" i="4"/>
  <c r="F82" i="4"/>
  <c r="E82" i="4"/>
  <c r="D82" i="4"/>
  <c r="N79" i="4"/>
  <c r="N81" i="4" s="1"/>
  <c r="M79" i="4"/>
  <c r="M81" i="4" s="1"/>
  <c r="L79" i="4"/>
  <c r="L81" i="4" s="1"/>
  <c r="K79" i="4"/>
  <c r="K81" i="4" s="1"/>
  <c r="J79" i="4"/>
  <c r="J81" i="4" s="1"/>
  <c r="I79" i="4"/>
  <c r="I81" i="4" s="1"/>
  <c r="H79" i="4"/>
  <c r="H81" i="4" s="1"/>
  <c r="G79" i="4"/>
  <c r="G81" i="4" s="1"/>
  <c r="F79" i="4"/>
  <c r="F81" i="4" s="1"/>
  <c r="E79" i="4"/>
  <c r="E81" i="4" s="1"/>
  <c r="D79" i="4"/>
  <c r="N78" i="4"/>
  <c r="M78" i="4"/>
  <c r="L78" i="4"/>
  <c r="K78" i="4"/>
  <c r="J78" i="4"/>
  <c r="I78" i="4"/>
  <c r="H78" i="4"/>
  <c r="G78" i="4"/>
  <c r="F78" i="4"/>
  <c r="E78" i="4"/>
  <c r="D78" i="4"/>
  <c r="N75" i="4"/>
  <c r="M75" i="4"/>
  <c r="L75" i="4"/>
  <c r="K75" i="4"/>
  <c r="J75" i="4"/>
  <c r="I75" i="4"/>
  <c r="H75" i="4"/>
  <c r="G75" i="4"/>
  <c r="F75" i="4"/>
  <c r="E75" i="4"/>
  <c r="D75" i="4"/>
  <c r="N72" i="4"/>
  <c r="N74" i="4" s="1"/>
  <c r="M72" i="4"/>
  <c r="M74" i="4" s="1"/>
  <c r="L72" i="4"/>
  <c r="L74" i="4" s="1"/>
  <c r="K72" i="4"/>
  <c r="K74" i="4" s="1"/>
  <c r="J72" i="4"/>
  <c r="J74" i="4" s="1"/>
  <c r="I72" i="4"/>
  <c r="I74" i="4" s="1"/>
  <c r="H72" i="4"/>
  <c r="H74" i="4" s="1"/>
  <c r="G72" i="4"/>
  <c r="G74" i="4" s="1"/>
  <c r="F72" i="4"/>
  <c r="F74" i="4" s="1"/>
  <c r="E72" i="4"/>
  <c r="E74" i="4" s="1"/>
  <c r="D72" i="4"/>
  <c r="N71" i="4"/>
  <c r="M71" i="4"/>
  <c r="L71" i="4"/>
  <c r="K71" i="4"/>
  <c r="J71" i="4"/>
  <c r="I71" i="4"/>
  <c r="H71" i="4"/>
  <c r="G71" i="4"/>
  <c r="F71" i="4"/>
  <c r="E71" i="4"/>
  <c r="D71" i="4"/>
  <c r="N68" i="4"/>
  <c r="M68" i="4"/>
  <c r="L68" i="4"/>
  <c r="K68" i="4"/>
  <c r="J68" i="4"/>
  <c r="I68" i="4"/>
  <c r="H68" i="4"/>
  <c r="G68" i="4"/>
  <c r="F68" i="4"/>
  <c r="E68" i="4"/>
  <c r="D68" i="4"/>
  <c r="D63" i="4"/>
  <c r="N60" i="4"/>
  <c r="M60" i="4"/>
  <c r="L60" i="4"/>
  <c r="K60" i="4"/>
  <c r="J60" i="4"/>
  <c r="I60" i="4"/>
  <c r="H60" i="4"/>
  <c r="G60" i="4"/>
  <c r="F60" i="4"/>
  <c r="E60" i="4"/>
  <c r="D60" i="4"/>
  <c r="D56" i="4"/>
  <c r="N53" i="4"/>
  <c r="M53" i="4"/>
  <c r="L53" i="4"/>
  <c r="K53" i="4"/>
  <c r="J53" i="4"/>
  <c r="I53" i="4"/>
  <c r="H53" i="4"/>
  <c r="G53" i="4"/>
  <c r="F53" i="4"/>
  <c r="E53" i="4"/>
  <c r="D53" i="4"/>
  <c r="N46" i="4"/>
  <c r="M46" i="4"/>
  <c r="L46" i="4"/>
  <c r="K46" i="4"/>
  <c r="J46" i="4"/>
  <c r="I46" i="4"/>
  <c r="H46" i="4"/>
  <c r="G46" i="4"/>
  <c r="F46" i="4"/>
  <c r="E46" i="4"/>
  <c r="D46" i="4"/>
  <c r="N43" i="4"/>
  <c r="N44" i="4" s="1"/>
  <c r="M43" i="4"/>
  <c r="L43" i="4"/>
  <c r="K43" i="4"/>
  <c r="J43" i="4"/>
  <c r="I43" i="4"/>
  <c r="H43" i="4"/>
  <c r="G43" i="4"/>
  <c r="G44" i="4" s="1"/>
  <c r="F43" i="4"/>
  <c r="F44" i="4" s="1"/>
  <c r="E43" i="4"/>
  <c r="D43" i="4"/>
  <c r="N40" i="4"/>
  <c r="N42" i="4" s="1"/>
  <c r="M40" i="4"/>
  <c r="M41" i="4" s="1"/>
  <c r="L40" i="4"/>
  <c r="L42" i="4" s="1"/>
  <c r="K40" i="4"/>
  <c r="K42" i="4" s="1"/>
  <c r="J40" i="4"/>
  <c r="J41" i="4" s="1"/>
  <c r="I40" i="4"/>
  <c r="I41" i="4" s="1"/>
  <c r="H40" i="4"/>
  <c r="H41" i="4" s="1"/>
  <c r="G40" i="4"/>
  <c r="G41" i="4" s="1"/>
  <c r="F40" i="4"/>
  <c r="F42" i="4" s="1"/>
  <c r="E40" i="4"/>
  <c r="E42" i="4" s="1"/>
  <c r="D40" i="4"/>
  <c r="N33" i="4"/>
  <c r="N34" i="4" s="1"/>
  <c r="M33" i="4"/>
  <c r="M35" i="4" s="1"/>
  <c r="L33" i="4"/>
  <c r="L35" i="4" s="1"/>
  <c r="K33" i="4"/>
  <c r="K35" i="4" s="1"/>
  <c r="J33" i="4"/>
  <c r="J35" i="4" s="1"/>
  <c r="I33" i="4"/>
  <c r="I34" i="4" s="1"/>
  <c r="H33" i="4"/>
  <c r="H34" i="4" s="1"/>
  <c r="G33" i="4"/>
  <c r="G34" i="4" s="1"/>
  <c r="F33" i="4"/>
  <c r="F34" i="4" s="1"/>
  <c r="E33" i="4"/>
  <c r="E35" i="4" s="1"/>
  <c r="D33" i="4"/>
  <c r="N30" i="4"/>
  <c r="N32" i="4" s="1"/>
  <c r="M30" i="4"/>
  <c r="M31" i="4" s="1"/>
  <c r="L30" i="4"/>
  <c r="L32" i="4" s="1"/>
  <c r="K30" i="4"/>
  <c r="K32" i="4" s="1"/>
  <c r="J30" i="4"/>
  <c r="J31" i="4" s="1"/>
  <c r="I30" i="4"/>
  <c r="I31" i="4" s="1"/>
  <c r="H30" i="4"/>
  <c r="H31" i="4" s="1"/>
  <c r="G30" i="4"/>
  <c r="G31" i="4" s="1"/>
  <c r="F30" i="4"/>
  <c r="F31" i="4" s="1"/>
  <c r="E30" i="4"/>
  <c r="E32" i="4" s="1"/>
  <c r="D30" i="4"/>
  <c r="N27" i="4"/>
  <c r="N29" i="4" s="1"/>
  <c r="M27" i="4"/>
  <c r="M29" i="4" s="1"/>
  <c r="L27" i="4"/>
  <c r="L29" i="4" s="1"/>
  <c r="K27" i="4"/>
  <c r="K28" i="4" s="1"/>
  <c r="J27" i="4"/>
  <c r="J28" i="4" s="1"/>
  <c r="I27" i="4"/>
  <c r="I28" i="4" s="1"/>
  <c r="H27" i="4"/>
  <c r="H28" i="4" s="1"/>
  <c r="G27" i="4"/>
  <c r="G28" i="4" s="1"/>
  <c r="F27" i="4"/>
  <c r="F28" i="4" s="1"/>
  <c r="E27" i="4"/>
  <c r="E29" i="4" s="1"/>
  <c r="D27" i="4"/>
  <c r="N26" i="4"/>
  <c r="M26" i="4"/>
  <c r="L26" i="4"/>
  <c r="K26" i="4"/>
  <c r="J26" i="4"/>
  <c r="I26" i="4"/>
  <c r="H26" i="4"/>
  <c r="G26" i="4"/>
  <c r="F26" i="4"/>
  <c r="E26" i="4"/>
  <c r="D26" i="4"/>
  <c r="N25" i="4"/>
  <c r="M25" i="4"/>
  <c r="L25" i="4"/>
  <c r="K25" i="4"/>
  <c r="J25" i="4"/>
  <c r="I25" i="4"/>
  <c r="H25" i="4"/>
  <c r="G25" i="4"/>
  <c r="F25" i="4"/>
  <c r="E25" i="4"/>
  <c r="D25" i="4"/>
  <c r="N22" i="4"/>
  <c r="M22" i="4"/>
  <c r="L22" i="4"/>
  <c r="K22" i="4"/>
  <c r="J22" i="4"/>
  <c r="I22" i="4"/>
  <c r="H22" i="4"/>
  <c r="G22" i="4"/>
  <c r="F22" i="4"/>
  <c r="E22" i="4"/>
  <c r="D22" i="4"/>
  <c r="N18" i="4"/>
  <c r="M18" i="4"/>
  <c r="L18" i="4"/>
  <c r="K18" i="4"/>
  <c r="J18" i="4"/>
  <c r="I18" i="4"/>
  <c r="H18" i="4"/>
  <c r="G18" i="4"/>
  <c r="F18" i="4"/>
  <c r="E18" i="4"/>
  <c r="D18" i="4"/>
  <c r="A3" i="4"/>
  <c r="C147" i="4" l="1"/>
  <c r="C146" i="4"/>
  <c r="C18" i="4"/>
  <c r="C85" i="4"/>
  <c r="C138" i="4"/>
  <c r="C106" i="4"/>
  <c r="C25" i="4"/>
  <c r="C55" i="4"/>
  <c r="C89" i="4"/>
  <c r="C171" i="4"/>
  <c r="C104" i="4"/>
  <c r="C136" i="4"/>
  <c r="C102" i="4"/>
  <c r="C75" i="4"/>
  <c r="C132" i="4"/>
  <c r="C100" i="4"/>
  <c r="C71" i="4"/>
  <c r="C128" i="4"/>
  <c r="C60" i="4"/>
  <c r="C96" i="4"/>
  <c r="C181" i="4"/>
  <c r="C46" i="4"/>
  <c r="C120" i="4"/>
  <c r="C92" i="4"/>
  <c r="C43" i="4"/>
  <c r="C112" i="4"/>
  <c r="C54" i="4"/>
  <c r="D81" i="4"/>
  <c r="C81" i="4" s="1"/>
  <c r="C79" i="4"/>
  <c r="D176" i="4"/>
  <c r="C175" i="4"/>
  <c r="D42" i="4"/>
  <c r="C40" i="4"/>
  <c r="C107" i="4"/>
  <c r="D35" i="4"/>
  <c r="C33" i="4"/>
  <c r="C105" i="4"/>
  <c r="C82" i="4"/>
  <c r="C137" i="4"/>
  <c r="D88" i="4"/>
  <c r="C88" i="4" s="1"/>
  <c r="C86" i="4"/>
  <c r="D32" i="4"/>
  <c r="C30" i="4"/>
  <c r="C103" i="4"/>
  <c r="C78" i="4"/>
  <c r="C61" i="4"/>
  <c r="D29" i="4"/>
  <c r="C27" i="4"/>
  <c r="C141" i="4"/>
  <c r="C133" i="4"/>
  <c r="C101" i="4"/>
  <c r="C58" i="4"/>
  <c r="D74" i="4"/>
  <c r="C74" i="4" s="1"/>
  <c r="C72" i="4"/>
  <c r="C131" i="4"/>
  <c r="C57" i="4"/>
  <c r="C62" i="4"/>
  <c r="C22" i="4"/>
  <c r="C63" i="4"/>
  <c r="C97" i="4"/>
  <c r="C65" i="4"/>
  <c r="C56" i="4"/>
  <c r="C53" i="4"/>
  <c r="C68" i="4"/>
  <c r="C125" i="4"/>
  <c r="C64" i="4"/>
  <c r="C26" i="4"/>
  <c r="C95" i="4"/>
  <c r="D179" i="4"/>
  <c r="C178" i="4"/>
  <c r="I45" i="4"/>
  <c r="I44" i="4"/>
  <c r="I37" i="4" s="1"/>
  <c r="D45" i="4"/>
  <c r="C45" i="4" s="1"/>
  <c r="D44" i="4"/>
  <c r="L45" i="4"/>
  <c r="L38" i="4" s="1"/>
  <c r="L44" i="4"/>
  <c r="E45" i="4"/>
  <c r="E38" i="4" s="1"/>
  <c r="E44" i="4"/>
  <c r="J45" i="4"/>
  <c r="J44" i="4"/>
  <c r="K45" i="4"/>
  <c r="K38" i="4" s="1"/>
  <c r="K44" i="4"/>
  <c r="H45" i="4"/>
  <c r="H44" i="4"/>
  <c r="H37" i="4" s="1"/>
  <c r="M45" i="4"/>
  <c r="M44" i="4"/>
  <c r="M37" i="4" s="1"/>
  <c r="I93" i="4"/>
  <c r="I94" i="4"/>
  <c r="J93" i="4"/>
  <c r="J94" i="4"/>
  <c r="M94" i="4"/>
  <c r="M93" i="4"/>
  <c r="N94" i="4"/>
  <c r="N93" i="4"/>
  <c r="L94" i="4"/>
  <c r="L93" i="4"/>
  <c r="D93" i="4"/>
  <c r="D94" i="4"/>
  <c r="E93" i="4"/>
  <c r="E94" i="4"/>
  <c r="F93" i="4"/>
  <c r="F94" i="4"/>
  <c r="G93" i="4"/>
  <c r="G94" i="4"/>
  <c r="K94" i="4"/>
  <c r="K93" i="4"/>
  <c r="H93" i="4"/>
  <c r="H94" i="4"/>
  <c r="D135" i="4" a="1"/>
  <c r="D135" i="4" s="1"/>
  <c r="D134" i="4" a="1"/>
  <c r="D134" i="4" s="1"/>
  <c r="E135" i="4" a="1"/>
  <c r="E135" i="4" s="1"/>
  <c r="E134" i="4" a="1"/>
  <c r="E134" i="4" s="1"/>
  <c r="F135" i="4" a="1"/>
  <c r="F135" i="4" s="1"/>
  <c r="F134" i="4" a="1"/>
  <c r="F134" i="4" s="1"/>
  <c r="G135" i="4" a="1"/>
  <c r="G135" i="4" s="1"/>
  <c r="G134" i="4" a="1"/>
  <c r="G134" i="4" s="1"/>
  <c r="H134" i="4" a="1"/>
  <c r="H134" i="4" s="1"/>
  <c r="H135" i="4" a="1"/>
  <c r="H135" i="4" s="1"/>
  <c r="N135" i="4" a="1"/>
  <c r="N135" i="4" s="1"/>
  <c r="N134" i="4" a="1"/>
  <c r="N134" i="4" s="1"/>
  <c r="L135" i="4" a="1"/>
  <c r="L135" i="4" s="1"/>
  <c r="L134" i="4" a="1"/>
  <c r="L134" i="4" s="1"/>
  <c r="I134" i="4" a="1"/>
  <c r="I134" i="4" s="1"/>
  <c r="I135" i="4" a="1"/>
  <c r="I135" i="4" s="1"/>
  <c r="J134" i="4" a="1"/>
  <c r="J134" i="4" s="1"/>
  <c r="J135" i="4" a="1"/>
  <c r="J135" i="4" s="1"/>
  <c r="K134" i="4" a="1"/>
  <c r="K134" i="4" s="1"/>
  <c r="K135" i="4" a="1"/>
  <c r="K135" i="4" s="1"/>
  <c r="M135" i="4" a="1"/>
  <c r="M135" i="4" s="1"/>
  <c r="M134" i="4" a="1"/>
  <c r="M134" i="4" s="1"/>
  <c r="E99" i="4"/>
  <c r="E98" i="4"/>
  <c r="N122" i="4"/>
  <c r="N121" i="4"/>
  <c r="E69" i="4"/>
  <c r="E70" i="4"/>
  <c r="M69" i="4"/>
  <c r="M70" i="4"/>
  <c r="D76" i="4"/>
  <c r="D77" i="4"/>
  <c r="L76" i="4"/>
  <c r="L77" i="4"/>
  <c r="K84" i="4"/>
  <c r="K83" i="4"/>
  <c r="J91" i="4"/>
  <c r="J90" i="4"/>
  <c r="F99" i="4"/>
  <c r="F98" i="4"/>
  <c r="N99" i="4"/>
  <c r="N98" i="4"/>
  <c r="F109" i="4"/>
  <c r="F108" i="4"/>
  <c r="N109" i="4"/>
  <c r="N108" i="4"/>
  <c r="K114" i="4"/>
  <c r="K113" i="4"/>
  <c r="G122" i="4"/>
  <c r="G121" i="4"/>
  <c r="D127" i="4"/>
  <c r="D126" i="4"/>
  <c r="L127" i="4"/>
  <c r="L126" i="4"/>
  <c r="I130" i="4"/>
  <c r="I129" i="4"/>
  <c r="G140" i="4"/>
  <c r="G139" i="4"/>
  <c r="I91" i="4"/>
  <c r="I90" i="4"/>
  <c r="F122" i="4"/>
  <c r="F121" i="4"/>
  <c r="F140" i="4"/>
  <c r="F139" i="4"/>
  <c r="F70" i="4"/>
  <c r="F69" i="4"/>
  <c r="N70" i="4"/>
  <c r="N69" i="4"/>
  <c r="E77" i="4"/>
  <c r="E76" i="4"/>
  <c r="M77" i="4"/>
  <c r="M76" i="4"/>
  <c r="D84" i="4"/>
  <c r="D83" i="4"/>
  <c r="L84" i="4"/>
  <c r="L83" i="4"/>
  <c r="K91" i="4"/>
  <c r="K90" i="4"/>
  <c r="G99" i="4"/>
  <c r="G98" i="4"/>
  <c r="G109" i="4"/>
  <c r="G108" i="4"/>
  <c r="D114" i="4"/>
  <c r="D113" i="4"/>
  <c r="L114" i="4"/>
  <c r="L113" i="4"/>
  <c r="H122" i="4"/>
  <c r="H121" i="4"/>
  <c r="E127" i="4"/>
  <c r="E126" i="4"/>
  <c r="M127" i="4"/>
  <c r="M126" i="4"/>
  <c r="J130" i="4"/>
  <c r="J129" i="4"/>
  <c r="H140" i="4"/>
  <c r="H139" i="4"/>
  <c r="D69" i="4"/>
  <c r="D70" i="4"/>
  <c r="G70" i="4"/>
  <c r="G69" i="4"/>
  <c r="F77" i="4"/>
  <c r="F76" i="4"/>
  <c r="N77" i="4"/>
  <c r="N76" i="4"/>
  <c r="E84" i="4"/>
  <c r="E83" i="4"/>
  <c r="M84" i="4"/>
  <c r="M83" i="4"/>
  <c r="D91" i="4"/>
  <c r="D90" i="4"/>
  <c r="L91" i="4"/>
  <c r="L90" i="4"/>
  <c r="H99" i="4"/>
  <c r="H98" i="4"/>
  <c r="H108" i="4"/>
  <c r="H109" i="4"/>
  <c r="E113" i="4"/>
  <c r="E114" i="4"/>
  <c r="M113" i="4"/>
  <c r="M114" i="4"/>
  <c r="I121" i="4"/>
  <c r="I122" i="4"/>
  <c r="F127" i="4"/>
  <c r="F126" i="4"/>
  <c r="N127" i="4"/>
  <c r="N126" i="4"/>
  <c r="K130" i="4"/>
  <c r="K129" i="4"/>
  <c r="I139" i="4"/>
  <c r="I140" i="4"/>
  <c r="J84" i="4"/>
  <c r="J83" i="4"/>
  <c r="E109" i="4"/>
  <c r="E108" i="4"/>
  <c r="K127" i="4"/>
  <c r="K126" i="4"/>
  <c r="H70" i="4"/>
  <c r="H69" i="4"/>
  <c r="G77" i="4"/>
  <c r="G76" i="4"/>
  <c r="F84" i="4"/>
  <c r="F83" i="4"/>
  <c r="N84" i="4"/>
  <c r="N83" i="4"/>
  <c r="E90" i="4"/>
  <c r="E91" i="4"/>
  <c r="M90" i="4"/>
  <c r="M91" i="4"/>
  <c r="I98" i="4"/>
  <c r="I99" i="4"/>
  <c r="I108" i="4"/>
  <c r="I109" i="4"/>
  <c r="F113" i="4"/>
  <c r="F114" i="4"/>
  <c r="N113" i="4"/>
  <c r="N114" i="4"/>
  <c r="J121" i="4"/>
  <c r="J122" i="4"/>
  <c r="G126" i="4"/>
  <c r="G127" i="4"/>
  <c r="D130" i="4"/>
  <c r="D129" i="4"/>
  <c r="L130" i="4"/>
  <c r="L129" i="4"/>
  <c r="J139" i="4"/>
  <c r="J140" i="4"/>
  <c r="L69" i="4"/>
  <c r="L70" i="4"/>
  <c r="J114" i="4"/>
  <c r="J113" i="4"/>
  <c r="H129" i="4"/>
  <c r="H130" i="4"/>
  <c r="N140" i="4"/>
  <c r="N139" i="4"/>
  <c r="I70" i="4"/>
  <c r="I69" i="4"/>
  <c r="H77" i="4"/>
  <c r="H76" i="4"/>
  <c r="G83" i="4"/>
  <c r="G84" i="4"/>
  <c r="F90" i="4"/>
  <c r="F91" i="4"/>
  <c r="N90" i="4"/>
  <c r="N91" i="4"/>
  <c r="J98" i="4"/>
  <c r="J99" i="4"/>
  <c r="J109" i="4"/>
  <c r="J108" i="4"/>
  <c r="G113" i="4"/>
  <c r="G114" i="4"/>
  <c r="K121" i="4"/>
  <c r="K122" i="4"/>
  <c r="H126" i="4"/>
  <c r="H127" i="4"/>
  <c r="E129" i="4"/>
  <c r="E130" i="4"/>
  <c r="M130" i="4"/>
  <c r="M129" i="4"/>
  <c r="K139" i="4"/>
  <c r="K140" i="4"/>
  <c r="K76" i="4"/>
  <c r="K77" i="4"/>
  <c r="M99" i="4"/>
  <c r="M98" i="4"/>
  <c r="M109" i="4"/>
  <c r="M108" i="4"/>
  <c r="J70" i="4"/>
  <c r="J69" i="4"/>
  <c r="I76" i="4"/>
  <c r="I77" i="4"/>
  <c r="H83" i="4"/>
  <c r="H84" i="4"/>
  <c r="G90" i="4"/>
  <c r="G91" i="4"/>
  <c r="K98" i="4"/>
  <c r="K99" i="4"/>
  <c r="K109" i="4"/>
  <c r="K108" i="4"/>
  <c r="H114" i="4"/>
  <c r="H113" i="4"/>
  <c r="D121" i="4"/>
  <c r="D122" i="4"/>
  <c r="L122" i="4"/>
  <c r="L121" i="4"/>
  <c r="I126" i="4"/>
  <c r="I127" i="4"/>
  <c r="F129" i="4"/>
  <c r="F130" i="4"/>
  <c r="N129" i="4"/>
  <c r="N130" i="4"/>
  <c r="D139" i="4"/>
  <c r="D140" i="4"/>
  <c r="L140" i="4"/>
  <c r="L139" i="4"/>
  <c r="K69" i="4"/>
  <c r="K70" i="4"/>
  <c r="J76" i="4"/>
  <c r="J77" i="4"/>
  <c r="I83" i="4"/>
  <c r="I84" i="4"/>
  <c r="H90" i="4"/>
  <c r="H91" i="4"/>
  <c r="D99" i="4"/>
  <c r="D98" i="4"/>
  <c r="L99" i="4"/>
  <c r="L98" i="4"/>
  <c r="D109" i="4"/>
  <c r="D108" i="4"/>
  <c r="L109" i="4"/>
  <c r="L108" i="4"/>
  <c r="I114" i="4"/>
  <c r="I113" i="4"/>
  <c r="E122" i="4"/>
  <c r="E121" i="4"/>
  <c r="M122" i="4"/>
  <c r="M121" i="4"/>
  <c r="J127" i="4"/>
  <c r="J126" i="4"/>
  <c r="G129" i="4"/>
  <c r="G130" i="4"/>
  <c r="E140" i="4"/>
  <c r="E139" i="4"/>
  <c r="M140" i="4"/>
  <c r="M139" i="4"/>
  <c r="J51" i="4"/>
  <c r="J52" i="4"/>
  <c r="L52" i="4"/>
  <c r="I52" i="4"/>
  <c r="K52" i="4"/>
  <c r="D51" i="4"/>
  <c r="D52" i="4"/>
  <c r="E52" i="4"/>
  <c r="E51" i="4"/>
  <c r="G52" i="4"/>
  <c r="N28" i="4"/>
  <c r="E20" i="4"/>
  <c r="E19" i="4"/>
  <c r="M20" i="4"/>
  <c r="M19" i="4"/>
  <c r="J24" i="4"/>
  <c r="J23" i="4"/>
  <c r="K19" i="4"/>
  <c r="K20" i="4"/>
  <c r="N20" i="4"/>
  <c r="N19" i="4"/>
  <c r="K24" i="4"/>
  <c r="K23" i="4"/>
  <c r="G19" i="4"/>
  <c r="G20" i="4"/>
  <c r="D24" i="4"/>
  <c r="D23" i="4"/>
  <c r="L24" i="4"/>
  <c r="L23" i="4"/>
  <c r="L20" i="4"/>
  <c r="L19" i="4"/>
  <c r="H24" i="4"/>
  <c r="H23" i="4"/>
  <c r="I23" i="4"/>
  <c r="I24" i="4"/>
  <c r="H19" i="4"/>
  <c r="H20" i="4"/>
  <c r="M23" i="4"/>
  <c r="M24" i="4"/>
  <c r="I19" i="4"/>
  <c r="I20" i="4"/>
  <c r="N23" i="4"/>
  <c r="N24" i="4"/>
  <c r="J37" i="4"/>
  <c r="G179" i="4"/>
  <c r="D20" i="4"/>
  <c r="D19" i="4"/>
  <c r="F20" i="4"/>
  <c r="F19" i="4"/>
  <c r="E23" i="4"/>
  <c r="E24" i="4"/>
  <c r="F23" i="4"/>
  <c r="F24" i="4"/>
  <c r="J20" i="4"/>
  <c r="J19" i="4"/>
  <c r="G23" i="4"/>
  <c r="G24" i="4"/>
  <c r="I29" i="4"/>
  <c r="N179" i="4"/>
  <c r="D177" i="4"/>
  <c r="C177" i="4" s="1"/>
  <c r="D180" i="4"/>
  <c r="D34" i="4"/>
  <c r="D41" i="4"/>
  <c r="L177" i="4"/>
  <c r="K34" i="4"/>
  <c r="I42" i="4"/>
  <c r="L34" i="4"/>
  <c r="J42" i="4"/>
  <c r="E31" i="4"/>
  <c r="I35" i="4"/>
  <c r="D28" i="4"/>
  <c r="J32" i="4"/>
  <c r="F179" i="4"/>
  <c r="F29" i="4"/>
  <c r="D31" i="4"/>
  <c r="C31" i="4" s="1"/>
  <c r="I32" i="4"/>
  <c r="J34" i="4"/>
  <c r="H42" i="4"/>
  <c r="E177" i="4"/>
  <c r="E174" i="4" s="1"/>
  <c r="E28" i="4"/>
  <c r="J29" i="4"/>
  <c r="M32" i="4"/>
  <c r="E41" i="4"/>
  <c r="M177" i="4"/>
  <c r="M174" i="4" s="1"/>
  <c r="K180" i="4"/>
  <c r="K29" i="4"/>
  <c r="K31" i="4"/>
  <c r="M42" i="4"/>
  <c r="L180" i="4"/>
  <c r="L31" i="4"/>
  <c r="G35" i="4"/>
  <c r="K41" i="4"/>
  <c r="L28" i="4"/>
  <c r="H35" i="4"/>
  <c r="L41" i="4"/>
  <c r="G45" i="4"/>
  <c r="G176" i="4"/>
  <c r="M28" i="4"/>
  <c r="H176" i="4"/>
  <c r="H32" i="4"/>
  <c r="K173" i="4"/>
  <c r="G174" i="4"/>
  <c r="G29" i="4"/>
  <c r="F32" i="4"/>
  <c r="H29" i="4"/>
  <c r="G32" i="4"/>
  <c r="F35" i="4"/>
  <c r="N35" i="4"/>
  <c r="G42" i="4"/>
  <c r="F45" i="4"/>
  <c r="F38" i="4" s="1"/>
  <c r="N45" i="4"/>
  <c r="N38" i="4" s="1"/>
  <c r="F176" i="4"/>
  <c r="N176" i="4"/>
  <c r="K177" i="4"/>
  <c r="E179" i="4"/>
  <c r="E173" i="4" s="1"/>
  <c r="M179" i="4"/>
  <c r="M173" i="4" s="1"/>
  <c r="J180" i="4"/>
  <c r="J174" i="4" s="1"/>
  <c r="I176" i="4"/>
  <c r="H179" i="4"/>
  <c r="N31" i="4"/>
  <c r="E34" i="4"/>
  <c r="M34" i="4"/>
  <c r="F41" i="4"/>
  <c r="F37" i="4" s="1"/>
  <c r="N41" i="4"/>
  <c r="N37" i="4" s="1"/>
  <c r="J176" i="4"/>
  <c r="J173" i="4" s="1"/>
  <c r="I179" i="4"/>
  <c r="H174" i="4"/>
  <c r="G37" i="4"/>
  <c r="L173" i="4"/>
  <c r="I174" i="4"/>
  <c r="F174" i="4"/>
  <c r="N174" i="4"/>
  <c r="A4" i="4"/>
  <c r="C176" i="4" l="1"/>
  <c r="C42" i="4"/>
  <c r="C35" i="4"/>
  <c r="C32" i="4"/>
  <c r="C29" i="4"/>
  <c r="C179" i="4"/>
  <c r="C94" i="4"/>
  <c r="C135" i="4"/>
  <c r="C126" i="4"/>
  <c r="C84" i="4"/>
  <c r="C113" i="4"/>
  <c r="C76" i="4"/>
  <c r="C77" i="4"/>
  <c r="C127" i="4"/>
  <c r="C114" i="4"/>
  <c r="C69" i="4"/>
  <c r="C83" i="4"/>
  <c r="C70" i="4"/>
  <c r="C91" i="4"/>
  <c r="C90" i="4"/>
  <c r="C130" i="4"/>
  <c r="C129" i="4"/>
  <c r="C121" i="4"/>
  <c r="C139" i="4"/>
  <c r="C140" i="4"/>
  <c r="C99" i="4"/>
  <c r="C98" i="4"/>
  <c r="C109" i="4"/>
  <c r="C108" i="4"/>
  <c r="C19" i="4"/>
  <c r="C52" i="4"/>
  <c r="C24" i="4"/>
  <c r="C23" i="4"/>
  <c r="C20" i="4"/>
  <c r="C180" i="4"/>
  <c r="C34" i="4"/>
  <c r="C41" i="4"/>
  <c r="C28" i="4"/>
  <c r="C93" i="4"/>
  <c r="C134" i="4"/>
  <c r="C122" i="4"/>
  <c r="J38" i="4"/>
  <c r="D173" i="4"/>
  <c r="I38" i="4"/>
  <c r="D38" i="4"/>
  <c r="C44" i="4"/>
  <c r="C37" i="4" s="1"/>
  <c r="M38" i="4"/>
  <c r="H38" i="4"/>
  <c r="I49" i="4"/>
  <c r="G49" i="4"/>
  <c r="E48" i="4"/>
  <c r="J49" i="4"/>
  <c r="E49" i="4"/>
  <c r="J48" i="4"/>
  <c r="L37" i="4"/>
  <c r="F173" i="4"/>
  <c r="N173" i="4"/>
  <c r="G173" i="4"/>
  <c r="L174" i="4"/>
  <c r="L10" i="4" s="1"/>
  <c r="L13" i="4" s="1"/>
  <c r="L16" i="4" s="1"/>
  <c r="G51" i="4"/>
  <c r="L51" i="4"/>
  <c r="I51" i="4"/>
  <c r="N51" i="4"/>
  <c r="N52" i="4"/>
  <c r="M52" i="4"/>
  <c r="K51" i="4"/>
  <c r="H51" i="4"/>
  <c r="F52" i="4"/>
  <c r="M51" i="4"/>
  <c r="H52" i="4"/>
  <c r="F51" i="4"/>
  <c r="C51" i="4" s="1"/>
  <c r="G38" i="4"/>
  <c r="K37" i="4"/>
  <c r="C59" i="4"/>
  <c r="D37" i="4"/>
  <c r="E37" i="4"/>
  <c r="G10" i="4"/>
  <c r="E9" i="4"/>
  <c r="E10" i="4"/>
  <c r="E13" i="4" s="1"/>
  <c r="E16" i="4" s="1"/>
  <c r="I10" i="4"/>
  <c r="K174" i="4"/>
  <c r="K10" i="4" s="1"/>
  <c r="K13" i="4" s="1"/>
  <c r="K16" i="4" s="1"/>
  <c r="J10" i="4"/>
  <c r="C66" i="4"/>
  <c r="J9" i="4"/>
  <c r="J12" i="4" s="1"/>
  <c r="J15" i="4" s="1"/>
  <c r="H173" i="4"/>
  <c r="I173" i="4"/>
  <c r="D174" i="4"/>
  <c r="D59" i="4" s="1"/>
  <c r="J59" i="4" s="1"/>
  <c r="F59" i="4" s="1"/>
  <c r="L59" i="4" s="1"/>
  <c r="G59" i="4" s="1"/>
  <c r="M59" i="4" s="1"/>
  <c r="H59" i="4" s="1"/>
  <c r="I59" i="4" s="1"/>
  <c r="K59" i="4" s="1"/>
  <c r="E59" i="4" s="1"/>
  <c r="N59" i="4" s="1"/>
  <c r="D66" i="4" s="1"/>
  <c r="J66" i="4" s="1"/>
  <c r="F66" i="4" s="1"/>
  <c r="L66" i="4" s="1"/>
  <c r="G66" i="4" s="1"/>
  <c r="M66" i="4" s="1"/>
  <c r="H66" i="4" s="1"/>
  <c r="I66" i="4" s="1"/>
  <c r="K66" i="4" s="1"/>
  <c r="E66" i="4" s="1"/>
  <c r="N66" i="4" s="1"/>
  <c r="J67" i="4" s="1"/>
  <c r="F67" i="4" s="1"/>
  <c r="L67" i="4" s="1"/>
  <c r="G67" i="4" s="1"/>
  <c r="M67" i="4" s="1"/>
  <c r="H67" i="4" s="1"/>
  <c r="I67" i="4" s="1"/>
  <c r="K67" i="4" s="1"/>
  <c r="E67" i="4" s="1"/>
  <c r="N67" i="4" s="1"/>
  <c r="D50" i="4" s="1"/>
  <c r="C173" i="4" l="1"/>
  <c r="D48" i="4"/>
  <c r="C48" i="4" s="1"/>
  <c r="D9" i="4"/>
  <c r="I13" i="4"/>
  <c r="I16" i="4" s="1"/>
  <c r="J13" i="4"/>
  <c r="J16" i="4" s="1"/>
  <c r="D49" i="4"/>
  <c r="C174" i="4"/>
  <c r="G48" i="4"/>
  <c r="N48" i="4"/>
  <c r="F48" i="4"/>
  <c r="D67" i="4"/>
  <c r="C67" i="4" s="1"/>
  <c r="L49" i="4"/>
  <c r="N10" i="4"/>
  <c r="N13" i="4" s="1"/>
  <c r="N16" i="4" s="1"/>
  <c r="N49" i="4"/>
  <c r="H10" i="4"/>
  <c r="H13" i="4" s="1"/>
  <c r="H16" i="4" s="1"/>
  <c r="H49" i="4"/>
  <c r="I48" i="4"/>
  <c r="M9" i="4"/>
  <c r="M12" i="4" s="1"/>
  <c r="M15" i="4" s="1"/>
  <c r="M48" i="4"/>
  <c r="L9" i="4"/>
  <c r="L12" i="4" s="1"/>
  <c r="L15" i="4" s="1"/>
  <c r="L48" i="4"/>
  <c r="F10" i="4"/>
  <c r="F13" i="4" s="1"/>
  <c r="F16" i="4" s="1"/>
  <c r="F49" i="4"/>
  <c r="H48" i="4"/>
  <c r="K9" i="4"/>
  <c r="K12" i="4" s="1"/>
  <c r="K15" i="4" s="1"/>
  <c r="K48" i="4"/>
  <c r="K49" i="4"/>
  <c r="M10" i="4"/>
  <c r="M13" i="4" s="1"/>
  <c r="M16" i="4" s="1"/>
  <c r="M49" i="4"/>
  <c r="G9" i="4"/>
  <c r="G12" i="4" s="1"/>
  <c r="G15" i="4" s="1"/>
  <c r="I9" i="4"/>
  <c r="I12" i="4" s="1"/>
  <c r="I15" i="4" s="1"/>
  <c r="F9" i="4"/>
  <c r="F12" i="4" s="1"/>
  <c r="F15" i="4" s="1"/>
  <c r="N9" i="4"/>
  <c r="N12" i="4" s="1"/>
  <c r="N15" i="4" s="1"/>
  <c r="G13" i="4"/>
  <c r="G16" i="4" s="1"/>
  <c r="H9" i="4"/>
  <c r="H12" i="4" s="1"/>
  <c r="H15" i="4" s="1"/>
  <c r="D12" i="4"/>
  <c r="E12" i="4"/>
  <c r="E15" i="4" s="1"/>
  <c r="C38" i="4"/>
  <c r="D10" i="4"/>
  <c r="C10" i="4" s="1"/>
  <c r="I8" i="4" s="1"/>
  <c r="G8" i="4" s="1"/>
  <c r="N8" i="4" s="1"/>
  <c r="F8" i="4" s="1"/>
  <c r="M8" i="4" s="1"/>
  <c r="L8" i="4" s="1"/>
  <c r="E8" i="4" s="1"/>
  <c r="J8" i="4" s="1"/>
  <c r="K8" i="4" s="1"/>
  <c r="H8" i="4" s="1"/>
  <c r="N47" i="4" s="1"/>
  <c r="E47" i="4" s="1"/>
  <c r="D36" i="4" s="1"/>
  <c r="C49" i="4" l="1"/>
  <c r="C9" i="4"/>
  <c r="D15" i="4"/>
  <c r="C15" i="4" s="1"/>
  <c r="C12" i="4"/>
  <c r="D13" i="4"/>
  <c r="C13" i="4" s="1"/>
  <c r="J21" i="4" s="1"/>
  <c r="E39" i="4" s="1"/>
  <c r="L21" i="4" s="1"/>
  <c r="M21" i="4" s="1"/>
  <c r="M39" i="4" s="1"/>
  <c r="F21" i="4" s="1"/>
  <c r="N39" i="4" s="1"/>
  <c r="E21" i="4" s="1"/>
  <c r="G39" i="4" s="1"/>
  <c r="I21" i="4" s="1"/>
  <c r="I39" i="4" s="1"/>
  <c r="F39" i="4" s="1"/>
  <c r="J39" i="4" s="1"/>
  <c r="L39" i="4" s="1"/>
  <c r="K39" i="4" s="1"/>
  <c r="H39" i="4" s="1"/>
  <c r="D39" i="4" s="1"/>
  <c r="K21" i="4" s="1"/>
  <c r="D21" i="4" s="1"/>
  <c r="H47" i="4" s="1"/>
  <c r="M47" i="4" s="1"/>
  <c r="G47" i="4" s="1"/>
  <c r="F47" i="4" s="1"/>
  <c r="L47" i="4" s="1"/>
  <c r="J47" i="4" s="1"/>
  <c r="K47" i="4" s="1"/>
  <c r="D47" i="4" s="1"/>
  <c r="D16" i="4" l="1"/>
  <c r="C16" i="4" s="1"/>
  <c r="R115" i="4" l="1"/>
  <c r="R117" i="4" s="1"/>
  <c r="Q118" i="4"/>
  <c r="W115" i="4"/>
  <c r="W116" i="4" s="1"/>
  <c r="P119" i="4"/>
  <c r="S118" i="4"/>
  <c r="P118" i="4"/>
  <c r="W119" i="4"/>
  <c r="U115" i="4"/>
  <c r="U117" i="4" s="1"/>
  <c r="O115" i="4"/>
  <c r="O116" i="4" s="1"/>
  <c r="O118" i="4"/>
  <c r="O119" i="4"/>
  <c r="R119" i="4"/>
  <c r="T118" i="4"/>
  <c r="V118" i="4"/>
  <c r="X118" i="4"/>
  <c r="U118" i="4"/>
  <c r="R116" i="4"/>
  <c r="X115" i="4"/>
  <c r="M118" i="4"/>
  <c r="X119" i="4"/>
  <c r="Q115" i="4"/>
  <c r="V115" i="4"/>
  <c r="Y119" i="4"/>
  <c r="S115" i="4"/>
  <c r="Q119" i="4"/>
  <c r="R118" i="4"/>
  <c r="S119" i="4"/>
  <c r="U119" i="4"/>
  <c r="T115" i="4"/>
  <c r="P115" i="4"/>
  <c r="V119" i="4"/>
  <c r="T119" i="4"/>
  <c r="Y115" i="4"/>
  <c r="W118" i="4"/>
  <c r="N115" i="4"/>
  <c r="N116" i="4" s="1"/>
  <c r="J119" i="4"/>
  <c r="K118" i="4"/>
  <c r="I118" i="4"/>
  <c r="G119" i="4"/>
  <c r="M119" i="4"/>
  <c r="D118" i="4"/>
  <c r="J118" i="4"/>
  <c r="G118" i="4"/>
  <c r="G115" i="4"/>
  <c r="F115" i="4"/>
  <c r="E119" i="4"/>
  <c r="D119" i="4"/>
  <c r="N118" i="4"/>
  <c r="F119" i="4"/>
  <c r="F118" i="4"/>
  <c r="K115" i="4"/>
  <c r="J115" i="4"/>
  <c r="E118" i="4"/>
  <c r="L115" i="4"/>
  <c r="E115" i="4"/>
  <c r="K119" i="4"/>
  <c r="H115" i="4"/>
  <c r="D115" i="4"/>
  <c r="H118" i="4"/>
  <c r="I119" i="4"/>
  <c r="H119" i="4"/>
  <c r="L118" i="4"/>
  <c r="L119" i="4"/>
  <c r="I115" i="4"/>
  <c r="M115" i="4"/>
  <c r="N119" i="4"/>
  <c r="U116" i="4" l="1"/>
  <c r="C115" i="4"/>
  <c r="C119" i="4"/>
  <c r="O117" i="4"/>
  <c r="W117" i="4"/>
  <c r="N117" i="4"/>
  <c r="T117" i="4"/>
  <c r="T116" i="4"/>
  <c r="V116" i="4"/>
  <c r="V117" i="4"/>
  <c r="X116" i="4"/>
  <c r="X117" i="4"/>
  <c r="S117" i="4"/>
  <c r="S116" i="4"/>
  <c r="Q117" i="4"/>
  <c r="Q116" i="4"/>
  <c r="Y117" i="4"/>
  <c r="Y116" i="4"/>
  <c r="P117" i="4"/>
  <c r="P116" i="4"/>
  <c r="E117" i="4"/>
  <c r="E116" i="4"/>
  <c r="F117" i="4"/>
  <c r="F116" i="4"/>
  <c r="J117" i="4"/>
  <c r="J116" i="4"/>
  <c r="D117" i="4"/>
  <c r="D116" i="4"/>
  <c r="L117" i="4"/>
  <c r="L116" i="4"/>
  <c r="K117" i="4"/>
  <c r="K116" i="4"/>
  <c r="I117" i="4"/>
  <c r="I116" i="4"/>
  <c r="H117" i="4"/>
  <c r="H116" i="4"/>
  <c r="G117" i="4"/>
  <c r="G116" i="4"/>
  <c r="M116" i="4"/>
  <c r="M117" i="4"/>
  <c r="C116" i="4" l="1"/>
  <c r="C117" i="4"/>
  <c r="J50" i="4"/>
  <c r="F50" i="4"/>
  <c r="L50" i="4"/>
  <c r="G50" i="4"/>
  <c r="M50" i="4"/>
  <c r="H50" i="4"/>
  <c r="I50" i="4"/>
  <c r="K50" i="4"/>
  <c r="E50" i="4"/>
  <c r="N50" i="4"/>
  <c r="D172" i="4"/>
  <c r="E172" i="4"/>
  <c r="F172" i="4"/>
  <c r="G172" i="4"/>
  <c r="H172" i="4"/>
  <c r="N172" i="4"/>
  <c r="M172" i="4"/>
  <c r="L172" i="4"/>
  <c r="K172" i="4"/>
  <c r="J172" i="4"/>
  <c r="I172" i="4"/>
  <c r="C172" i="4"/>
  <c r="C50" i="4"/>
  <c r="D8" i="4"/>
  <c r="C8" i="4"/>
  <c r="J36" i="4"/>
  <c r="F36" i="4"/>
  <c r="L36" i="4"/>
  <c r="G36" i="4"/>
  <c r="M36" i="4"/>
  <c r="H36" i="4"/>
  <c r="I36" i="4"/>
  <c r="K36" i="4"/>
  <c r="E36" i="4"/>
  <c r="N36" i="4"/>
  <c r="C36" i="4"/>
  <c r="L11" i="4"/>
  <c r="L14" i="4"/>
  <c r="H21" i="4"/>
  <c r="G21" i="4"/>
  <c r="N11" i="4"/>
  <c r="N14" i="4"/>
  <c r="K11" i="4"/>
  <c r="K14" i="4"/>
  <c r="H11" i="4"/>
  <c r="H14" i="4"/>
  <c r="F11" i="4"/>
  <c r="F14" i="4"/>
  <c r="G11" i="4"/>
  <c r="G14" i="4"/>
  <c r="J11" i="4"/>
  <c r="J14" i="4"/>
  <c r="I11" i="4"/>
  <c r="I14" i="4"/>
  <c r="E11" i="4"/>
  <c r="E14" i="4"/>
  <c r="D11" i="4"/>
  <c r="M11" i="4"/>
  <c r="C11" i="4"/>
  <c r="C39" i="4"/>
  <c r="C21" i="4"/>
  <c r="N21" i="4"/>
  <c r="M14" i="4"/>
  <c r="I47" i="4"/>
  <c r="C47" i="4"/>
  <c r="D14" i="4"/>
  <c r="C14" i="4"/>
  <c r="C17" i="4"/>
  <c r="M17" i="4"/>
  <c r="F17" i="4"/>
  <c r="K17" i="4"/>
  <c r="G17" i="4"/>
  <c r="J17" i="4"/>
  <c r="N17" i="4"/>
  <c r="D17" i="4"/>
  <c r="I17" i="4"/>
  <c r="L17" i="4"/>
  <c r="Y118" i="4"/>
  <c r="E17" i="4"/>
  <c r="H17" i="4"/>
  <c r="C1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N1" authorId="0" shapeId="0" xr:uid="{9970F363-54E6-4B4B-BD1F-90ED15714B8E}">
      <text>
        <r>
          <rPr>
            <b/>
            <sz val="9"/>
            <color indexed="81"/>
            <rFont val="Tahoma"/>
            <family val="2"/>
            <charset val="163"/>
          </rPr>
          <t>Administrator:</t>
        </r>
        <r>
          <rPr>
            <sz val="9"/>
            <color indexed="81"/>
            <rFont val="Tahoma"/>
            <family val="2"/>
            <charset val="163"/>
          </rPr>
          <t xml:space="preserve">
</t>
        </r>
        <r>
          <rPr>
            <sz val="9"/>
            <color indexed="39"/>
            <rFont val="Tahoma"/>
            <family val="2"/>
            <charset val="163"/>
          </rPr>
          <t>bấm tổ hợp phím:
Ctrl + Alt + F9
để cập nhật số liệu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<sst xmlns="http://schemas.openxmlformats.org/spreadsheetml/2006/main" count="577" uniqueCount="339">
  <si>
    <t>NHCSXH CHI NHÁNH TỈNH ĐỒNG NAI</t>
  </si>
  <si>
    <t>Đơn vị: triệu đồng, %</t>
  </si>
  <si>
    <t>TT</t>
  </si>
  <si>
    <t>Chỉ tiêu</t>
  </si>
  <si>
    <t>Tổng</t>
  </si>
  <si>
    <t>Trong đó</t>
  </si>
  <si>
    <t>HST</t>
  </si>
  <si>
    <t>Vĩnh Cửu</t>
  </si>
  <si>
    <t>A</t>
  </si>
  <si>
    <t>NGUỒN VỐN (I+II+III)</t>
  </si>
  <si>
    <t>I</t>
  </si>
  <si>
    <t xml:space="preserve">Vốn Trung ương </t>
  </si>
  <si>
    <t>Vốn trung ương cấp</t>
  </si>
  <si>
    <t xml:space="preserve">             Tỷ trọng trên tổng nguồn</t>
  </si>
  <si>
    <t>Vốn huy động được TW cấp bù</t>
  </si>
  <si>
    <t xml:space="preserve">            Tỷ trọng trên tổng nguồn</t>
  </si>
  <si>
    <t>2.1.</t>
  </si>
  <si>
    <t>Tiền gửi tổ chức, cá nhân</t>
  </si>
  <si>
    <t>Tr.đó: Tiền gửi ký quỹ đi LĐ HQ</t>
  </si>
  <si>
    <t xml:space="preserve">             Tiền gửi vay NOXH</t>
  </si>
  <si>
    <t>2.2.</t>
  </si>
  <si>
    <t>Huy động tiết kiệm dân cư</t>
  </si>
  <si>
    <t>2.3.</t>
  </si>
  <si>
    <t>Huy động tiết kiệm tại ĐGDX</t>
  </si>
  <si>
    <t>2.4.</t>
  </si>
  <si>
    <t>Tiền gửi Tổ viên Tổ TKVV</t>
  </si>
  <si>
    <t>II</t>
  </si>
  <si>
    <t>Vốn nhận UT địa phương</t>
  </si>
  <si>
    <t>Vốn ngân sách tỉnh</t>
  </si>
  <si>
    <t>Vốn ngân sách huyện</t>
  </si>
  <si>
    <t>III</t>
  </si>
  <si>
    <t>Nguồn vốn khác</t>
  </si>
  <si>
    <t>B</t>
  </si>
  <si>
    <t>SỬ DỤNG VỐN (B1+B2+B3)</t>
  </si>
  <si>
    <t>B1</t>
  </si>
  <si>
    <t>TỔNG DƯ NỢ</t>
  </si>
  <si>
    <t>Dư nợ nguồn vốn TW</t>
  </si>
  <si>
    <t>Trong đó: Nợ quá hạn</t>
  </si>
  <si>
    <t xml:space="preserve">                    Tỷ lệ NQH</t>
  </si>
  <si>
    <t>Dư nợ nguồn vốn Địa phương</t>
  </si>
  <si>
    <t>Chi tiết từng chương trình</t>
  </si>
  <si>
    <t>Cho vay hộ nghèo</t>
  </si>
  <si>
    <t>Tr.đó: + Cho vay bằng vốn TW</t>
  </si>
  <si>
    <t xml:space="preserve">             + Cho vay bằng vốn ĐP</t>
  </si>
  <si>
    <t>Cho vay hộ cận nghèo</t>
  </si>
  <si>
    <t>Cho vay hộ mới thoát nghèo</t>
  </si>
  <si>
    <t>Cho vay HSSV (vốn TW)</t>
  </si>
  <si>
    <t>Cho vay NS&amp;VSMT nông thôn</t>
  </si>
  <si>
    <t>Cho vay Giải quyết việc làm</t>
  </si>
  <si>
    <t>a.</t>
  </si>
  <si>
    <t>Cho vay bằng nguồn vốn TW cấp</t>
  </si>
  <si>
    <t>Tr. Đó: + Vốn UBND tỉnh quản lý</t>
  </si>
  <si>
    <t>b.</t>
  </si>
  <si>
    <t>Cho vay bằng vốn NH huy động</t>
  </si>
  <si>
    <t xml:space="preserve">c. </t>
  </si>
  <si>
    <t>Cho vay bằng vốn NS địa phương</t>
  </si>
  <si>
    <t>Tr.đó: + Cho vay sau ĐT nghề</t>
  </si>
  <si>
    <t>Cho vay nhà ở theo QĐ 167 (vốn TW)</t>
  </si>
  <si>
    <t>Cho vay nhà ở theo QĐ 33 (vốn TW)</t>
  </si>
  <si>
    <t>Cho vay NOXH NĐ 100</t>
  </si>
  <si>
    <t>Cho vay hộ SXKD vùng KK (Vốn TW)</t>
  </si>
  <si>
    <t>Cho vay thương nhân vùng KK (Vốn TW)</t>
  </si>
  <si>
    <t>Cho vay DTTS nghèo theo QĐ 755</t>
  </si>
  <si>
    <t>Cho vay DTTS theo QĐ 2085</t>
  </si>
  <si>
    <t>Cho vay XKLĐ (Vốn TW)</t>
  </si>
  <si>
    <t>Tr.đó cho vay ký quỹ đi HQ</t>
  </si>
  <si>
    <t>Cho vay người khuyết tật (vốn ĐP)</t>
  </si>
  <si>
    <t>Cho vay trả lương ngừng việc (vốn TW)</t>
  </si>
  <si>
    <t>B2</t>
  </si>
  <si>
    <t>TÀI SẢN CÓ KHÁC</t>
  </si>
  <si>
    <t>B3</t>
  </si>
  <si>
    <t>QUỸ AN TOÀN CHI TRẢ</t>
  </si>
  <si>
    <t>Tồn quỹ tiền mặt</t>
  </si>
  <si>
    <t>TK tiền gửi</t>
  </si>
  <si>
    <t>So với định mức được giao (+/-)</t>
  </si>
  <si>
    <t>Trảng Bom</t>
  </si>
  <si>
    <t>Xuân Lộc</t>
  </si>
  <si>
    <t>Thống Nhất</t>
  </si>
  <si>
    <t>Long Khánh</t>
  </si>
  <si>
    <t>Cẩm Mỹ</t>
  </si>
  <si>
    <t>Định Quán</t>
  </si>
  <si>
    <t>Tân Phú</t>
  </si>
  <si>
    <t>Long Thành</t>
  </si>
  <si>
    <t>Nhơn Trạch</t>
  </si>
  <si>
    <t>So với đầu năm</t>
  </si>
  <si>
    <t>So với đầu tháng</t>
  </si>
  <si>
    <t xml:space="preserve">                  So với đầu tháng</t>
  </si>
  <si>
    <t xml:space="preserve">                  So với đầu năm</t>
  </si>
  <si>
    <t xml:space="preserve">             + Vốn Hội đoàn thể…quản lý</t>
  </si>
  <si>
    <t xml:space="preserve">             + Cho vay GQVL thông thường</t>
  </si>
  <si>
    <t>Mã chỉ tiêu</t>
  </si>
  <si>
    <t xml:space="preserve">             So với đầu tháng</t>
  </si>
  <si>
    <t xml:space="preserve">             So với đầu năm</t>
  </si>
  <si>
    <t>Cho vay HSSV mua máy tính (vốn TW)</t>
  </si>
  <si>
    <t>Cho vay CSGD MN, TH ngoài CL (vốn TW)</t>
  </si>
  <si>
    <t xml:space="preserve">                - Cho vay bằng vốn ĐP tỉnh</t>
  </si>
  <si>
    <t xml:space="preserve">                - Cho vay bằng vốn ĐP huyện</t>
  </si>
  <si>
    <t>Cho vay Nguoi CHXAPT (vốn DP)</t>
  </si>
  <si>
    <t>VONDP_H</t>
  </si>
  <si>
    <t>Bình Long</t>
  </si>
  <si>
    <t>Lộc Ninh</t>
  </si>
  <si>
    <t>Bình Phước</t>
  </si>
  <si>
    <t>Phước Long</t>
  </si>
  <si>
    <t>Bù Đăng</t>
  </si>
  <si>
    <t>Đồng Phú</t>
  </si>
  <si>
    <t>Chơn Thành</t>
  </si>
  <si>
    <t>Bù Đốp</t>
  </si>
  <si>
    <t>Bù Gia Mập</t>
  </si>
  <si>
    <t>Phú Riềng</t>
  </si>
  <si>
    <t>Hớn Quản</t>
  </si>
  <si>
    <t>Cho vay DTTSMN (vốn TW)</t>
  </si>
  <si>
    <t xml:space="preserve">             + Cho vay PTNN</t>
  </si>
  <si>
    <t xml:space="preserve">             + Cho vay HMSTB</t>
  </si>
  <si>
    <t>Tr.đó: + Cho vay PTDLNT</t>
  </si>
  <si>
    <t>Cho vay khác (vốn DP-QD26)</t>
  </si>
  <si>
    <t>Dư nợ NQ11: GQVL</t>
  </si>
  <si>
    <t>Dư nợ NQ11: NOXH</t>
  </si>
  <si>
    <t>Cho vay HSSV STEM (vốn TW)</t>
  </si>
  <si>
    <t>HĐV CĐ: dân cư</t>
  </si>
  <si>
    <t>HĐV CĐ: CASA105</t>
  </si>
  <si>
    <t>PGD Định Quán</t>
  </si>
  <si>
    <t>CÂN ĐỐI NGUỒN VỐN VÀ SỬ DỤNG VỐN NĂM 2026</t>
  </si>
  <si>
    <t>(Thực hiện đến  21/04/2026)</t>
  </si>
  <si>
    <t>VHD</t>
  </si>
  <si>
    <t>VHD_TG</t>
  </si>
  <si>
    <t>VHD_KQHQ</t>
  </si>
  <si>
    <t>VHD_NOXH</t>
  </si>
  <si>
    <t>VHD_TKDC</t>
  </si>
  <si>
    <t>VHD_TKXA</t>
  </si>
  <si>
    <t>VHD_TKTO</t>
  </si>
  <si>
    <t>VONDP_T</t>
  </si>
  <si>
    <t>DN_NV1</t>
  </si>
  <si>
    <t>DN_NV1_PRE_M</t>
  </si>
  <si>
    <t>DN_NV1_QH</t>
  </si>
  <si>
    <t>DN_NV2</t>
  </si>
  <si>
    <t>DN_NV2_QH</t>
  </si>
  <si>
    <t>DN_CTR_QD_0101</t>
  </si>
  <si>
    <t>DN_CTR_QD_NV_010101</t>
  </si>
  <si>
    <t>DN_CTR_QD_NV_010102</t>
  </si>
  <si>
    <t>DN_CTR_QD_1919</t>
  </si>
  <si>
    <t>DN_CTR_QD_NV_191901</t>
  </si>
  <si>
    <t>DN_CTR_QD_NV_191902</t>
  </si>
  <si>
    <t>DN_CTR_QD_0922</t>
  </si>
  <si>
    <t>DN_CTR_QD_NV_092201</t>
  </si>
  <si>
    <t>DN_CTR_QD_NV_092202</t>
  </si>
  <si>
    <t>DN_CTR_QD_0202</t>
  </si>
  <si>
    <t>DN_CTR_QD_0606</t>
  </si>
  <si>
    <t>DN_CTR_QD_NV_060601</t>
  </si>
  <si>
    <t>DN_CTR_QD_NV_060602</t>
  </si>
  <si>
    <t>DN_CTR_QD_0303</t>
  </si>
  <si>
    <t>DN_CTR_QD_NV_030301QQG</t>
  </si>
  <si>
    <t>DN_CTR_QD_NV_030301UBND</t>
  </si>
  <si>
    <t>DN_CTR_QD_NV_030301HDT</t>
  </si>
  <si>
    <t>DN_CTR_QD_NV_030301HD</t>
  </si>
  <si>
    <t>DN_CTR_QD_NV_030302</t>
  </si>
  <si>
    <t>DN_CTR_QD_NV_030302DTN</t>
  </si>
  <si>
    <t>DN_CTR_QD_NV_030302TT</t>
  </si>
  <si>
    <t>DN_CTR_QD_0707</t>
  </si>
  <si>
    <t>DN_CTR_QD_0723</t>
  </si>
  <si>
    <t>DN_CTR_QD_1226</t>
  </si>
  <si>
    <t>DN_CTR_QD_NV_122601</t>
  </si>
  <si>
    <t>DN_CTR_QD_NV_122602</t>
  </si>
  <si>
    <t>DN_CTR_QD_1010</t>
  </si>
  <si>
    <t>DN_CTR_QD_1515</t>
  </si>
  <si>
    <t>DN_CTR_QD_1717</t>
  </si>
  <si>
    <t>DN_CTR_QD_NV_171701</t>
  </si>
  <si>
    <t>DN_CTR_QD_NV_171702</t>
  </si>
  <si>
    <t>DN_CTR_QD_2127</t>
  </si>
  <si>
    <t>DN_CTR_QD_NV_212701</t>
  </si>
  <si>
    <t>DN_CTR_QD_NV_212702</t>
  </si>
  <si>
    <t>DN_CTR_QD_04__</t>
  </si>
  <si>
    <t>DN_CTR_QD_NV_042401</t>
  </si>
  <si>
    <t>DN_CTR_QD_9999</t>
  </si>
  <si>
    <t>DN_CTR_QD_2331</t>
  </si>
  <si>
    <t>ATCT_TM</t>
  </si>
  <si>
    <t>ATCT_TG</t>
  </si>
  <si>
    <t>DM_ATCT</t>
  </si>
  <si>
    <t>DN_CTR_QD_0233</t>
  </si>
  <si>
    <t>DN_CTR_QD_0243</t>
  </si>
  <si>
    <t>DN_CTR_QD_0637</t>
  </si>
  <si>
    <t>DN_CTR_QD_1238</t>
  </si>
  <si>
    <t>DN_CTR_QD_2332</t>
  </si>
  <si>
    <t>DN_CTR_QD_2535</t>
  </si>
  <si>
    <t>DN_CTR_QD_2636</t>
  </si>
  <si>
    <t>DN_CTR_QD_9926</t>
  </si>
  <si>
    <t>DN_CTR_QD_NV_010102T</t>
  </si>
  <si>
    <t>DN_CTR_QD_NV_063701</t>
  </si>
  <si>
    <t>DN_CTR_QD_NV_063702</t>
  </si>
  <si>
    <t>DN_CTR_QD_NV_070701</t>
  </si>
  <si>
    <t>DN_CTR_QD_NV_092202T</t>
  </si>
  <si>
    <t>DN_CTR_QD_NV_101001</t>
  </si>
  <si>
    <t>DN_CTR_QD_NV_101002</t>
  </si>
  <si>
    <t>DN_CTR_QD_NV_123801</t>
  </si>
  <si>
    <t>DN_CTR_QD_NV_123802</t>
  </si>
  <si>
    <t>DN_CTR_QD_NV_191902T</t>
  </si>
  <si>
    <t>DN_CTR_QD_NV_253501</t>
  </si>
  <si>
    <t>DN_CTR_QD_NV_263601</t>
  </si>
  <si>
    <t>DN_CTR_QD_NV_263602</t>
  </si>
  <si>
    <t>DN_CTR_QD_NV_9926DL</t>
  </si>
  <si>
    <t>DN_CTR_QD_NV_9926NN</t>
  </si>
  <si>
    <t>DN_CTR_QD_NV_9926TB</t>
  </si>
  <si>
    <t>HDV_CS105_CD</t>
  </si>
  <si>
    <t>HDV_DC_CD</t>
  </si>
  <si>
    <t>NQ11_03</t>
  </si>
  <si>
    <t>NQ11_12</t>
  </si>
  <si>
    <t>DN_CTR_QD_NV_263602_PRE_M</t>
  </si>
  <si>
    <t>DN_CTR_QD_NV_060601_PRE_M</t>
  </si>
  <si>
    <t>DN_CTR_QD_NV_123801_PRE_M</t>
  </si>
  <si>
    <t>DN_CTR_QD_NV_171702_PRE_M</t>
  </si>
  <si>
    <t>TONG_DN_PRE_M</t>
  </si>
  <si>
    <t>DN_CTR_QD_1919_PRE_M</t>
  </si>
  <si>
    <t>VHD_TKTO_PRE_M</t>
  </si>
  <si>
    <t>DN_CTR_QD_0341_PRE_M</t>
  </si>
  <si>
    <t>VONDP_T_PRE_M</t>
  </si>
  <si>
    <t>DN_CTR_QD_NV_063702_PRE_M</t>
  </si>
  <si>
    <t>DN_CTR_QD_NV_092201_PRE_M</t>
  </si>
  <si>
    <t>DN_CTR_QD_NV_253501_PRE_M</t>
  </si>
  <si>
    <t>DN_CTR_QD_1226_PRE_M</t>
  </si>
  <si>
    <t>DN_CTR_QD_0101_PRE_M</t>
  </si>
  <si>
    <t>VONDP_PRE_M</t>
  </si>
  <si>
    <t>DN_CTR_QD_2535_PRE_M</t>
  </si>
  <si>
    <t>DN_CTR_QD_9926_PRE_M</t>
  </si>
  <si>
    <t>VHD_KQHQ_PRE_M</t>
  </si>
  <si>
    <t>DN_CTR_QD_2332_PRE_M</t>
  </si>
  <si>
    <t>DN_CTR_QD_NV_191902_PRE_M</t>
  </si>
  <si>
    <t>DN_CTR_QD_0606_PRE_M</t>
  </si>
  <si>
    <t>DN_CTR_QD_0233_PRE_M</t>
  </si>
  <si>
    <t>DN_CTR_QD_1010_PRE_M</t>
  </si>
  <si>
    <t>DN_CTR_QD_NV_010101_PRE_M</t>
  </si>
  <si>
    <t>DN_CTR_QD_0707_PRE_M</t>
  </si>
  <si>
    <t>DN_CTR_QD_0922_PRE_M</t>
  </si>
  <si>
    <t>VHD_TKXA_PRE_M</t>
  </si>
  <si>
    <t>DN_CTR_QD_1515_PRE_M</t>
  </si>
  <si>
    <t>DN_CTR_QD_2636_PRE_M</t>
  </si>
  <si>
    <t>DN_CTR_QD_0243_PRE_M</t>
  </si>
  <si>
    <t>VHD_TG_PRE_M</t>
  </si>
  <si>
    <t>DN_CTR_QD_NV_122602_PRE_M</t>
  </si>
  <si>
    <t>DN_CTR_QD_NV_092202_PRE_M</t>
  </si>
  <si>
    <t>DN_CTR_QD_NV_063701_PRE_M</t>
  </si>
  <si>
    <t>DN_CTR_QD_NV_010102_PRE_M</t>
  </si>
  <si>
    <t>DN_CTR_QD_NV_072301_PRE_M</t>
  </si>
  <si>
    <t>ATCT_TM_PRE_M</t>
  </si>
  <si>
    <t>DN_CTR_QD_0723_PRE_M</t>
  </si>
  <si>
    <t>DN_CTR_QD_0344_PRE_M</t>
  </si>
  <si>
    <t>DN_CTR_QD_NV_042401_PRE_M</t>
  </si>
  <si>
    <t>DN_CTR_QD_NV_212701_PRE_M</t>
  </si>
  <si>
    <t>DN_CTR_QD_NV_060602_PRE_M</t>
  </si>
  <si>
    <t>DN_CTR_QD_NV_070701_PRE_M</t>
  </si>
  <si>
    <t>SDV_PRE_M</t>
  </si>
  <si>
    <t>VHD_PRE_M</t>
  </si>
  <si>
    <t>VHD_TKDC_PRE_M</t>
  </si>
  <si>
    <t>DN_CTR_QD_0202_PRE_M</t>
  </si>
  <si>
    <t>VTU_PRE_M</t>
  </si>
  <si>
    <t>ATCT_TG_PRE_M</t>
  </si>
  <si>
    <t>DN_CTR_QD_1238_PRE_M</t>
  </si>
  <si>
    <t>DN_CTR_QD_2127_PRE_M</t>
  </si>
  <si>
    <t>DN_CTR_QD_0303_PRE_M</t>
  </si>
  <si>
    <t>DN_CTR_QD_0340_PRE_M</t>
  </si>
  <si>
    <t>DN_CTR_QD_NV_263601_PRE_M</t>
  </si>
  <si>
    <t>DN_CTR_QD_NV_070702_PRE_M</t>
  </si>
  <si>
    <t>DN_CTR_QD_1717_PRE_M</t>
  </si>
  <si>
    <t>DN_CTR_QD_NV_122601_PRE_M</t>
  </si>
  <si>
    <t>VONTU_PRE_M</t>
  </si>
  <si>
    <t>NV_PRE_M</t>
  </si>
  <si>
    <t>DN_CTR_QD_0637_PRE_M</t>
  </si>
  <si>
    <t>VHD_NOXH_PRE_M</t>
  </si>
  <si>
    <t>DN_CTR_QD_04___PRE_M</t>
  </si>
  <si>
    <t>DN_CTR_QD_0239_PRE_M</t>
  </si>
  <si>
    <t>ATCT_PRE_M</t>
  </si>
  <si>
    <t>DN_CTR_QD_NV_191901_PRE_M</t>
  </si>
  <si>
    <t>DN_CTR_QD_NV_123802_PRE_M</t>
  </si>
  <si>
    <t>DN_CTR_QD_NV_171701_PRE_M</t>
  </si>
  <si>
    <t>DN_CTR_QD_NV_212701_PRE_Y</t>
  </si>
  <si>
    <t>DN_CTR_QD_NV_171702_PRE_Y</t>
  </si>
  <si>
    <t>DN_CTR_QD_2127_PRE_Y</t>
  </si>
  <si>
    <t>VHD_TKTO_PRE_Y</t>
  </si>
  <si>
    <t>DN_CTR_QD_0637_PRE_Y</t>
  </si>
  <si>
    <t>DN_CTR_QD_NV_263602_PRE_Y</t>
  </si>
  <si>
    <t>DN_CTR_QD_NV_042401_PRE_Y</t>
  </si>
  <si>
    <t>DN_CTR_QD_NV_243401_PRE_Y</t>
  </si>
  <si>
    <t>DN_CTR_QD_0707_PRE_Y</t>
  </si>
  <si>
    <t>DN_CTR_QD_0341_PRE_Y</t>
  </si>
  <si>
    <t>DN_CTR_QD_0606_PRE_Y</t>
  </si>
  <si>
    <t>DN_CTR_QD_0340_PRE_Y</t>
  </si>
  <si>
    <t>DN_CTR_QD_NV_253501_PRE_Y</t>
  </si>
  <si>
    <t>DN_CTR_QD_NV_070701_PRE_Y</t>
  </si>
  <si>
    <t>DN_CTR_QD_NV_191902_PRE_Y</t>
  </si>
  <si>
    <t>NV_PRE_Y</t>
  </si>
  <si>
    <t>ATCT_TM_PRE_Y</t>
  </si>
  <si>
    <t>ATCT_TG_PRE_Y</t>
  </si>
  <si>
    <t>DN_CTR_QD_0723_PRE_Y</t>
  </si>
  <si>
    <t>DN_CTR_QD_NV_263601_PRE_Y</t>
  </si>
  <si>
    <t>DN_CTR_QD_NV_060602_PRE_Y</t>
  </si>
  <si>
    <t>SDV_PRE_Y</t>
  </si>
  <si>
    <t>DN_CTR_QD_1238_PRE_Y</t>
  </si>
  <si>
    <t>VHD_TKXA_PRE_Y</t>
  </si>
  <si>
    <t>DN_CTR_QD_1919_PRE_Y</t>
  </si>
  <si>
    <t>DN_CTR_QD_0202_PRE_Y</t>
  </si>
  <si>
    <t>DN_CTR_QD_2332_PRE_Y</t>
  </si>
  <si>
    <t>DN_CTR_QD_0233_PRE_Y</t>
  </si>
  <si>
    <t>DN_CTR_QD_0101_PRE_Y</t>
  </si>
  <si>
    <t>DN_CTR_QD_0303_PRE_Y</t>
  </si>
  <si>
    <t>VHD_NOXH_PRE_Y</t>
  </si>
  <si>
    <t>DN_CTR_QD_04___PRE_Y</t>
  </si>
  <si>
    <t>DN_CTR_QD_1226_PRE_Y</t>
  </si>
  <si>
    <t>DN_CTR_QD_2535_PRE_Y</t>
  </si>
  <si>
    <t>DN_CTR_QD_NV_092201_PRE_Y</t>
  </si>
  <si>
    <t>DN_CTR_QD_NV_010101_PRE_Y</t>
  </si>
  <si>
    <t>TONG_DN_PRE_Y</t>
  </si>
  <si>
    <t>VTU_PRE_Y</t>
  </si>
  <si>
    <t>DN_CTR_QD_2636_PRE_Y</t>
  </si>
  <si>
    <t>VONDP_T_PRE_Y</t>
  </si>
  <si>
    <t>DN_CTR_QD_NV_122601_PRE_Y</t>
  </si>
  <si>
    <t>VONTU_PRE_Y</t>
  </si>
  <si>
    <t>DN_CTR_QD_NV_010102_PRE_Y</t>
  </si>
  <si>
    <t>DN_CTR_QD_0922_PRE_Y</t>
  </si>
  <si>
    <t>DN_CTR_QD_NV_063701_PRE_Y</t>
  </si>
  <si>
    <t>DN_CTR_QD_NV_171701_PRE_Y</t>
  </si>
  <si>
    <t>VHD_KQHQ_PRE_Y</t>
  </si>
  <si>
    <t>VHD_TKDC_PRE_Y</t>
  </si>
  <si>
    <t>DN_CTR_QD_0243_PRE_Y</t>
  </si>
  <si>
    <t>DN_CTR_QD_1515_PRE_Y</t>
  </si>
  <si>
    <t>DN_CTR_QD_NV_060601_PRE_Y</t>
  </si>
  <si>
    <t>DN_CTR_QD_NV_123801_PRE_Y</t>
  </si>
  <si>
    <t>DN_CTR_QD_NV_072301_PRE_Y</t>
  </si>
  <si>
    <t>DN_CTR_QD_NV_063702_PRE_Y</t>
  </si>
  <si>
    <t>DN_CTR_QD_NV_070702_PRE_Y</t>
  </si>
  <si>
    <t>DN_CTR_QD_1717_PRE_Y</t>
  </si>
  <si>
    <t>DN_CTR_QD_2434_PRE_Y</t>
  </si>
  <si>
    <t>DN_CTR_QD_NV_191901_PRE_Y</t>
  </si>
  <si>
    <t>ATCT_PRE_Y</t>
  </si>
  <si>
    <t>DN_CTR_QD_NV_092202_PRE_Y</t>
  </si>
  <si>
    <t>VHD_PRE_Y</t>
  </si>
  <si>
    <t>DN_CTR_QD_9926_PRE_Y</t>
  </si>
  <si>
    <t>DN_CTR_QD_1010_PRE_Y</t>
  </si>
  <si>
    <t>VONDP_PRE_Y</t>
  </si>
  <si>
    <t>VHD_TG_PRE_Y</t>
  </si>
  <si>
    <t>DN_CTR_QD_NV_122602_PRE_Y</t>
  </si>
  <si>
    <t>DN_CTR_QD_NV_123802_PRE_Y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</si>
</sst>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b/>
      <sz val="11"/>
      <color theme="1"/>
      <name val="Cambria"/>
      <family val="1"/>
      <charset val="163"/>
      <scheme val="major"/>
    </font>
    <font>
      <sz val="11"/>
      <color theme="1"/>
      <name val="Cambria"/>
      <family val="1"/>
      <charset val="163"/>
      <scheme val="major"/>
    </font>
    <font>
      <b/>
      <sz val="13"/>
      <color theme="1"/>
      <name val="Cambria"/>
      <family val="1"/>
      <charset val="163"/>
      <scheme val="major"/>
    </font>
    <font>
      <i/>
      <sz val="11"/>
      <color theme="1"/>
      <name val="Cambria"/>
      <family val="1"/>
      <charset val="163"/>
      <scheme val="major"/>
    </font>
    <font>
      <i/>
      <sz val="11"/>
      <color theme="1"/>
      <name val="Calibri"/>
      <family val="2"/>
      <scheme val="minor"/>
    </font>
    <font>
      <sz val="9"/>
      <color indexed="39"/>
      <name val="Tahoma"/>
      <family val="2"/>
      <charset val="163"/>
    </font>
    <font>
      <b/>
      <sz val="9"/>
      <color theme="1"/>
      <name val="Cambria"/>
      <family val="1"/>
      <charset val="163"/>
      <scheme val="maj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mbria"/>
      <family val="1"/>
      <charset val="163"/>
      <scheme val="major"/>
    </font>
    <font>
      <i/>
      <sz val="9"/>
      <color theme="1"/>
      <name val="Calibri"/>
      <family val="2"/>
      <scheme val="minor"/>
    </font>
    <font>
      <sz val="9"/>
      <color theme="1"/>
      <name val="Cambria"/>
      <family val="1"/>
      <charset val="163"/>
      <scheme val="major"/>
    </font>
    <font>
      <b/>
      <sz val="9"/>
      <name val="Cambria"/>
      <family val="1"/>
      <charset val="163"/>
      <scheme val="major"/>
    </font>
    <font>
      <b/>
      <sz val="9"/>
      <name val="Calibri"/>
      <family val="2"/>
      <scheme val="minor"/>
    </font>
    <font>
      <i/>
      <sz val="9"/>
      <name val="Cambria"/>
      <family val="1"/>
      <charset val="163"/>
      <scheme val="major"/>
    </font>
    <font>
      <i/>
      <sz val="9"/>
      <name val="Calibri"/>
      <family val="2"/>
      <scheme val="minor"/>
    </font>
    <font>
      <i/>
      <sz val="9"/>
      <color rgb="FFFF0000"/>
      <name val="Cambria"/>
      <family val="1"/>
      <charset val="163"/>
      <scheme val="major"/>
    </font>
    <font>
      <sz val="9"/>
      <color rgb="FFFF0000"/>
      <name val="Cambria"/>
      <family val="1"/>
      <charset val="163"/>
      <scheme val="major"/>
    </font>
    <font>
      <i/>
      <sz val="9"/>
      <color rgb="FFFF0000"/>
      <name val="Calibri"/>
      <family val="2"/>
      <scheme val="minor"/>
    </font>
    <font>
      <b/>
      <sz val="9"/>
      <color theme="1"/>
      <name val="Cambria"/>
      <family val="1"/>
      <scheme val="major"/>
    </font>
    <font>
      <sz val="9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/>
    </xf>
    <xf numFmtId="0" fontId="5" fillId="0" borderId="1" xfId="0" applyFont="1" applyBorder="1"/>
    <xf numFmtId="0" fontId="6" fillId="0" borderId="1" xfId="0" applyFont="1" applyBorder="1"/>
    <xf numFmtId="0" fontId="6" fillId="0" borderId="1" xfId="0" quotePrefix="1" applyFont="1" applyBorder="1"/>
    <xf numFmtId="0" fontId="5" fillId="0" borderId="1" xfId="0" quotePrefix="1" applyFont="1" applyBorder="1"/>
    <xf numFmtId="4" fontId="6" fillId="0" borderId="0" xfId="0" applyNumberFormat="1" applyFont="1"/>
    <xf numFmtId="4" fontId="7" fillId="0" borderId="0" xfId="0" applyNumberFormat="1" applyFont="1" applyAlignment="1">
      <alignment vertical="top"/>
    </xf>
    <xf numFmtId="4" fontId="8" fillId="0" borderId="0" xfId="0" applyNumberFormat="1" applyFont="1" applyAlignment="1">
      <alignment horizontal="right"/>
    </xf>
    <xf numFmtId="4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/>
    <xf numFmtId="4" fontId="6" fillId="0" borderId="1" xfId="0" applyNumberFormat="1" applyFont="1" applyBorder="1"/>
    <xf numFmtId="4" fontId="2" fillId="0" borderId="0" xfId="0" applyNumberFormat="1" applyFont="1"/>
    <xf numFmtId="4" fontId="0" fillId="0" borderId="0" xfId="0" applyNumberFormat="1"/>
    <xf numFmtId="10" fontId="6" fillId="0" borderId="1" xfId="1" applyNumberFormat="1" applyFont="1" applyBorder="1"/>
    <xf numFmtId="10" fontId="0" fillId="0" borderId="0" xfId="1" applyNumberFormat="1" applyFont="1"/>
    <xf numFmtId="10" fontId="6" fillId="0" borderId="1" xfId="0" applyNumberFormat="1" applyFont="1" applyBorder="1"/>
    <xf numFmtId="10" fontId="0" fillId="0" borderId="0" xfId="0" applyNumberForma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0" fontId="6" fillId="0" borderId="1" xfId="1" applyNumberFormat="1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4" fontId="8" fillId="0" borderId="1" xfId="0" applyNumberFormat="1" applyFont="1" applyBorder="1"/>
    <xf numFmtId="0" fontId="9" fillId="0" borderId="0" xfId="0" applyFont="1"/>
    <xf numFmtId="0" fontId="12" fillId="0" borderId="0" xfId="0" applyFont="1"/>
    <xf numFmtId="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4" fontId="11" fillId="0" borderId="1" xfId="0" applyNumberFormat="1" applyFont="1" applyBorder="1"/>
    <xf numFmtId="0" fontId="1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0" fontId="15" fillId="0" borderId="0" xfId="0" applyFont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4" fontId="16" fillId="0" borderId="1" xfId="0" applyNumberFormat="1" applyFont="1" applyBorder="1"/>
    <xf numFmtId="10" fontId="16" fillId="0" borderId="1" xfId="1" applyNumberFormat="1" applyFont="1" applyBorder="1" applyAlignment="1">
      <alignment horizontal="center"/>
    </xf>
    <xf numFmtId="10" fontId="16" fillId="0" borderId="1" xfId="1" applyNumberFormat="1" applyFont="1" applyBorder="1"/>
    <xf numFmtId="10" fontId="12" fillId="0" borderId="0" xfId="1" applyNumberFormat="1" applyFont="1"/>
    <xf numFmtId="0" fontId="16" fillId="0" borderId="1" xfId="0" quotePrefix="1" applyFont="1" applyBorder="1" applyAlignment="1">
      <alignment horizontal="center"/>
    </xf>
    <xf numFmtId="10" fontId="11" fillId="0" borderId="1" xfId="0" applyNumberFormat="1" applyFont="1" applyBorder="1" applyAlignment="1">
      <alignment horizontal="center"/>
    </xf>
    <xf numFmtId="10" fontId="16" fillId="0" borderId="1" xfId="0" applyNumberFormat="1" applyFont="1" applyBorder="1"/>
    <xf numFmtId="10" fontId="12" fillId="0" borderId="0" xfId="0" applyNumberFormat="1" applyFont="1"/>
    <xf numFmtId="0" fontId="16" fillId="0" borderId="1" xfId="0" quotePrefix="1" applyFont="1" applyBorder="1"/>
    <xf numFmtId="0" fontId="11" fillId="0" borderId="1" xfId="0" quotePrefix="1" applyFont="1" applyBorder="1"/>
    <xf numFmtId="10" fontId="16" fillId="0" borderId="1" xfId="0" applyNumberFormat="1" applyFont="1" applyBorder="1" applyAlignment="1">
      <alignment horizontal="center"/>
    </xf>
    <xf numFmtId="4" fontId="13" fillId="0" borderId="0" xfId="0" applyNumberFormat="1" applyFont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4" fontId="17" fillId="0" borderId="1" xfId="0" applyNumberFormat="1" applyFont="1" applyBorder="1"/>
    <xf numFmtId="0" fontId="18" fillId="0" borderId="0" xfId="0" applyFont="1"/>
    <xf numFmtId="0" fontId="19" fillId="0" borderId="1" xfId="0" applyFont="1" applyBorder="1" applyAlignment="1">
      <alignment horizontal="center"/>
    </xf>
    <xf numFmtId="0" fontId="19" fillId="0" borderId="1" xfId="0" applyFont="1" applyBorder="1"/>
    <xf numFmtId="4" fontId="19" fillId="0" borderId="1" xfId="0" applyNumberFormat="1" applyFont="1" applyBorder="1"/>
    <xf numFmtId="0" fontId="20" fillId="0" borderId="0" xfId="0" applyFont="1"/>
    <xf numFmtId="4" fontId="21" fillId="0" borderId="1" xfId="0" applyNumberFormat="1" applyFont="1" applyBorder="1"/>
    <xf numFmtId="0" fontId="22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3" fillId="0" borderId="0" xfId="0" applyFont="1"/>
    <xf numFmtId="0" fontId="24" fillId="0" borderId="1" xfId="0" applyFont="1" applyBorder="1"/>
    <xf numFmtId="0" fontId="25" fillId="0" borderId="1" xfId="0" applyFont="1" applyBorder="1"/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4" fontId="5" fillId="0" borderId="3" xfId="0" applyNumberFormat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49"/>
  <sheetViews>
    <sheetView tabSelected="1" zoomScaleNormal="100" workbookViewId="0">
      <pane xSplit="2" ySplit="7" topLeftCell="C14" activePane="bottomRight" state="frozen"/>
      <selection pane="topRight" activeCell="C1" sqref="C1"/>
      <selection pane="bottomLeft" activeCell="A8" sqref="A8"/>
      <selection pane="bottomRight" activeCell="A79" sqref="A79:XFD79"/>
    </sheetView>
  </sheetViews>
  <sheetFormatPr defaultRowHeight="14.4" x14ac:dyDescent="0.3"/>
  <cols>
    <col min="1" max="1" width="4.33203125" customWidth="1"/>
    <col min="2" max="2" width="39" bestFit="1" customWidth="1"/>
    <col min="3" max="3" width="37" style="17" customWidth="1"/>
    <col min="4" max="4" width="13.109375" style="17" bestFit="1" customWidth="1"/>
    <col min="5" max="5" width="12" style="17" bestFit="1" customWidth="1" collapsed="1"/>
    <col min="6" max="6" width="11.6640625" style="17" bestFit="1" customWidth="1" collapsed="1"/>
    <col min="7" max="7" width="12" style="17" bestFit="1" customWidth="1" collapsed="1"/>
    <col min="8" max="11" width="11.6640625" style="17" bestFit="1" customWidth="1" collapsed="1"/>
    <col min="12" max="12" width="11.77734375" style="17" bestFit="1" customWidth="1" collapsed="1"/>
    <col min="13" max="13" width="11.6640625" style="17" bestFit="1" customWidth="1" collapsed="1"/>
    <col min="14" max="14" width="14.44140625" style="17" customWidth="1" collapsed="1"/>
    <col min="15" max="15" width="11.6640625" bestFit="1" customWidth="1"/>
    <col min="16" max="16" width="11.6640625" bestFit="1" customWidth="1" collapsed="1"/>
    <col min="17" max="18" width="12" bestFit="1" customWidth="1" collapsed="1"/>
    <col min="19" max="20" width="11.6640625" bestFit="1" customWidth="1" collapsed="1"/>
    <col min="21" max="21" width="12.44140625" bestFit="1" customWidth="1" collapsed="1"/>
    <col min="22" max="25" width="11.6640625" bestFit="1" customWidth="1" collapsed="1"/>
  </cols>
  <sheetData>
    <row r="1" spans="1:25" ht="15" customHeight="1" x14ac:dyDescent="0.3">
      <c r="A1" s="3" t="s">
        <v>0</v>
      </c>
      <c r="B1" s="4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25" ht="16.5" customHeight="1" x14ac:dyDescent="0.3">
      <c r="A2" s="5" t="s">
        <v>120</v>
      </c>
      <c r="B2" s="5"/>
      <c r="C2" s="11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25" ht="15" customHeight="1" x14ac:dyDescent="0.3">
      <c r="A3" s="74" t="s">
        <v>121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</row>
    <row r="4" spans="1:25" ht="15" customHeight="1" x14ac:dyDescent="0.3">
      <c r="A4" s="75" t="s">
        <v>122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</row>
    <row r="5" spans="1:25" ht="15" customHeight="1" x14ac:dyDescent="0.3">
      <c r="A5" s="4"/>
      <c r="B5" s="4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2" t="s">
        <v>1</v>
      </c>
    </row>
    <row r="6" spans="1:25" ht="15" customHeight="1" x14ac:dyDescent="0.3">
      <c r="A6" s="78" t="s">
        <v>2</v>
      </c>
      <c r="B6" s="78" t="s">
        <v>3</v>
      </c>
      <c r="C6" s="79" t="s">
        <v>90</v>
      </c>
      <c r="D6" s="80" t="s">
        <v>5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</row>
    <row r="7" spans="1:25" ht="15" customHeight="1" x14ac:dyDescent="0.3">
      <c r="A7" s="78"/>
      <c r="B7" s="78"/>
      <c r="C7" s="79"/>
      <c r="D7" s="13" t="s">
        <v>6</v>
      </c>
      <c r="E7" s="13" t="s">
        <v>82</v>
      </c>
      <c r="F7" s="13" t="s">
        <v>75</v>
      </c>
      <c r="G7" s="13" t="s">
        <v>78</v>
      </c>
      <c r="H7" s="13" t="s">
        <v>76</v>
      </c>
      <c r="I7" s="13" t="s">
        <v>80</v>
      </c>
      <c r="J7" s="13" t="s">
        <v>7</v>
      </c>
      <c r="K7" s="13" t="s">
        <v>81</v>
      </c>
      <c r="L7" s="13" t="s">
        <v>77</v>
      </c>
      <c r="M7" s="13" t="s">
        <v>79</v>
      </c>
      <c r="N7" s="13" t="s">
        <v>83</v>
      </c>
      <c r="O7" s="13" t="s">
        <v>99</v>
      </c>
      <c r="P7" s="13" t="s">
        <v>100</v>
      </c>
      <c r="Q7" s="13" t="s">
        <v>101</v>
      </c>
      <c r="R7" s="13" t="s">
        <v>102</v>
      </c>
      <c r="S7" s="13" t="s">
        <v>103</v>
      </c>
      <c r="T7" s="13" t="s">
        <v>104</v>
      </c>
      <c r="U7" s="13" t="s">
        <v>105</v>
      </c>
      <c r="V7" s="13" t="s">
        <v>106</v>
      </c>
      <c r="W7" s="13" t="s">
        <v>107</v>
      </c>
      <c r="X7" s="13" t="s">
        <v>108</v>
      </c>
      <c r="Y7" s="13" t="s">
        <v>109</v>
      </c>
    </row>
    <row r="8" spans="1:25" s="1" customFormat="1" ht="15" customHeight="1" x14ac:dyDescent="0.3">
      <c r="A8" s="22" t="s">
        <v>8</v>
      </c>
      <c r="B8" s="6" t="s">
        <v>9</v>
      </c>
      <c r="C8" s="14" t="e">
        <f t="shared" ref="C8:Y8" si="0">+C26+C83</f>
        <v>#VALUE!</v>
      </c>
      <c r="D8" s="14">
        <f t="shared" si="0"/>
        <v>726161.14999999991</v>
      </c>
      <c r="E8" s="14">
        <f t="shared" si="0"/>
        <v>578007.1</v>
      </c>
      <c r="F8" s="14">
        <f t="shared" si="0"/>
        <v>622980.35000000009</v>
      </c>
      <c r="G8" s="14">
        <f t="shared" si="0"/>
        <v>754002.38</v>
      </c>
      <c r="H8" s="14">
        <f t="shared" si="0"/>
        <v>735337.13</v>
      </c>
      <c r="I8" s="14">
        <f t="shared" si="0"/>
        <v>606133.68999999994</v>
      </c>
      <c r="J8" s="14">
        <f t="shared" si="0"/>
        <v>644805.77</v>
      </c>
      <c r="K8" s="14">
        <f t="shared" si="0"/>
        <v>715752.69</v>
      </c>
      <c r="L8" s="14">
        <f t="shared" si="0"/>
        <v>598856.16</v>
      </c>
      <c r="M8" s="14">
        <f t="shared" si="0"/>
        <v>565175.00000000012</v>
      </c>
      <c r="N8" s="14">
        <f t="shared" si="0"/>
        <v>569495.84</v>
      </c>
      <c r="O8" s="14">
        <f t="shared" si="0"/>
        <v>363541.92</v>
      </c>
      <c r="P8" s="14">
        <f t="shared" si="0"/>
        <v>768147.74999999988</v>
      </c>
      <c r="Q8" s="14">
        <f t="shared" si="0"/>
        <v>386445.04999999993</v>
      </c>
      <c r="R8" s="14">
        <f t="shared" si="0"/>
        <v>378120.93</v>
      </c>
      <c r="S8" s="14">
        <f t="shared" si="0"/>
        <v>788449.36</v>
      </c>
      <c r="T8" s="14">
        <f t="shared" si="0"/>
        <v>533509.77</v>
      </c>
      <c r="U8" s="14">
        <f t="shared" si="0"/>
        <v>430525.55999999994</v>
      </c>
      <c r="V8" s="14">
        <f t="shared" si="0"/>
        <v>589120.66999999993</v>
      </c>
      <c r="W8" s="14">
        <f t="shared" si="0"/>
        <v>669609.41</v>
      </c>
      <c r="X8" s="14">
        <f t="shared" si="0"/>
        <v>654776.88</v>
      </c>
      <c r="Y8" s="14">
        <f t="shared" si="0"/>
        <v>518540.25999999995</v>
      </c>
    </row>
    <row r="9" spans="1:25" s="1" customFormat="1" ht="15" customHeight="1" x14ac:dyDescent="0.3">
      <c r="A9" s="22" t="s">
        <v>10</v>
      </c>
      <c r="B9" s="6" t="s">
        <v>11</v>
      </c>
      <c r="C9" s="14" t="e">
        <f t="shared" ref="C9:Y9" si="1">+C8-C20</f>
        <v>#VALUE!</v>
      </c>
      <c r="D9" s="14">
        <f t="shared" si="1"/>
        <v>704397.14999999991</v>
      </c>
      <c r="E9" s="14">
        <f t="shared" si="1"/>
        <v>548989.1</v>
      </c>
      <c r="F9" s="14">
        <f t="shared" si="1"/>
        <v>582642.35000000009</v>
      </c>
      <c r="G9" s="14">
        <f t="shared" si="1"/>
        <v>719695.38</v>
      </c>
      <c r="H9" s="14">
        <f t="shared" si="1"/>
        <v>688594.13</v>
      </c>
      <c r="I9" s="14">
        <f t="shared" si="1"/>
        <v>557898.68999999994</v>
      </c>
      <c r="J9" s="14">
        <f t="shared" si="1"/>
        <v>570792.77</v>
      </c>
      <c r="K9" s="14">
        <f t="shared" si="1"/>
        <v>646385.68999999994</v>
      </c>
      <c r="L9" s="14">
        <f t="shared" si="1"/>
        <v>564714.16</v>
      </c>
      <c r="M9" s="14">
        <f t="shared" si="1"/>
        <v>519458.00000000012</v>
      </c>
      <c r="N9" s="14">
        <f t="shared" si="1"/>
        <v>537585.84</v>
      </c>
      <c r="O9" s="14">
        <f t="shared" si="1"/>
        <v>363441.91999999998</v>
      </c>
      <c r="P9" s="14">
        <f t="shared" si="1"/>
        <v>768047.74999999988</v>
      </c>
      <c r="Q9" s="14">
        <f t="shared" si="1"/>
        <v>386345.04999999993</v>
      </c>
      <c r="R9" s="14">
        <f t="shared" si="1"/>
        <v>378020.93</v>
      </c>
      <c r="S9" s="14">
        <f t="shared" si="1"/>
        <v>788349.36</v>
      </c>
      <c r="T9" s="14">
        <f t="shared" si="1"/>
        <v>533409.77</v>
      </c>
      <c r="U9" s="14">
        <f t="shared" si="1"/>
        <v>430425.55999999994</v>
      </c>
      <c r="V9" s="14">
        <f t="shared" si="1"/>
        <v>589020.66999999993</v>
      </c>
      <c r="W9" s="14">
        <f t="shared" si="1"/>
        <v>669509.41</v>
      </c>
      <c r="X9" s="14">
        <f t="shared" si="1"/>
        <v>654676.88</v>
      </c>
      <c r="Y9" s="14">
        <f t="shared" si="1"/>
        <v>518440.25999999995</v>
      </c>
    </row>
    <row r="10" spans="1:25" ht="15" customHeight="1" x14ac:dyDescent="0.3">
      <c r="A10" s="23">
        <v>1</v>
      </c>
      <c r="B10" s="7" t="s">
        <v>12</v>
      </c>
      <c r="C10" s="15" t="e">
        <f t="shared" ref="C10:Y10" si="2">+C9-C12</f>
        <v>#VALUE!</v>
      </c>
      <c r="D10" s="15">
        <f t="shared" si="2"/>
        <v>489563.7699999999</v>
      </c>
      <c r="E10" s="15">
        <f t="shared" si="2"/>
        <v>469546.76999999996</v>
      </c>
      <c r="F10" s="15">
        <f t="shared" si="2"/>
        <v>487046.9200000001</v>
      </c>
      <c r="G10" s="15">
        <f t="shared" si="2"/>
        <v>645936.26</v>
      </c>
      <c r="H10" s="15">
        <f t="shared" si="2"/>
        <v>612890.85</v>
      </c>
      <c r="I10" s="15">
        <f t="shared" si="2"/>
        <v>499502.70999999996</v>
      </c>
      <c r="J10" s="15">
        <f t="shared" si="2"/>
        <v>495184.62</v>
      </c>
      <c r="K10" s="15">
        <f t="shared" si="2"/>
        <v>573163.01</v>
      </c>
      <c r="L10" s="15">
        <f t="shared" si="2"/>
        <v>483167</v>
      </c>
      <c r="M10" s="15">
        <f t="shared" si="2"/>
        <v>459407.7900000001</v>
      </c>
      <c r="N10" s="15">
        <f t="shared" si="2"/>
        <v>425533.00999999995</v>
      </c>
      <c r="O10" s="15">
        <f t="shared" si="2"/>
        <v>312173.43</v>
      </c>
      <c r="P10" s="15">
        <f t="shared" si="2"/>
        <v>701621.80999999982</v>
      </c>
      <c r="Q10" s="15">
        <f t="shared" si="2"/>
        <v>189495.98999999993</v>
      </c>
      <c r="R10" s="15">
        <f t="shared" si="2"/>
        <v>331079.58999999997</v>
      </c>
      <c r="S10" s="15">
        <f t="shared" si="2"/>
        <v>737375.02</v>
      </c>
      <c r="T10" s="15">
        <f t="shared" si="2"/>
        <v>464025.01</v>
      </c>
      <c r="U10" s="15">
        <f t="shared" si="2"/>
        <v>377979.54999999993</v>
      </c>
      <c r="V10" s="15">
        <f t="shared" si="2"/>
        <v>552610.53999999992</v>
      </c>
      <c r="W10" s="15">
        <f t="shared" si="2"/>
        <v>598319.58000000007</v>
      </c>
      <c r="X10" s="15">
        <f t="shared" si="2"/>
        <v>599071.36</v>
      </c>
      <c r="Y10" s="15">
        <f t="shared" si="2"/>
        <v>474983.87999999995</v>
      </c>
    </row>
    <row r="11" spans="1:25" s="19" customFormat="1" ht="15" customHeight="1" x14ac:dyDescent="0.3">
      <c r="A11" s="24"/>
      <c r="B11" s="18" t="s">
        <v>13</v>
      </c>
      <c r="C11" s="18" t="e">
        <f>+C10/C8</f>
        <v>#VALUE!</v>
      </c>
      <c r="D11" s="18">
        <f t="shared" ref="C11:Y11" si="3">+D10/D8</f>
        <v>0.67418061404138729</v>
      </c>
      <c r="E11" s="18">
        <f t="shared" si="3"/>
        <v>0.81235467522803784</v>
      </c>
      <c r="F11" s="18">
        <f t="shared" si="3"/>
        <v>0.78180141636891121</v>
      </c>
      <c r="G11" s="18">
        <f t="shared" si="3"/>
        <v>0.85667668582160184</v>
      </c>
      <c r="H11" s="18">
        <f t="shared" si="3"/>
        <v>0.83348279992334939</v>
      </c>
      <c r="I11" s="18">
        <f t="shared" si="3"/>
        <v>0.82408009691723294</v>
      </c>
      <c r="J11" s="18">
        <f t="shared" si="3"/>
        <v>0.76795934999154858</v>
      </c>
      <c r="K11" s="18">
        <f t="shared" si="3"/>
        <v>0.80078359188562753</v>
      </c>
      <c r="L11" s="18">
        <f t="shared" si="3"/>
        <v>0.80681644821020126</v>
      </c>
      <c r="M11" s="18">
        <f t="shared" si="3"/>
        <v>0.81285936214446852</v>
      </c>
      <c r="N11" s="18">
        <f t="shared" si="3"/>
        <v>0.74721004107773636</v>
      </c>
      <c r="O11" s="18">
        <f t="shared" si="3"/>
        <v>0.85869995405206645</v>
      </c>
      <c r="P11" s="18">
        <f t="shared" si="3"/>
        <v>0.91339434373139794</v>
      </c>
      <c r="Q11" s="18">
        <f t="shared" si="3"/>
        <v>0.49035688256325177</v>
      </c>
      <c r="R11" s="18">
        <f t="shared" si="3"/>
        <v>0.87559181132871955</v>
      </c>
      <c r="S11" s="18">
        <f t="shared" si="3"/>
        <v>0.9352217877378961</v>
      </c>
      <c r="T11" s="18">
        <f t="shared" si="3"/>
        <v>0.86975916111152007</v>
      </c>
      <c r="U11" s="18">
        <f t="shared" si="3"/>
        <v>0.87794915126525819</v>
      </c>
      <c r="V11" s="18">
        <f t="shared" si="3"/>
        <v>0.93802605839649111</v>
      </c>
      <c r="W11" s="18">
        <f t="shared" si="3"/>
        <v>0.89353520285803634</v>
      </c>
      <c r="X11" s="18">
        <f t="shared" si="3"/>
        <v>0.91492442433214805</v>
      </c>
      <c r="Y11" s="18">
        <f t="shared" si="3"/>
        <v>0.91600193203898961</v>
      </c>
    </row>
    <row r="12" spans="1:25" ht="15" customHeight="1" x14ac:dyDescent="0.3">
      <c r="A12" s="23">
        <v>2</v>
      </c>
      <c r="B12" s="7" t="s">
        <v>14</v>
      </c>
      <c r="C12" s="15" t="s">
        <v>123</v>
      </c>
      <c r="D12" s="15">
        <v>214833.38</v>
      </c>
      <c r="E12" s="15">
        <v>79442.33</v>
      </c>
      <c r="F12" s="15">
        <v>95595.43</v>
      </c>
      <c r="G12" s="15">
        <v>73759.12</v>
      </c>
      <c r="H12" s="15">
        <v>75703.28</v>
      </c>
      <c r="I12" s="15">
        <v>58395.98</v>
      </c>
      <c r="J12" s="15">
        <v>75608.149999999994</v>
      </c>
      <c r="K12" s="15">
        <v>73222.679999999993</v>
      </c>
      <c r="L12" s="15">
        <v>81547.16</v>
      </c>
      <c r="M12" s="15">
        <v>60050.21</v>
      </c>
      <c r="N12" s="15">
        <v>112052.83</v>
      </c>
      <c r="O12" s="15">
        <v>51268.49</v>
      </c>
      <c r="P12" s="15">
        <v>66425.94</v>
      </c>
      <c r="Q12" s="15">
        <v>196849.06</v>
      </c>
      <c r="R12" s="15">
        <v>46941.34</v>
      </c>
      <c r="S12" s="15">
        <v>50974.34</v>
      </c>
      <c r="T12" s="15">
        <v>69384.759999999995</v>
      </c>
      <c r="U12" s="15">
        <v>52446.01</v>
      </c>
      <c r="V12" s="15">
        <v>36410.129999999997</v>
      </c>
      <c r="W12" s="15">
        <v>71189.83</v>
      </c>
      <c r="X12" s="15">
        <v>55605.52</v>
      </c>
      <c r="Y12" s="15">
        <v>43456.38</v>
      </c>
    </row>
    <row r="13" spans="1:25" s="19" customFormat="1" ht="15" customHeight="1" x14ac:dyDescent="0.3">
      <c r="A13" s="24"/>
      <c r="B13" s="18" t="s">
        <v>15</v>
      </c>
      <c r="C13" s="18" t="e">
        <f t="shared" ref="C13:Y13" si="4">+C12/C8</f>
        <v>#VALUE!</v>
      </c>
      <c r="D13" s="18">
        <f t="shared" si="4"/>
        <v>0.295848077248418</v>
      </c>
      <c r="E13" s="18">
        <f t="shared" si="4"/>
        <v>0.13744178920985572</v>
      </c>
      <c r="F13" s="18">
        <f t="shared" si="4"/>
        <v>0.15344854777522274</v>
      </c>
      <c r="G13" s="18">
        <f t="shared" si="4"/>
        <v>9.7823457798634522E-2</v>
      </c>
      <c r="H13" s="18">
        <f t="shared" si="4"/>
        <v>0.10295043852878746</v>
      </c>
      <c r="I13" s="18">
        <f t="shared" si="4"/>
        <v>9.6341749292965406E-2</v>
      </c>
      <c r="J13" s="18">
        <f t="shared" si="4"/>
        <v>0.1172572478686101</v>
      </c>
      <c r="K13" s="18">
        <f t="shared" si="4"/>
        <v>0.10230164835286892</v>
      </c>
      <c r="L13" s="18">
        <f t="shared" si="4"/>
        <v>0.13617153073953517</v>
      </c>
      <c r="M13" s="18">
        <f t="shared" si="4"/>
        <v>0.10625064802937141</v>
      </c>
      <c r="N13" s="18">
        <f t="shared" si="4"/>
        <v>0.19675794295529886</v>
      </c>
      <c r="O13" s="18">
        <f t="shared" si="4"/>
        <v>0.1410249745063788</v>
      </c>
      <c r="P13" s="18">
        <f t="shared" si="4"/>
        <v>8.6475472980295801E-2</v>
      </c>
      <c r="Q13" s="18">
        <f t="shared" si="4"/>
        <v>0.50938434843453173</v>
      </c>
      <c r="R13" s="18">
        <f t="shared" si="4"/>
        <v>0.12414372301475085</v>
      </c>
      <c r="S13" s="18">
        <f t="shared" si="4"/>
        <v>6.4651381034794675E-2</v>
      </c>
      <c r="T13" s="18">
        <f t="shared" si="4"/>
        <v>0.13005340089648215</v>
      </c>
      <c r="U13" s="18">
        <f t="shared" si="4"/>
        <v>0.12181857448835327</v>
      </c>
      <c r="V13" s="18">
        <f t="shared" si="4"/>
        <v>6.1804197092592258E-2</v>
      </c>
      <c r="W13" s="18">
        <f t="shared" si="4"/>
        <v>0.10631545634939628</v>
      </c>
      <c r="X13" s="18">
        <f t="shared" si="4"/>
        <v>8.4922851888111869E-2</v>
      </c>
      <c r="Y13" s="18">
        <f t="shared" si="4"/>
        <v>8.3805218904314208E-2</v>
      </c>
    </row>
    <row r="14" spans="1:25" ht="15" customHeight="1" x14ac:dyDescent="0.3">
      <c r="A14" s="25" t="s">
        <v>16</v>
      </c>
      <c r="B14" s="7" t="s">
        <v>17</v>
      </c>
      <c r="C14" s="15" t="s">
        <v>124</v>
      </c>
      <c r="D14" s="15">
        <v>119126.17</v>
      </c>
      <c r="E14" s="15">
        <v>4343.33</v>
      </c>
      <c r="F14" s="15">
        <v>4746.26</v>
      </c>
      <c r="G14" s="15">
        <v>3310.49</v>
      </c>
      <c r="H14" s="15">
        <v>1933.31</v>
      </c>
      <c r="I14" s="15">
        <v>4028.12</v>
      </c>
      <c r="J14" s="15">
        <v>10604.04</v>
      </c>
      <c r="K14" s="15">
        <v>1187.43</v>
      </c>
      <c r="L14" s="15">
        <v>7024.9</v>
      </c>
      <c r="M14" s="15">
        <v>1848.45</v>
      </c>
      <c r="N14" s="15">
        <v>1238.74</v>
      </c>
      <c r="O14" s="15">
        <v>793.04</v>
      </c>
      <c r="P14" s="15">
        <v>2897.85</v>
      </c>
      <c r="Q14" s="15">
        <v>166922.1</v>
      </c>
      <c r="R14" s="15">
        <v>3978.34</v>
      </c>
      <c r="S14" s="15">
        <v>4200.3900000000003</v>
      </c>
      <c r="T14" s="15">
        <v>1930.45</v>
      </c>
      <c r="U14" s="15">
        <v>2769.96</v>
      </c>
      <c r="V14" s="15">
        <v>2156.0700000000002</v>
      </c>
      <c r="W14" s="15">
        <v>6276.84</v>
      </c>
      <c r="X14" s="15">
        <v>4631.32</v>
      </c>
      <c r="Y14" s="15">
        <v>1815.02</v>
      </c>
    </row>
    <row r="15" spans="1:25" ht="15" customHeight="1" x14ac:dyDescent="0.3">
      <c r="A15" s="25"/>
      <c r="B15" s="7" t="s">
        <v>18</v>
      </c>
      <c r="C15" s="15" t="s">
        <v>125</v>
      </c>
      <c r="D15" s="15">
        <v>9842.7000000000007</v>
      </c>
      <c r="E15" s="15">
        <v>3267.76</v>
      </c>
      <c r="F15" s="15">
        <v>1571.58</v>
      </c>
      <c r="G15" s="15">
        <v>525.64</v>
      </c>
      <c r="H15" s="15">
        <v>1060.92</v>
      </c>
      <c r="I15" s="15">
        <v>2072.11</v>
      </c>
      <c r="J15" s="15">
        <v>210.26</v>
      </c>
      <c r="K15" s="15">
        <v>204.7</v>
      </c>
      <c r="L15" s="15">
        <v>204.7</v>
      </c>
      <c r="M15" s="15">
        <v>936.43</v>
      </c>
      <c r="N15" s="15">
        <v>0</v>
      </c>
      <c r="O15" s="15">
        <v>0</v>
      </c>
      <c r="P15" s="15">
        <v>1330.48</v>
      </c>
      <c r="Q15" s="15">
        <v>2851.04</v>
      </c>
      <c r="R15" s="15">
        <v>223.12</v>
      </c>
      <c r="S15" s="15">
        <v>209.4</v>
      </c>
      <c r="T15" s="15">
        <v>338.43</v>
      </c>
      <c r="U15" s="15">
        <v>319.66000000000003</v>
      </c>
      <c r="V15" s="15">
        <v>450.9</v>
      </c>
      <c r="W15" s="15">
        <v>111.31</v>
      </c>
      <c r="X15" s="15">
        <v>1042.5999999999999</v>
      </c>
      <c r="Y15" s="15">
        <v>680.46</v>
      </c>
    </row>
    <row r="16" spans="1:25" ht="15" customHeight="1" x14ac:dyDescent="0.3">
      <c r="A16" s="25"/>
      <c r="B16" s="7" t="s">
        <v>19</v>
      </c>
      <c r="C16" s="15" t="s">
        <v>126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</row>
    <row r="17" spans="1:25" ht="15" customHeight="1" x14ac:dyDescent="0.3">
      <c r="A17" s="25" t="s">
        <v>20</v>
      </c>
      <c r="B17" s="7" t="s">
        <v>21</v>
      </c>
      <c r="C17" s="15" t="s">
        <v>127</v>
      </c>
      <c r="D17" s="15">
        <v>9625.5300000000007</v>
      </c>
      <c r="E17" s="15">
        <v>15627.91</v>
      </c>
      <c r="F17" s="15">
        <v>11368.76</v>
      </c>
      <c r="G17" s="15">
        <v>12217.6</v>
      </c>
      <c r="H17" s="15">
        <v>12528.62</v>
      </c>
      <c r="I17" s="15">
        <v>20355.060000000001</v>
      </c>
      <c r="J17" s="15">
        <v>8562.8799999999992</v>
      </c>
      <c r="K17" s="15">
        <v>14963.81</v>
      </c>
      <c r="L17" s="15">
        <v>25391.11</v>
      </c>
      <c r="M17" s="15">
        <v>8368.52</v>
      </c>
      <c r="N17" s="15">
        <v>23941.5</v>
      </c>
      <c r="O17" s="15">
        <v>10573.39</v>
      </c>
      <c r="P17" s="15">
        <v>15951.05</v>
      </c>
      <c r="Q17" s="15">
        <v>12444.25</v>
      </c>
      <c r="R17" s="15">
        <v>9430.57</v>
      </c>
      <c r="S17" s="15">
        <v>3072.34</v>
      </c>
      <c r="T17" s="15">
        <v>15049.6</v>
      </c>
      <c r="U17" s="15">
        <v>20634.21</v>
      </c>
      <c r="V17" s="15">
        <v>8663.66</v>
      </c>
      <c r="W17" s="15">
        <v>17412.330000000002</v>
      </c>
      <c r="X17" s="15">
        <v>7361.06</v>
      </c>
      <c r="Y17" s="15">
        <v>7871.54</v>
      </c>
    </row>
    <row r="18" spans="1:25" ht="15" customHeight="1" x14ac:dyDescent="0.3">
      <c r="A18" s="25" t="s">
        <v>22</v>
      </c>
      <c r="B18" s="7" t="s">
        <v>23</v>
      </c>
      <c r="C18" s="15" t="s">
        <v>128</v>
      </c>
      <c r="D18" s="15">
        <v>4329.92</v>
      </c>
      <c r="E18" s="15">
        <v>1109.9100000000001</v>
      </c>
      <c r="F18" s="15">
        <v>5785.76</v>
      </c>
      <c r="G18" s="15">
        <v>3668.97</v>
      </c>
      <c r="H18" s="15">
        <v>6580.87</v>
      </c>
      <c r="I18" s="15">
        <v>10155.48</v>
      </c>
      <c r="J18" s="15">
        <v>8003.63</v>
      </c>
      <c r="K18" s="15">
        <v>2295.4699999999998</v>
      </c>
      <c r="L18" s="15">
        <v>5543.52</v>
      </c>
      <c r="M18" s="15">
        <v>5549.98</v>
      </c>
      <c r="N18" s="15">
        <v>2631.31</v>
      </c>
      <c r="O18" s="15">
        <v>582.85</v>
      </c>
      <c r="P18" s="15">
        <v>2040.88</v>
      </c>
      <c r="Q18" s="15">
        <v>0</v>
      </c>
      <c r="R18" s="15">
        <v>2287.09</v>
      </c>
      <c r="S18" s="15">
        <v>2496.15</v>
      </c>
      <c r="T18" s="15">
        <v>1540.69</v>
      </c>
      <c r="U18" s="15">
        <v>456.47</v>
      </c>
      <c r="V18" s="15">
        <v>971.76</v>
      </c>
      <c r="W18" s="15">
        <v>3824.25</v>
      </c>
      <c r="X18" s="15">
        <v>1073.42</v>
      </c>
      <c r="Y18" s="15">
        <v>3142.41</v>
      </c>
    </row>
    <row r="19" spans="1:25" ht="15" customHeight="1" x14ac:dyDescent="0.3">
      <c r="A19" s="25" t="s">
        <v>24</v>
      </c>
      <c r="B19" s="7" t="s">
        <v>25</v>
      </c>
      <c r="C19" s="15" t="s">
        <v>129</v>
      </c>
      <c r="D19" s="15">
        <v>81189.509999999995</v>
      </c>
      <c r="E19" s="15">
        <v>58361.18</v>
      </c>
      <c r="F19" s="15">
        <v>71387.350000000006</v>
      </c>
      <c r="G19" s="15">
        <v>54342.05</v>
      </c>
      <c r="H19" s="15">
        <v>54398.48</v>
      </c>
      <c r="I19" s="15">
        <v>23574.69</v>
      </c>
      <c r="J19" s="15">
        <v>48324.9</v>
      </c>
      <c r="K19" s="15">
        <v>54365.95</v>
      </c>
      <c r="L19" s="15">
        <v>43567.59</v>
      </c>
      <c r="M19" s="15">
        <v>44061.46</v>
      </c>
      <c r="N19" s="15">
        <v>84216.28</v>
      </c>
      <c r="O19" s="15">
        <v>38887.93</v>
      </c>
      <c r="P19" s="15">
        <v>42736.160000000003</v>
      </c>
      <c r="Q19" s="15">
        <v>17428.71</v>
      </c>
      <c r="R19" s="15">
        <v>30969.040000000001</v>
      </c>
      <c r="S19" s="15">
        <v>39972.46</v>
      </c>
      <c r="T19" s="15">
        <v>50557.58</v>
      </c>
      <c r="U19" s="15">
        <v>27730.37</v>
      </c>
      <c r="V19" s="15">
        <v>23348.639999999999</v>
      </c>
      <c r="W19" s="15">
        <v>42943.39</v>
      </c>
      <c r="X19" s="15">
        <v>41932.120000000003</v>
      </c>
      <c r="Y19" s="15">
        <v>30250.51</v>
      </c>
    </row>
    <row r="20" spans="1:25" s="1" customFormat="1" ht="15" customHeight="1" x14ac:dyDescent="0.3">
      <c r="A20" s="22" t="s">
        <v>26</v>
      </c>
      <c r="B20" s="6" t="s">
        <v>27</v>
      </c>
      <c r="C20" s="14" t="e">
        <f t="shared" ref="C20:Y20" si="5">+C22+C23</f>
        <v>#VALUE!</v>
      </c>
      <c r="D20" s="14">
        <f t="shared" si="5"/>
        <v>21764</v>
      </c>
      <c r="E20" s="14">
        <f t="shared" si="5"/>
        <v>29018</v>
      </c>
      <c r="F20" s="14">
        <f t="shared" si="5"/>
        <v>40338</v>
      </c>
      <c r="G20" s="14">
        <f t="shared" si="5"/>
        <v>34307</v>
      </c>
      <c r="H20" s="14">
        <f t="shared" si="5"/>
        <v>46743</v>
      </c>
      <c r="I20" s="14">
        <f t="shared" si="5"/>
        <v>48235</v>
      </c>
      <c r="J20" s="14">
        <f t="shared" si="5"/>
        <v>74013</v>
      </c>
      <c r="K20" s="14">
        <f t="shared" si="5"/>
        <v>69367</v>
      </c>
      <c r="L20" s="14">
        <f t="shared" si="5"/>
        <v>34142</v>
      </c>
      <c r="M20" s="14">
        <f t="shared" si="5"/>
        <v>45717</v>
      </c>
      <c r="N20" s="14">
        <f t="shared" si="5"/>
        <v>31910</v>
      </c>
      <c r="O20" s="14">
        <f t="shared" si="5"/>
        <v>100</v>
      </c>
      <c r="P20" s="14">
        <f t="shared" si="5"/>
        <v>100</v>
      </c>
      <c r="Q20" s="14">
        <f t="shared" si="5"/>
        <v>100</v>
      </c>
      <c r="R20" s="14">
        <f t="shared" si="5"/>
        <v>100</v>
      </c>
      <c r="S20" s="14">
        <f t="shared" si="5"/>
        <v>100</v>
      </c>
      <c r="T20" s="14">
        <f t="shared" si="5"/>
        <v>100</v>
      </c>
      <c r="U20" s="14">
        <f t="shared" si="5"/>
        <v>100</v>
      </c>
      <c r="V20" s="14">
        <f t="shared" si="5"/>
        <v>100</v>
      </c>
      <c r="W20" s="14">
        <f t="shared" si="5"/>
        <v>100</v>
      </c>
      <c r="X20" s="14">
        <f t="shared" si="5"/>
        <v>100</v>
      </c>
      <c r="Y20" s="14">
        <f t="shared" si="5"/>
        <v>100</v>
      </c>
    </row>
    <row r="21" spans="1:25" s="21" customFormat="1" ht="15" customHeight="1" x14ac:dyDescent="0.3">
      <c r="A21" s="26"/>
      <c r="B21" s="20" t="s">
        <v>15</v>
      </c>
      <c r="C21" s="18" t="e">
        <f t="shared" ref="C21:Y21" si="6">+C20/C8</f>
        <v>#VALUE!</v>
      </c>
      <c r="D21" s="18">
        <f t="shared" si="6"/>
        <v>2.9971308710194704E-2</v>
      </c>
      <c r="E21" s="18">
        <f t="shared" si="6"/>
        <v>5.0203535562106417E-2</v>
      </c>
      <c r="F21" s="18">
        <f t="shared" si="6"/>
        <v>6.475003585586607E-2</v>
      </c>
      <c r="G21" s="18">
        <f t="shared" si="6"/>
        <v>4.5499856379763684E-2</v>
      </c>
      <c r="H21" s="18">
        <f t="shared" si="6"/>
        <v>6.3566761547863088E-2</v>
      </c>
      <c r="I21" s="18">
        <f t="shared" si="6"/>
        <v>7.9578153789801723E-2</v>
      </c>
      <c r="J21" s="18">
        <f t="shared" si="6"/>
        <v>0.11478340213984127</v>
      </c>
      <c r="K21" s="18">
        <f t="shared" si="6"/>
        <v>9.6914759761503669E-2</v>
      </c>
      <c r="L21" s="18">
        <f t="shared" si="6"/>
        <v>5.7012021050263553E-2</v>
      </c>
      <c r="M21" s="18">
        <f t="shared" si="6"/>
        <v>8.0889989826160025E-2</v>
      </c>
      <c r="N21" s="18">
        <f t="shared" si="6"/>
        <v>5.6032015966964749E-2</v>
      </c>
      <c r="O21" s="18">
        <f t="shared" si="6"/>
        <v>2.7507144155480064E-4</v>
      </c>
      <c r="P21" s="18">
        <f t="shared" si="6"/>
        <v>1.3018328830618852E-4</v>
      </c>
      <c r="Q21" s="18">
        <f t="shared" si="6"/>
        <v>2.5876900221648595E-4</v>
      </c>
      <c r="R21" s="18">
        <f t="shared" si="6"/>
        <v>2.6446565652951291E-4</v>
      </c>
      <c r="S21" s="18">
        <f t="shared" si="6"/>
        <v>1.2683122730925927E-4</v>
      </c>
      <c r="T21" s="18">
        <f t="shared" si="6"/>
        <v>1.8743799199778477E-4</v>
      </c>
      <c r="U21" s="18">
        <f t="shared" si="6"/>
        <v>2.3227424638853038E-4</v>
      </c>
      <c r="V21" s="18">
        <f t="shared" si="6"/>
        <v>1.6974451091658356E-4</v>
      </c>
      <c r="W21" s="18">
        <f t="shared" si="6"/>
        <v>1.4934079256741627E-4</v>
      </c>
      <c r="X21" s="18">
        <f t="shared" si="6"/>
        <v>1.5272377974005435E-4</v>
      </c>
      <c r="Y21" s="18">
        <f t="shared" si="6"/>
        <v>1.928490566961956E-4</v>
      </c>
    </row>
    <row r="22" spans="1:25" ht="15" customHeight="1" x14ac:dyDescent="0.3">
      <c r="A22" s="23">
        <v>1</v>
      </c>
      <c r="B22" s="8" t="s">
        <v>28</v>
      </c>
      <c r="C22" s="15" t="s">
        <v>130</v>
      </c>
      <c r="D22" s="15">
        <v>21764</v>
      </c>
      <c r="E22" s="15">
        <v>29018</v>
      </c>
      <c r="F22" s="15">
        <v>40338</v>
      </c>
      <c r="G22" s="15">
        <v>34307</v>
      </c>
      <c r="H22" s="15">
        <v>46743</v>
      </c>
      <c r="I22" s="15">
        <v>48235</v>
      </c>
      <c r="J22" s="15">
        <v>74013</v>
      </c>
      <c r="K22" s="15">
        <v>69367</v>
      </c>
      <c r="L22" s="15">
        <v>34142</v>
      </c>
      <c r="M22" s="15">
        <v>45717</v>
      </c>
      <c r="N22" s="15">
        <v>31910</v>
      </c>
      <c r="O22" s="15">
        <v>100</v>
      </c>
      <c r="P22" s="15">
        <v>100</v>
      </c>
      <c r="Q22" s="15">
        <v>100</v>
      </c>
      <c r="R22" s="15">
        <v>100</v>
      </c>
      <c r="S22" s="15">
        <v>100</v>
      </c>
      <c r="T22" s="15">
        <v>100</v>
      </c>
      <c r="U22" s="15">
        <v>100</v>
      </c>
      <c r="V22" s="15">
        <v>100</v>
      </c>
      <c r="W22" s="15">
        <v>100</v>
      </c>
      <c r="X22" s="15">
        <v>100</v>
      </c>
      <c r="Y22" s="15">
        <v>100</v>
      </c>
    </row>
    <row r="23" spans="1:25" ht="15" customHeight="1" x14ac:dyDescent="0.3">
      <c r="A23" s="23">
        <v>2</v>
      </c>
      <c r="B23" s="8" t="s">
        <v>29</v>
      </c>
      <c r="C23" s="15" t="s">
        <v>98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</row>
    <row r="24" spans="1:25" s="1" customFormat="1" ht="15" customHeight="1" x14ac:dyDescent="0.3">
      <c r="A24" s="22" t="s">
        <v>30</v>
      </c>
      <c r="B24" s="9" t="s">
        <v>31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</row>
    <row r="25" spans="1:25" s="1" customFormat="1" ht="15" customHeight="1" x14ac:dyDescent="0.3">
      <c r="A25" s="22" t="s">
        <v>32</v>
      </c>
      <c r="B25" s="6" t="s">
        <v>33</v>
      </c>
      <c r="C25" s="14" t="e">
        <f t="shared" ref="C25:Y25" si="7">+C26+C82+C83</f>
        <v>#VALUE!</v>
      </c>
      <c r="D25" s="14">
        <f t="shared" si="7"/>
        <v>726161.14999999991</v>
      </c>
      <c r="E25" s="14">
        <f t="shared" si="7"/>
        <v>578007.1</v>
      </c>
      <c r="F25" s="14">
        <f t="shared" si="7"/>
        <v>622980.35000000009</v>
      </c>
      <c r="G25" s="14">
        <f t="shared" si="7"/>
        <v>754002.38</v>
      </c>
      <c r="H25" s="14">
        <f t="shared" si="7"/>
        <v>735337.13</v>
      </c>
      <c r="I25" s="14">
        <f t="shared" si="7"/>
        <v>606133.68999999994</v>
      </c>
      <c r="J25" s="14">
        <f t="shared" si="7"/>
        <v>644805.77</v>
      </c>
      <c r="K25" s="14">
        <f t="shared" si="7"/>
        <v>715752.69</v>
      </c>
      <c r="L25" s="14">
        <f t="shared" si="7"/>
        <v>598856.16</v>
      </c>
      <c r="M25" s="14">
        <f t="shared" si="7"/>
        <v>565175.00000000012</v>
      </c>
      <c r="N25" s="14">
        <f t="shared" si="7"/>
        <v>569495.84</v>
      </c>
      <c r="O25" s="14">
        <f t="shared" si="7"/>
        <v>363541.92</v>
      </c>
      <c r="P25" s="14">
        <f t="shared" si="7"/>
        <v>768147.74999999988</v>
      </c>
      <c r="Q25" s="14">
        <f t="shared" si="7"/>
        <v>386445.04999999993</v>
      </c>
      <c r="R25" s="14">
        <f t="shared" si="7"/>
        <v>378120.93</v>
      </c>
      <c r="S25" s="14">
        <f t="shared" si="7"/>
        <v>788449.36</v>
      </c>
      <c r="T25" s="14">
        <f t="shared" si="7"/>
        <v>533509.77</v>
      </c>
      <c r="U25" s="14">
        <f t="shared" si="7"/>
        <v>430525.55999999994</v>
      </c>
      <c r="V25" s="14">
        <f t="shared" si="7"/>
        <v>589120.66999999993</v>
      </c>
      <c r="W25" s="14">
        <f t="shared" si="7"/>
        <v>669609.41</v>
      </c>
      <c r="X25" s="14">
        <f t="shared" si="7"/>
        <v>654776.88</v>
      </c>
      <c r="Y25" s="14">
        <f t="shared" si="7"/>
        <v>518540.25999999995</v>
      </c>
    </row>
    <row r="26" spans="1:25" s="1" customFormat="1" ht="15" customHeight="1" x14ac:dyDescent="0.3">
      <c r="A26" s="22" t="s">
        <v>34</v>
      </c>
      <c r="B26" s="6" t="s">
        <v>35</v>
      </c>
      <c r="C26" s="14" t="e">
        <f t="shared" ref="C26:Y26" si="8">+C29+C36</f>
        <v>#VALUE!</v>
      </c>
      <c r="D26" s="14">
        <f t="shared" si="8"/>
        <v>715749.1399999999</v>
      </c>
      <c r="E26" s="14">
        <f t="shared" si="8"/>
        <v>576460.72</v>
      </c>
      <c r="F26" s="14">
        <f t="shared" si="8"/>
        <v>621751.54</v>
      </c>
      <c r="G26" s="14">
        <f t="shared" si="8"/>
        <v>752281.88</v>
      </c>
      <c r="H26" s="14">
        <f t="shared" si="8"/>
        <v>734066.37</v>
      </c>
      <c r="I26" s="14">
        <f t="shared" si="8"/>
        <v>603073.40999999992</v>
      </c>
      <c r="J26" s="14">
        <f t="shared" si="8"/>
        <v>643090.33000000007</v>
      </c>
      <c r="K26" s="14">
        <f t="shared" si="8"/>
        <v>714162.32</v>
      </c>
      <c r="L26" s="14">
        <f t="shared" si="8"/>
        <v>597025.59000000008</v>
      </c>
      <c r="M26" s="14">
        <f t="shared" si="8"/>
        <v>562594.58000000007</v>
      </c>
      <c r="N26" s="14">
        <f t="shared" si="8"/>
        <v>568188.4</v>
      </c>
      <c r="O26" s="14">
        <f t="shared" si="8"/>
        <v>363142.18</v>
      </c>
      <c r="P26" s="14">
        <f t="shared" si="8"/>
        <v>767317.92999999993</v>
      </c>
      <c r="Q26" s="14">
        <f t="shared" si="8"/>
        <v>385189.05999999994</v>
      </c>
      <c r="R26" s="14">
        <f t="shared" si="8"/>
        <v>377659.01</v>
      </c>
      <c r="S26" s="14">
        <f t="shared" si="8"/>
        <v>787811.67999999993</v>
      </c>
      <c r="T26" s="14">
        <f t="shared" si="8"/>
        <v>532637.59</v>
      </c>
      <c r="U26" s="14">
        <f t="shared" si="8"/>
        <v>427924.63999999996</v>
      </c>
      <c r="V26" s="14">
        <f t="shared" si="8"/>
        <v>587986.93999999994</v>
      </c>
      <c r="W26" s="14">
        <f t="shared" si="8"/>
        <v>667360.04</v>
      </c>
      <c r="X26" s="14">
        <f t="shared" si="8"/>
        <v>654599.74</v>
      </c>
      <c r="Y26" s="14">
        <f t="shared" si="8"/>
        <v>517002.54</v>
      </c>
    </row>
    <row r="27" spans="1:25" s="31" customFormat="1" ht="15" customHeight="1" x14ac:dyDescent="0.3">
      <c r="A27" s="28"/>
      <c r="B27" s="29" t="s">
        <v>85</v>
      </c>
      <c r="C27" s="30" t="e">
        <f t="shared" ref="C27:Y27" si="9">+C30+C37</f>
        <v>#VALUE!</v>
      </c>
      <c r="D27" s="30">
        <f t="shared" si="9"/>
        <v>57.210000000000036</v>
      </c>
      <c r="E27" s="30">
        <f t="shared" si="9"/>
        <v>1646.56</v>
      </c>
      <c r="F27" s="30">
        <f t="shared" si="9"/>
        <v>4889.26</v>
      </c>
      <c r="G27" s="30">
        <f t="shared" si="9"/>
        <v>-5419.8799999999992</v>
      </c>
      <c r="H27" s="30">
        <f t="shared" si="9"/>
        <v>1348.7</v>
      </c>
      <c r="I27" s="30">
        <f t="shared" si="9"/>
        <v>8447.9599999999991</v>
      </c>
      <c r="J27" s="30">
        <f t="shared" si="9"/>
        <v>1714.2600000000002</v>
      </c>
      <c r="K27" s="30">
        <f t="shared" si="9"/>
        <v>-422.21999999999991</v>
      </c>
      <c r="L27" s="30">
        <f t="shared" si="9"/>
        <v>4359.6399999999994</v>
      </c>
      <c r="M27" s="30">
        <f t="shared" si="9"/>
        <v>3828.1099999999997</v>
      </c>
      <c r="N27" s="30">
        <f t="shared" si="9"/>
        <v>1288.46</v>
      </c>
      <c r="O27" s="30">
        <f t="shared" si="9"/>
        <v>8878.380000000001</v>
      </c>
      <c r="P27" s="30">
        <f t="shared" si="9"/>
        <v>14103.81</v>
      </c>
      <c r="Q27" s="30">
        <f t="shared" si="9"/>
        <v>2818.15</v>
      </c>
      <c r="R27" s="30">
        <f t="shared" si="9"/>
        <v>6904.33</v>
      </c>
      <c r="S27" s="30">
        <f t="shared" si="9"/>
        <v>14790.77</v>
      </c>
      <c r="T27" s="30">
        <f t="shared" si="9"/>
        <v>10755</v>
      </c>
      <c r="U27" s="30">
        <f t="shared" si="9"/>
        <v>4088.7</v>
      </c>
      <c r="V27" s="30">
        <f t="shared" si="9"/>
        <v>22015.620000000003</v>
      </c>
      <c r="W27" s="30">
        <f t="shared" si="9"/>
        <v>15161.929999999998</v>
      </c>
      <c r="X27" s="30">
        <f t="shared" si="9"/>
        <v>1385.03</v>
      </c>
      <c r="Y27" s="30">
        <f t="shared" si="9"/>
        <v>4562.29</v>
      </c>
    </row>
    <row r="28" spans="1:25" s="31" customFormat="1" ht="15" customHeight="1" x14ac:dyDescent="0.3">
      <c r="A28" s="28"/>
      <c r="B28" s="29" t="s">
        <v>84</v>
      </c>
      <c r="C28" s="30" t="e">
        <f t="shared" ref="C28:Y28" si="10">+C31+C38</f>
        <v>#VALUE!</v>
      </c>
      <c r="D28" s="30">
        <f t="shared" si="10"/>
        <v>38548.19</v>
      </c>
      <c r="E28" s="30">
        <f t="shared" si="10"/>
        <v>35476.01</v>
      </c>
      <c r="F28" s="30">
        <f t="shared" si="10"/>
        <v>32088.19</v>
      </c>
      <c r="G28" s="30">
        <f t="shared" si="10"/>
        <v>24212.46</v>
      </c>
      <c r="H28" s="30">
        <f t="shared" si="10"/>
        <v>38815.979999999996</v>
      </c>
      <c r="I28" s="30">
        <f t="shared" si="10"/>
        <v>43119.040000000001</v>
      </c>
      <c r="J28" s="30">
        <f t="shared" si="10"/>
        <v>26710.07</v>
      </c>
      <c r="K28" s="30">
        <f t="shared" si="10"/>
        <v>39418.61</v>
      </c>
      <c r="L28" s="30">
        <f t="shared" si="10"/>
        <v>35421.160000000003</v>
      </c>
      <c r="M28" s="30">
        <f t="shared" si="10"/>
        <v>33596.18</v>
      </c>
      <c r="N28" s="30">
        <f t="shared" si="10"/>
        <v>30035.03</v>
      </c>
      <c r="O28" s="30">
        <f t="shared" si="10"/>
        <v>54567.380000000005</v>
      </c>
      <c r="P28" s="30">
        <f t="shared" si="10"/>
        <v>76403.37</v>
      </c>
      <c r="Q28" s="30">
        <f t="shared" si="10"/>
        <v>36963.33</v>
      </c>
      <c r="R28" s="30">
        <f t="shared" si="10"/>
        <v>44483.86</v>
      </c>
      <c r="S28" s="30">
        <f t="shared" si="10"/>
        <v>84431.19</v>
      </c>
      <c r="T28" s="30">
        <f t="shared" si="10"/>
        <v>72446.92</v>
      </c>
      <c r="U28" s="30">
        <f t="shared" si="10"/>
        <v>45106.03</v>
      </c>
      <c r="V28" s="30">
        <f t="shared" si="10"/>
        <v>66304.959999999992</v>
      </c>
      <c r="W28" s="30">
        <f t="shared" si="10"/>
        <v>74822.850000000006</v>
      </c>
      <c r="X28" s="30">
        <f t="shared" si="10"/>
        <v>69230.350000000006</v>
      </c>
      <c r="Y28" s="30">
        <f t="shared" si="10"/>
        <v>53787.719999999994</v>
      </c>
    </row>
    <row r="29" spans="1:25" s="1" customFormat="1" ht="15" customHeight="1" x14ac:dyDescent="0.3">
      <c r="A29" s="22" t="s">
        <v>10</v>
      </c>
      <c r="B29" s="6" t="s">
        <v>36</v>
      </c>
      <c r="C29" s="14" t="s">
        <v>131</v>
      </c>
      <c r="D29" s="14">
        <v>380975.04</v>
      </c>
      <c r="E29" s="14">
        <v>439803.9</v>
      </c>
      <c r="F29" s="14">
        <v>440246.06</v>
      </c>
      <c r="G29" s="14">
        <v>469532.59</v>
      </c>
      <c r="H29" s="14">
        <v>571787.78</v>
      </c>
      <c r="I29" s="14">
        <v>480224.54</v>
      </c>
      <c r="J29" s="14">
        <v>454489.65</v>
      </c>
      <c r="K29" s="14">
        <v>523173.61</v>
      </c>
      <c r="L29" s="14">
        <v>454838.58</v>
      </c>
      <c r="M29" s="14">
        <v>433673.4</v>
      </c>
      <c r="N29" s="14">
        <v>424246.99</v>
      </c>
      <c r="O29" s="14">
        <v>291539.18</v>
      </c>
      <c r="P29" s="14">
        <v>728984.73</v>
      </c>
      <c r="Q29" s="14">
        <v>300461.90999999997</v>
      </c>
      <c r="R29" s="14">
        <v>313108.62</v>
      </c>
      <c r="S29" s="14">
        <v>748672.87</v>
      </c>
      <c r="T29" s="14">
        <v>471788.44</v>
      </c>
      <c r="U29" s="14">
        <v>375105.04</v>
      </c>
      <c r="V29" s="14">
        <v>556496.44999999995</v>
      </c>
      <c r="W29" s="14">
        <v>631755.41</v>
      </c>
      <c r="X29" s="14">
        <v>609971.04</v>
      </c>
      <c r="Y29" s="14">
        <v>476093.12</v>
      </c>
    </row>
    <row r="30" spans="1:25" s="31" customFormat="1" ht="15" customHeight="1" x14ac:dyDescent="0.3">
      <c r="A30" s="28"/>
      <c r="B30" s="29" t="s">
        <v>85</v>
      </c>
      <c r="C30" s="30" t="s">
        <v>132</v>
      </c>
      <c r="D30" s="30">
        <v>-5610.95</v>
      </c>
      <c r="E30" s="30">
        <v>2493.33</v>
      </c>
      <c r="F30" s="30">
        <v>4001.63</v>
      </c>
      <c r="G30" s="30">
        <v>-5044.7299999999996</v>
      </c>
      <c r="H30" s="30">
        <v>828.44</v>
      </c>
      <c r="I30" s="30">
        <v>8059.07</v>
      </c>
      <c r="J30" s="30">
        <v>3299.86</v>
      </c>
      <c r="K30" s="30">
        <v>-977.93</v>
      </c>
      <c r="L30" s="30">
        <v>4044.47</v>
      </c>
      <c r="M30" s="30">
        <v>3742.16</v>
      </c>
      <c r="N30" s="30">
        <v>977.98</v>
      </c>
      <c r="O30" s="30">
        <v>7878.38</v>
      </c>
      <c r="P30" s="30">
        <v>14097.71</v>
      </c>
      <c r="Q30" s="30">
        <v>2821.4</v>
      </c>
      <c r="R30" s="30">
        <v>6827.33</v>
      </c>
      <c r="S30" s="30">
        <v>14056.77</v>
      </c>
      <c r="T30" s="30">
        <v>9185.81</v>
      </c>
      <c r="U30" s="30">
        <v>4570.2</v>
      </c>
      <c r="V30" s="30">
        <v>22283.83</v>
      </c>
      <c r="W30" s="30">
        <v>14438.13</v>
      </c>
      <c r="X30" s="30">
        <v>1262.78</v>
      </c>
      <c r="Y30" s="30">
        <v>4643.29</v>
      </c>
    </row>
    <row r="31" spans="1:25" s="31" customFormat="1" ht="15" customHeight="1" x14ac:dyDescent="0.3">
      <c r="A31" s="28"/>
      <c r="B31" s="29" t="s">
        <v>84</v>
      </c>
      <c r="C31" s="30" t="s">
        <v>132</v>
      </c>
      <c r="D31" s="30">
        <v>18025.580000000002</v>
      </c>
      <c r="E31" s="30">
        <v>30271.64</v>
      </c>
      <c r="F31" s="30">
        <v>24585.32</v>
      </c>
      <c r="G31" s="30">
        <v>11753.4</v>
      </c>
      <c r="H31" s="30">
        <v>32776.769999999997</v>
      </c>
      <c r="I31" s="30">
        <v>30000.58</v>
      </c>
      <c r="J31" s="30">
        <v>24064.48</v>
      </c>
      <c r="K31" s="30">
        <v>24503.4</v>
      </c>
      <c r="L31" s="30">
        <v>28980.2</v>
      </c>
      <c r="M31" s="30">
        <v>24383.45</v>
      </c>
      <c r="N31" s="30">
        <v>27167.07</v>
      </c>
      <c r="O31" s="30">
        <v>29157.38</v>
      </c>
      <c r="P31" s="30">
        <v>65183.27</v>
      </c>
      <c r="Q31" s="30">
        <v>21757.56</v>
      </c>
      <c r="R31" s="30">
        <v>28344.44</v>
      </c>
      <c r="S31" s="30">
        <v>67302.48</v>
      </c>
      <c r="T31" s="30">
        <v>46855.13</v>
      </c>
      <c r="U31" s="30">
        <v>29891.63</v>
      </c>
      <c r="V31" s="30">
        <v>59818.17</v>
      </c>
      <c r="W31" s="30">
        <v>62734.74</v>
      </c>
      <c r="X31" s="30">
        <v>54974.62</v>
      </c>
      <c r="Y31" s="30">
        <v>38743.089999999997</v>
      </c>
    </row>
    <row r="32" spans="1:25" ht="15" customHeight="1" x14ac:dyDescent="0.3">
      <c r="A32" s="23"/>
      <c r="B32" s="7" t="s">
        <v>37</v>
      </c>
      <c r="C32" s="15" t="s">
        <v>133</v>
      </c>
      <c r="D32" s="15">
        <v>1255.26</v>
      </c>
      <c r="E32" s="15">
        <v>1609.07</v>
      </c>
      <c r="F32" s="15">
        <v>603.94000000000005</v>
      </c>
      <c r="G32" s="15">
        <v>678.22</v>
      </c>
      <c r="H32" s="15">
        <v>1101.75</v>
      </c>
      <c r="I32" s="15">
        <v>612.16999999999996</v>
      </c>
      <c r="J32" s="15">
        <v>209.18</v>
      </c>
      <c r="K32" s="15">
        <v>702.92</v>
      </c>
      <c r="L32" s="15">
        <v>277.14</v>
      </c>
      <c r="M32" s="15">
        <v>689.5</v>
      </c>
      <c r="N32" s="15">
        <v>742.65</v>
      </c>
      <c r="O32" s="15">
        <v>12</v>
      </c>
      <c r="P32" s="15">
        <v>284.75</v>
      </c>
      <c r="Q32" s="15">
        <v>513.69000000000005</v>
      </c>
      <c r="R32" s="15">
        <v>130.16</v>
      </c>
      <c r="S32" s="15">
        <v>568.45000000000005</v>
      </c>
      <c r="T32" s="15">
        <v>272.83999999999997</v>
      </c>
      <c r="U32" s="15">
        <v>0</v>
      </c>
      <c r="V32" s="15">
        <v>611.6</v>
      </c>
      <c r="W32" s="15">
        <v>199.12</v>
      </c>
      <c r="X32" s="15">
        <v>239.55</v>
      </c>
      <c r="Y32" s="15">
        <v>239.64</v>
      </c>
    </row>
    <row r="33" spans="1:25" s="31" customFormat="1" ht="15" customHeight="1" x14ac:dyDescent="0.3">
      <c r="A33" s="28"/>
      <c r="B33" s="29" t="s">
        <v>86</v>
      </c>
      <c r="C33" s="30" t="s">
        <v>132</v>
      </c>
      <c r="D33" s="30">
        <v>-33.47</v>
      </c>
      <c r="E33" s="30">
        <v>24.26</v>
      </c>
      <c r="F33" s="30">
        <v>105.13</v>
      </c>
      <c r="G33" s="30">
        <v>87.75</v>
      </c>
      <c r="H33" s="30">
        <v>72.95</v>
      </c>
      <c r="I33" s="30">
        <v>52.5</v>
      </c>
      <c r="J33" s="30">
        <v>6.5</v>
      </c>
      <c r="K33" s="30">
        <v>-12.5</v>
      </c>
      <c r="L33" s="30">
        <v>99.75</v>
      </c>
      <c r="M33" s="30">
        <v>5.78</v>
      </c>
      <c r="N33" s="30">
        <v>3.8</v>
      </c>
      <c r="O33" s="30">
        <v>0</v>
      </c>
      <c r="P33" s="30">
        <v>56.05</v>
      </c>
      <c r="Q33" s="30">
        <v>114</v>
      </c>
      <c r="R33" s="30">
        <v>66.760000000000005</v>
      </c>
      <c r="S33" s="30">
        <v>22.67</v>
      </c>
      <c r="T33" s="30">
        <v>-1.4</v>
      </c>
      <c r="U33" s="30">
        <v>0</v>
      </c>
      <c r="V33" s="30">
        <v>25.5</v>
      </c>
      <c r="W33" s="30">
        <v>-3.4</v>
      </c>
      <c r="X33" s="30">
        <v>61.16</v>
      </c>
      <c r="Y33" s="30">
        <v>0</v>
      </c>
    </row>
    <row r="34" spans="1:25" s="31" customFormat="1" ht="15" customHeight="1" x14ac:dyDescent="0.3">
      <c r="A34" s="28"/>
      <c r="B34" s="29" t="s">
        <v>87</v>
      </c>
      <c r="C34" s="30" t="s">
        <v>132</v>
      </c>
      <c r="D34" s="30">
        <v>8.99</v>
      </c>
      <c r="E34" s="30">
        <v>206.48</v>
      </c>
      <c r="F34" s="30">
        <v>69.739999999999995</v>
      </c>
      <c r="G34" s="30">
        <v>6.02</v>
      </c>
      <c r="H34" s="30">
        <v>1.76</v>
      </c>
      <c r="I34" s="30">
        <v>-166.4</v>
      </c>
      <c r="J34" s="30">
        <v>24.37</v>
      </c>
      <c r="K34" s="30">
        <v>-174.08</v>
      </c>
      <c r="L34" s="30">
        <v>79.09</v>
      </c>
      <c r="M34" s="30">
        <v>-5.01</v>
      </c>
      <c r="N34" s="30">
        <v>54.2</v>
      </c>
      <c r="O34" s="30">
        <v>0</v>
      </c>
      <c r="P34" s="30">
        <v>-24.86</v>
      </c>
      <c r="Q34" s="30">
        <v>5.75</v>
      </c>
      <c r="R34" s="30">
        <v>66.760000000000005</v>
      </c>
      <c r="S34" s="30">
        <v>24.08</v>
      </c>
      <c r="T34" s="30">
        <v>-21.4</v>
      </c>
      <c r="U34" s="30">
        <v>0</v>
      </c>
      <c r="V34" s="30">
        <v>-40</v>
      </c>
      <c r="W34" s="30">
        <v>-49.66</v>
      </c>
      <c r="X34" s="30">
        <v>61.12</v>
      </c>
      <c r="Y34" s="30">
        <v>-0.4</v>
      </c>
    </row>
    <row r="35" spans="1:25" s="21" customFormat="1" ht="15" customHeight="1" x14ac:dyDescent="0.3">
      <c r="A35" s="27"/>
      <c r="B35" s="20" t="s">
        <v>38</v>
      </c>
      <c r="C35" s="20" t="e">
        <f t="shared" ref="C35:Y35" si="11">+C32/C29</f>
        <v>#VALUE!</v>
      </c>
      <c r="D35" s="20">
        <f t="shared" si="11"/>
        <v>3.2948615216366931E-3</v>
      </c>
      <c r="E35" s="20">
        <f t="shared" si="11"/>
        <v>3.6586078477248607E-3</v>
      </c>
      <c r="F35" s="20">
        <f t="shared" si="11"/>
        <v>1.3718237478377434E-3</v>
      </c>
      <c r="G35" s="20">
        <f t="shared" si="11"/>
        <v>1.4444577744858987E-3</v>
      </c>
      <c r="H35" s="20">
        <f t="shared" si="11"/>
        <v>1.9268512523999725E-3</v>
      </c>
      <c r="I35" s="20">
        <f t="shared" si="11"/>
        <v>1.2747578455694912E-3</v>
      </c>
      <c r="J35" s="20">
        <f t="shared" si="11"/>
        <v>4.6025250520006339E-4</v>
      </c>
      <c r="K35" s="20">
        <f t="shared" si="11"/>
        <v>1.3435692981532458E-3</v>
      </c>
      <c r="L35" s="20">
        <f t="shared" si="11"/>
        <v>6.0931506733663619E-4</v>
      </c>
      <c r="M35" s="20">
        <f t="shared" si="11"/>
        <v>1.5899061367379229E-3</v>
      </c>
      <c r="N35" s="20">
        <f t="shared" si="11"/>
        <v>1.7505133035828964E-3</v>
      </c>
      <c r="O35" s="20">
        <f t="shared" si="11"/>
        <v>4.116084843210439E-5</v>
      </c>
      <c r="P35" s="20">
        <f t="shared" si="11"/>
        <v>3.9061174847928573E-4</v>
      </c>
      <c r="Q35" s="20">
        <f t="shared" si="11"/>
        <v>1.7096676247581601E-3</v>
      </c>
      <c r="R35" s="20">
        <f t="shared" si="11"/>
        <v>4.1570238468682211E-4</v>
      </c>
      <c r="S35" s="20">
        <f t="shared" si="11"/>
        <v>7.5927687883227293E-4</v>
      </c>
      <c r="T35" s="20">
        <f t="shared" si="11"/>
        <v>5.7831005778776596E-4</v>
      </c>
      <c r="U35" s="20">
        <f t="shared" si="11"/>
        <v>0</v>
      </c>
      <c r="V35" s="20">
        <f t="shared" si="11"/>
        <v>1.0990186909548122E-3</v>
      </c>
      <c r="W35" s="20">
        <f t="shared" si="11"/>
        <v>3.1518527083131744E-4</v>
      </c>
      <c r="X35" s="20">
        <f t="shared" si="11"/>
        <v>3.9272356274488047E-4</v>
      </c>
      <c r="Y35" s="20">
        <f t="shared" si="11"/>
        <v>5.0334690826870168E-4</v>
      </c>
    </row>
    <row r="36" spans="1:25" s="1" customFormat="1" ht="15" customHeight="1" x14ac:dyDescent="0.3">
      <c r="A36" s="22" t="s">
        <v>26</v>
      </c>
      <c r="B36" s="6" t="s">
        <v>39</v>
      </c>
      <c r="C36" s="14" t="s">
        <v>134</v>
      </c>
      <c r="D36" s="14">
        <v>334774.09999999998</v>
      </c>
      <c r="E36" s="14">
        <v>136656.82</v>
      </c>
      <c r="F36" s="14">
        <v>181505.48</v>
      </c>
      <c r="G36" s="14">
        <v>282749.28999999998</v>
      </c>
      <c r="H36" s="14">
        <v>162278.59</v>
      </c>
      <c r="I36" s="14">
        <v>122848.87</v>
      </c>
      <c r="J36" s="14">
        <v>188600.68</v>
      </c>
      <c r="K36" s="14">
        <v>190988.71</v>
      </c>
      <c r="L36" s="14">
        <v>142187.01</v>
      </c>
      <c r="M36" s="14">
        <v>128921.18</v>
      </c>
      <c r="N36" s="14">
        <v>143941.41</v>
      </c>
      <c r="O36" s="14">
        <v>71603</v>
      </c>
      <c r="P36" s="14">
        <v>38333.199999999997</v>
      </c>
      <c r="Q36" s="14">
        <v>84727.15</v>
      </c>
      <c r="R36" s="14">
        <v>64550.39</v>
      </c>
      <c r="S36" s="14">
        <v>39138.81</v>
      </c>
      <c r="T36" s="14">
        <v>60849.15</v>
      </c>
      <c r="U36" s="14">
        <v>52819.6</v>
      </c>
      <c r="V36" s="14">
        <v>31490.49</v>
      </c>
      <c r="W36" s="14">
        <v>35604.629999999997</v>
      </c>
      <c r="X36" s="14">
        <v>44628.7</v>
      </c>
      <c r="Y36" s="14">
        <v>40909.42</v>
      </c>
    </row>
    <row r="37" spans="1:25" s="31" customFormat="1" ht="15" customHeight="1" x14ac:dyDescent="0.3">
      <c r="A37" s="28"/>
      <c r="B37" s="29" t="s">
        <v>85</v>
      </c>
      <c r="C37" s="30" t="s">
        <v>132</v>
      </c>
      <c r="D37" s="30">
        <v>5668.16</v>
      </c>
      <c r="E37" s="30">
        <v>-846.77</v>
      </c>
      <c r="F37" s="30">
        <v>887.63</v>
      </c>
      <c r="G37" s="30">
        <v>-375.15</v>
      </c>
      <c r="H37" s="30">
        <v>520.26</v>
      </c>
      <c r="I37" s="30">
        <v>388.89</v>
      </c>
      <c r="J37" s="30">
        <v>-1585.6</v>
      </c>
      <c r="K37" s="30">
        <v>555.71</v>
      </c>
      <c r="L37" s="30">
        <v>315.17</v>
      </c>
      <c r="M37" s="30">
        <v>85.95</v>
      </c>
      <c r="N37" s="30">
        <v>310.48</v>
      </c>
      <c r="O37" s="30">
        <v>1000</v>
      </c>
      <c r="P37" s="30">
        <v>6.1</v>
      </c>
      <c r="Q37" s="30">
        <v>-3.25</v>
      </c>
      <c r="R37" s="30">
        <v>77</v>
      </c>
      <c r="S37" s="30">
        <v>734</v>
      </c>
      <c r="T37" s="30">
        <v>1569.19</v>
      </c>
      <c r="U37" s="30">
        <v>-481.5</v>
      </c>
      <c r="V37" s="30">
        <v>-268.20999999999998</v>
      </c>
      <c r="W37" s="30">
        <v>723.8</v>
      </c>
      <c r="X37" s="30">
        <v>122.25</v>
      </c>
      <c r="Y37" s="30">
        <v>-81</v>
      </c>
    </row>
    <row r="38" spans="1:25" s="31" customFormat="1" ht="15" customHeight="1" x14ac:dyDescent="0.3">
      <c r="A38" s="28"/>
      <c r="B38" s="29" t="s">
        <v>84</v>
      </c>
      <c r="C38" s="30" t="s">
        <v>132</v>
      </c>
      <c r="D38" s="30">
        <v>20522.61</v>
      </c>
      <c r="E38" s="30">
        <v>5204.37</v>
      </c>
      <c r="F38" s="30">
        <v>7502.87</v>
      </c>
      <c r="G38" s="30">
        <v>12459.06</v>
      </c>
      <c r="H38" s="30">
        <v>6039.21</v>
      </c>
      <c r="I38" s="30">
        <v>13118.46</v>
      </c>
      <c r="J38" s="30">
        <v>2645.59</v>
      </c>
      <c r="K38" s="30">
        <v>14915.21</v>
      </c>
      <c r="L38" s="30">
        <v>6440.96</v>
      </c>
      <c r="M38" s="30">
        <v>9212.73</v>
      </c>
      <c r="N38" s="30">
        <v>2867.96</v>
      </c>
      <c r="O38" s="30">
        <v>25410</v>
      </c>
      <c r="P38" s="30">
        <v>11220.1</v>
      </c>
      <c r="Q38" s="30">
        <v>15205.77</v>
      </c>
      <c r="R38" s="30">
        <v>16139.42</v>
      </c>
      <c r="S38" s="30">
        <v>17128.71</v>
      </c>
      <c r="T38" s="30">
        <v>25591.79</v>
      </c>
      <c r="U38" s="30">
        <v>15214.4</v>
      </c>
      <c r="V38" s="30">
        <v>6486.79</v>
      </c>
      <c r="W38" s="30">
        <v>12088.11</v>
      </c>
      <c r="X38" s="30">
        <v>14255.73</v>
      </c>
      <c r="Y38" s="30">
        <v>15044.63</v>
      </c>
    </row>
    <row r="39" spans="1:25" ht="15" customHeight="1" x14ac:dyDescent="0.3">
      <c r="A39" s="23"/>
      <c r="B39" s="7" t="s">
        <v>37</v>
      </c>
      <c r="C39" s="15" t="s">
        <v>135</v>
      </c>
      <c r="D39" s="15">
        <v>529.11</v>
      </c>
      <c r="E39" s="15">
        <v>206.61</v>
      </c>
      <c r="F39" s="15">
        <v>245.34</v>
      </c>
      <c r="G39" s="15">
        <v>397.93</v>
      </c>
      <c r="H39" s="15">
        <v>223.06</v>
      </c>
      <c r="I39" s="15">
        <v>254.21</v>
      </c>
      <c r="J39" s="15">
        <v>114.69</v>
      </c>
      <c r="K39" s="15">
        <v>300.18</v>
      </c>
      <c r="L39" s="15">
        <v>51.06</v>
      </c>
      <c r="M39" s="15">
        <v>189.96</v>
      </c>
      <c r="N39" s="15">
        <v>92.43</v>
      </c>
      <c r="O39" s="15">
        <v>0</v>
      </c>
      <c r="P39" s="15">
        <v>4.8</v>
      </c>
      <c r="Q39" s="15">
        <v>59.2</v>
      </c>
      <c r="R39" s="15">
        <v>48.29</v>
      </c>
      <c r="S39" s="15">
        <v>23</v>
      </c>
      <c r="T39" s="15">
        <v>73.5</v>
      </c>
      <c r="U39" s="15">
        <v>0</v>
      </c>
      <c r="V39" s="15">
        <v>35</v>
      </c>
      <c r="W39" s="15">
        <v>0</v>
      </c>
      <c r="X39" s="15">
        <v>1.25</v>
      </c>
      <c r="Y39" s="15">
        <v>0</v>
      </c>
    </row>
    <row r="40" spans="1:25" ht="15" customHeight="1" x14ac:dyDescent="0.3">
      <c r="A40" s="23"/>
      <c r="B40" s="29" t="s">
        <v>86</v>
      </c>
      <c r="C40" s="30" t="s">
        <v>132</v>
      </c>
      <c r="D40" s="30">
        <v>73.12</v>
      </c>
      <c r="E40" s="30">
        <v>-11</v>
      </c>
      <c r="F40" s="30">
        <v>0</v>
      </c>
      <c r="G40" s="30">
        <v>75.14</v>
      </c>
      <c r="H40" s="30">
        <v>-0.63</v>
      </c>
      <c r="I40" s="30">
        <v>0</v>
      </c>
      <c r="J40" s="30">
        <v>0</v>
      </c>
      <c r="K40" s="30">
        <v>-14.5</v>
      </c>
      <c r="L40" s="30">
        <v>-14</v>
      </c>
      <c r="M40" s="30">
        <v>0</v>
      </c>
      <c r="N40" s="30">
        <v>-0.94</v>
      </c>
      <c r="O40" s="30">
        <v>0</v>
      </c>
      <c r="P40" s="30">
        <v>-7.4</v>
      </c>
      <c r="Q40" s="30">
        <v>-2.2999999999999998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1.25</v>
      </c>
      <c r="Y40" s="30">
        <v>0</v>
      </c>
    </row>
    <row r="41" spans="1:25" ht="15" customHeight="1" x14ac:dyDescent="0.3">
      <c r="A41" s="23"/>
      <c r="B41" s="29" t="s">
        <v>87</v>
      </c>
      <c r="C41" s="30" t="s">
        <v>132</v>
      </c>
      <c r="D41" s="30">
        <v>113.35</v>
      </c>
      <c r="E41" s="30">
        <v>68.209999999999994</v>
      </c>
      <c r="F41" s="30">
        <v>50</v>
      </c>
      <c r="G41" s="30">
        <v>280.38</v>
      </c>
      <c r="H41" s="30">
        <v>38.46</v>
      </c>
      <c r="I41" s="30">
        <v>51.18</v>
      </c>
      <c r="J41" s="30">
        <v>40</v>
      </c>
      <c r="K41" s="30">
        <v>35.28</v>
      </c>
      <c r="L41" s="30">
        <v>-1</v>
      </c>
      <c r="M41" s="30">
        <v>35.450000000000003</v>
      </c>
      <c r="N41" s="30">
        <v>10</v>
      </c>
      <c r="O41" s="30">
        <v>0</v>
      </c>
      <c r="P41" s="30">
        <v>-9.4</v>
      </c>
      <c r="Q41" s="30">
        <v>-27.45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1.25</v>
      </c>
      <c r="Y41" s="30">
        <v>0</v>
      </c>
    </row>
    <row r="42" spans="1:25" s="21" customFormat="1" ht="15" customHeight="1" x14ac:dyDescent="0.3">
      <c r="A42" s="27"/>
      <c r="B42" s="20" t="s">
        <v>38</v>
      </c>
      <c r="C42" s="20" t="e">
        <f t="shared" ref="C42:Y42" si="12">+C39/C36</f>
        <v>#VALUE!</v>
      </c>
      <c r="D42" s="20">
        <f t="shared" si="12"/>
        <v>1.5804986108543047E-3</v>
      </c>
      <c r="E42" s="20">
        <f t="shared" si="12"/>
        <v>1.511889417593648E-3</v>
      </c>
      <c r="F42" s="20">
        <f t="shared" si="12"/>
        <v>1.3516947256909267E-3</v>
      </c>
      <c r="G42" s="20">
        <f t="shared" si="12"/>
        <v>1.4073598557930952E-3</v>
      </c>
      <c r="H42" s="20">
        <f t="shared" si="12"/>
        <v>1.3745497788710144E-3</v>
      </c>
      <c r="I42" s="20">
        <f t="shared" si="12"/>
        <v>2.0692905030384083E-3</v>
      </c>
      <c r="J42" s="20">
        <f t="shared" si="12"/>
        <v>6.08110214660944E-4</v>
      </c>
      <c r="K42" s="20">
        <f t="shared" si="12"/>
        <v>1.5717159406961805E-3</v>
      </c>
      <c r="L42" s="20">
        <f t="shared" si="12"/>
        <v>3.5910453423276849E-4</v>
      </c>
      <c r="M42" s="20">
        <f t="shared" si="12"/>
        <v>1.473458434060253E-3</v>
      </c>
      <c r="N42" s="20">
        <f t="shared" si="12"/>
        <v>6.421362691945285E-4</v>
      </c>
      <c r="O42" s="20">
        <f t="shared" si="12"/>
        <v>0</v>
      </c>
      <c r="P42" s="20">
        <f t="shared" si="12"/>
        <v>1.2521782684461511E-4</v>
      </c>
      <c r="Q42" s="20">
        <f t="shared" si="12"/>
        <v>6.9871345843687657E-4</v>
      </c>
      <c r="R42" s="20">
        <f t="shared" si="12"/>
        <v>7.4809772644286114E-4</v>
      </c>
      <c r="S42" s="20">
        <f t="shared" si="12"/>
        <v>5.8765200066123629E-4</v>
      </c>
      <c r="T42" s="20">
        <f t="shared" si="12"/>
        <v>1.2079051227502767E-3</v>
      </c>
      <c r="U42" s="20">
        <f t="shared" si="12"/>
        <v>0</v>
      </c>
      <c r="V42" s="20">
        <f t="shared" si="12"/>
        <v>1.1114466621510177E-3</v>
      </c>
      <c r="W42" s="20">
        <f t="shared" si="12"/>
        <v>0</v>
      </c>
      <c r="X42" s="20">
        <f t="shared" si="12"/>
        <v>2.8008882176715884E-5</v>
      </c>
      <c r="Y42" s="20">
        <f t="shared" si="12"/>
        <v>0</v>
      </c>
    </row>
    <row r="43" spans="1:25" s="1" customFormat="1" ht="15" customHeight="1" x14ac:dyDescent="0.3">
      <c r="A43" s="22" t="s">
        <v>30</v>
      </c>
      <c r="B43" s="6" t="s">
        <v>40</v>
      </c>
      <c r="C43" s="14" t="e">
        <f t="shared" ref="C43:Y43" si="13">+C44+C47+C50+C53+C54+C57+C65+C66+C67+C70+C71+C72+C75+C78+C80+C81</f>
        <v>#VALUE!</v>
      </c>
      <c r="D43" s="14">
        <f t="shared" si="13"/>
        <v>596158.94999999995</v>
      </c>
      <c r="E43" s="14">
        <f t="shared" si="13"/>
        <v>533501.89000000013</v>
      </c>
      <c r="F43" s="14">
        <f t="shared" si="13"/>
        <v>580406.5</v>
      </c>
      <c r="G43" s="14">
        <f t="shared" si="13"/>
        <v>645130.97000000009</v>
      </c>
      <c r="H43" s="14">
        <f t="shared" si="13"/>
        <v>701715.33999999985</v>
      </c>
      <c r="I43" s="14">
        <f t="shared" si="13"/>
        <v>556191.68000000005</v>
      </c>
      <c r="J43" s="14">
        <f t="shared" si="13"/>
        <v>595276.23</v>
      </c>
      <c r="K43" s="14">
        <f t="shared" si="13"/>
        <v>671889.33000000007</v>
      </c>
      <c r="L43" s="14">
        <f t="shared" si="13"/>
        <v>549482.15</v>
      </c>
      <c r="M43" s="14">
        <f t="shared" si="13"/>
        <v>516076.19000000006</v>
      </c>
      <c r="N43" s="14">
        <f t="shared" si="13"/>
        <v>533443.29</v>
      </c>
      <c r="O43" s="14">
        <f t="shared" si="13"/>
        <v>294810.42</v>
      </c>
      <c r="P43" s="14">
        <f t="shared" si="13"/>
        <v>739142.03</v>
      </c>
      <c r="Q43" s="14">
        <f t="shared" si="13"/>
        <v>321795.23000000004</v>
      </c>
      <c r="R43" s="14">
        <f t="shared" si="13"/>
        <v>317538.82</v>
      </c>
      <c r="S43" s="14">
        <f t="shared" si="13"/>
        <v>749956.42999999993</v>
      </c>
      <c r="T43" s="14">
        <f t="shared" si="13"/>
        <v>454764.30000000005</v>
      </c>
      <c r="U43" s="14">
        <f t="shared" si="13"/>
        <v>367654.34</v>
      </c>
      <c r="V43" s="14">
        <f t="shared" si="13"/>
        <v>556778.84000000008</v>
      </c>
      <c r="W43" s="14">
        <f t="shared" si="13"/>
        <v>638541.90999999992</v>
      </c>
      <c r="X43" s="14">
        <f t="shared" si="13"/>
        <v>597235</v>
      </c>
      <c r="Y43" s="14">
        <f t="shared" si="13"/>
        <v>467288.54</v>
      </c>
    </row>
    <row r="44" spans="1:25" s="1" customFormat="1" ht="15" customHeight="1" x14ac:dyDescent="0.3">
      <c r="A44" s="22">
        <v>1</v>
      </c>
      <c r="B44" s="6" t="s">
        <v>41</v>
      </c>
      <c r="C44" s="14" t="s">
        <v>136</v>
      </c>
      <c r="D44" s="14">
        <v>959.52</v>
      </c>
      <c r="E44" s="14">
        <v>3726.4</v>
      </c>
      <c r="F44" s="14">
        <v>6453.6</v>
      </c>
      <c r="G44" s="14">
        <v>3969.39</v>
      </c>
      <c r="H44" s="14">
        <v>8160.35</v>
      </c>
      <c r="I44" s="14">
        <v>14732.78</v>
      </c>
      <c r="J44" s="14">
        <v>2837.98</v>
      </c>
      <c r="K44" s="14">
        <v>13514.99</v>
      </c>
      <c r="L44" s="14">
        <v>8122.71</v>
      </c>
      <c r="M44" s="14">
        <v>2101.2199999999998</v>
      </c>
      <c r="N44" s="14">
        <v>6456.69</v>
      </c>
      <c r="O44" s="14">
        <v>3762</v>
      </c>
      <c r="P44" s="14">
        <v>17512.599999999999</v>
      </c>
      <c r="Q44" s="14">
        <v>260.81</v>
      </c>
      <c r="R44" s="14">
        <v>2352</v>
      </c>
      <c r="S44" s="14">
        <v>46239.61</v>
      </c>
      <c r="T44" s="14">
        <v>2056</v>
      </c>
      <c r="U44" s="14">
        <v>58</v>
      </c>
      <c r="V44" s="14">
        <v>22452.35</v>
      </c>
      <c r="W44" s="14">
        <v>33673.03</v>
      </c>
      <c r="X44" s="14">
        <v>19586.78</v>
      </c>
      <c r="Y44" s="14">
        <v>25766.53</v>
      </c>
    </row>
    <row r="45" spans="1:25" ht="15" customHeight="1" x14ac:dyDescent="0.3">
      <c r="A45" s="23"/>
      <c r="B45" s="7" t="s">
        <v>42</v>
      </c>
      <c r="C45" s="15" t="s">
        <v>137</v>
      </c>
      <c r="D45" s="15">
        <v>136.02000000000001</v>
      </c>
      <c r="E45" s="15">
        <v>2716.1</v>
      </c>
      <c r="F45" s="15">
        <v>2197.5</v>
      </c>
      <c r="G45" s="15">
        <v>1504.99</v>
      </c>
      <c r="H45" s="15">
        <v>4516.05</v>
      </c>
      <c r="I45" s="15">
        <v>11980.28</v>
      </c>
      <c r="J45" s="15">
        <v>2129.98</v>
      </c>
      <c r="K45" s="15">
        <v>6935.89</v>
      </c>
      <c r="L45" s="15">
        <v>4369.55</v>
      </c>
      <c r="M45" s="15">
        <v>1543.22</v>
      </c>
      <c r="N45" s="15">
        <v>2589.38</v>
      </c>
      <c r="O45" s="15">
        <v>3762</v>
      </c>
      <c r="P45" s="15">
        <v>17343.599999999999</v>
      </c>
      <c r="Q45" s="15">
        <v>260.81</v>
      </c>
      <c r="R45" s="15">
        <v>2352</v>
      </c>
      <c r="S45" s="15">
        <v>46169.61</v>
      </c>
      <c r="T45" s="15">
        <v>2056</v>
      </c>
      <c r="U45" s="15">
        <v>58</v>
      </c>
      <c r="V45" s="15">
        <v>20944.060000000001</v>
      </c>
      <c r="W45" s="15">
        <v>31171.53</v>
      </c>
      <c r="X45" s="15">
        <v>17936.28</v>
      </c>
      <c r="Y45" s="15">
        <v>24629.53</v>
      </c>
    </row>
    <row r="46" spans="1:25" ht="15" customHeight="1" x14ac:dyDescent="0.3">
      <c r="A46" s="23"/>
      <c r="B46" s="7" t="s">
        <v>43</v>
      </c>
      <c r="C46" s="15" t="s">
        <v>138</v>
      </c>
      <c r="D46" s="15">
        <v>823.5</v>
      </c>
      <c r="E46" s="15">
        <v>1010.3</v>
      </c>
      <c r="F46" s="15">
        <v>4256.1000000000004</v>
      </c>
      <c r="G46" s="15">
        <v>2464.4</v>
      </c>
      <c r="H46" s="15">
        <v>3644.3</v>
      </c>
      <c r="I46" s="15">
        <v>2752.5</v>
      </c>
      <c r="J46" s="15">
        <v>708</v>
      </c>
      <c r="K46" s="15">
        <v>6579.1</v>
      </c>
      <c r="L46" s="15">
        <v>3753.16</v>
      </c>
      <c r="M46" s="15">
        <v>558</v>
      </c>
      <c r="N46" s="15">
        <v>3867.31</v>
      </c>
      <c r="O46" s="15">
        <v>0</v>
      </c>
      <c r="P46" s="15">
        <v>169</v>
      </c>
      <c r="Q46" s="15">
        <v>0</v>
      </c>
      <c r="R46" s="15">
        <v>0</v>
      </c>
      <c r="S46" s="15">
        <v>70</v>
      </c>
      <c r="T46" s="15">
        <v>0</v>
      </c>
      <c r="U46" s="15">
        <v>0</v>
      </c>
      <c r="V46" s="15">
        <v>1508.29</v>
      </c>
      <c r="W46" s="15">
        <v>2501.5</v>
      </c>
      <c r="X46" s="15">
        <v>1650.5</v>
      </c>
      <c r="Y46" s="15">
        <v>1137</v>
      </c>
    </row>
    <row r="47" spans="1:25" s="1" customFormat="1" ht="15" customHeight="1" x14ac:dyDescent="0.3">
      <c r="A47" s="22">
        <v>2</v>
      </c>
      <c r="B47" s="6" t="s">
        <v>44</v>
      </c>
      <c r="C47" s="14" t="s">
        <v>139</v>
      </c>
      <c r="D47" s="14">
        <v>1022.18</v>
      </c>
      <c r="E47" s="14">
        <v>1680.69</v>
      </c>
      <c r="F47" s="14">
        <v>11298</v>
      </c>
      <c r="G47" s="14">
        <v>3488.3</v>
      </c>
      <c r="H47" s="14">
        <v>35145.67</v>
      </c>
      <c r="I47" s="14">
        <v>16664.88</v>
      </c>
      <c r="J47" s="14">
        <v>42147.01</v>
      </c>
      <c r="K47" s="14">
        <v>74833.440000000002</v>
      </c>
      <c r="L47" s="14">
        <v>11480.6</v>
      </c>
      <c r="M47" s="14">
        <v>20654.330000000002</v>
      </c>
      <c r="N47" s="14">
        <v>5430.7</v>
      </c>
      <c r="O47" s="14">
        <v>4476</v>
      </c>
      <c r="P47" s="14">
        <v>49995.24</v>
      </c>
      <c r="Q47" s="14">
        <v>632.6</v>
      </c>
      <c r="R47" s="14">
        <v>6984</v>
      </c>
      <c r="S47" s="14">
        <v>34144</v>
      </c>
      <c r="T47" s="14">
        <v>61126.69</v>
      </c>
      <c r="U47" s="14">
        <v>606</v>
      </c>
      <c r="V47" s="14">
        <v>22324.95</v>
      </c>
      <c r="W47" s="14">
        <v>106052.09</v>
      </c>
      <c r="X47" s="14">
        <v>51366.68</v>
      </c>
      <c r="Y47" s="14">
        <v>11165</v>
      </c>
    </row>
    <row r="48" spans="1:25" ht="15" customHeight="1" x14ac:dyDescent="0.3">
      <c r="A48" s="23"/>
      <c r="B48" s="7" t="s">
        <v>42</v>
      </c>
      <c r="C48" s="15" t="s">
        <v>140</v>
      </c>
      <c r="D48" s="15">
        <v>349</v>
      </c>
      <c r="E48" s="15">
        <v>1325.69</v>
      </c>
      <c r="F48" s="15">
        <v>1389.7</v>
      </c>
      <c r="G48" s="15">
        <v>1084.3</v>
      </c>
      <c r="H48" s="15">
        <v>20512.28</v>
      </c>
      <c r="I48" s="15">
        <v>10573.93</v>
      </c>
      <c r="J48" s="15">
        <v>23503.919999999998</v>
      </c>
      <c r="K48" s="15">
        <v>34546.94</v>
      </c>
      <c r="L48" s="15">
        <v>4993.12</v>
      </c>
      <c r="M48" s="15">
        <v>9631.01</v>
      </c>
      <c r="N48" s="15">
        <v>2321.1</v>
      </c>
      <c r="O48" s="15">
        <v>4476</v>
      </c>
      <c r="P48" s="15">
        <v>49577.74</v>
      </c>
      <c r="Q48" s="15">
        <v>618</v>
      </c>
      <c r="R48" s="15">
        <v>6984</v>
      </c>
      <c r="S48" s="15">
        <v>34144</v>
      </c>
      <c r="T48" s="15">
        <v>61126.69</v>
      </c>
      <c r="U48" s="15">
        <v>606</v>
      </c>
      <c r="V48" s="15">
        <v>22264.95</v>
      </c>
      <c r="W48" s="15">
        <v>106052.09</v>
      </c>
      <c r="X48" s="15">
        <v>51366.68</v>
      </c>
      <c r="Y48" s="15">
        <v>11165</v>
      </c>
    </row>
    <row r="49" spans="1:25" ht="15" customHeight="1" x14ac:dyDescent="0.3">
      <c r="A49" s="23"/>
      <c r="B49" s="7" t="s">
        <v>43</v>
      </c>
      <c r="C49" s="15" t="s">
        <v>141</v>
      </c>
      <c r="D49" s="15">
        <v>673.18</v>
      </c>
      <c r="E49" s="15">
        <v>355</v>
      </c>
      <c r="F49" s="15">
        <v>9908.2999999999993</v>
      </c>
      <c r="G49" s="15">
        <v>2404</v>
      </c>
      <c r="H49" s="15">
        <v>14633.39</v>
      </c>
      <c r="I49" s="15">
        <v>6090.95</v>
      </c>
      <c r="J49" s="15">
        <v>18643.09</v>
      </c>
      <c r="K49" s="15">
        <v>40286.5</v>
      </c>
      <c r="L49" s="15">
        <v>6487.49</v>
      </c>
      <c r="M49" s="15">
        <v>11023.32</v>
      </c>
      <c r="N49" s="15">
        <v>3109.6</v>
      </c>
      <c r="O49" s="15">
        <v>0</v>
      </c>
      <c r="P49" s="15">
        <v>417.5</v>
      </c>
      <c r="Q49" s="15">
        <v>14.6</v>
      </c>
      <c r="R49" s="15">
        <v>0</v>
      </c>
      <c r="S49" s="15">
        <v>0</v>
      </c>
      <c r="T49" s="15">
        <v>0</v>
      </c>
      <c r="U49" s="15">
        <v>0</v>
      </c>
      <c r="V49" s="15">
        <v>60</v>
      </c>
      <c r="W49" s="15">
        <v>0</v>
      </c>
      <c r="X49" s="15">
        <v>0</v>
      </c>
      <c r="Y49" s="15">
        <v>0</v>
      </c>
    </row>
    <row r="50" spans="1:25" s="1" customFormat="1" ht="15" customHeight="1" x14ac:dyDescent="0.3">
      <c r="A50" s="22">
        <v>3</v>
      </c>
      <c r="B50" s="6" t="s">
        <v>45</v>
      </c>
      <c r="C50" s="14" t="s">
        <v>142</v>
      </c>
      <c r="D50" s="14">
        <v>281</v>
      </c>
      <c r="E50" s="14">
        <v>722.1</v>
      </c>
      <c r="F50" s="14">
        <v>5790.15</v>
      </c>
      <c r="G50" s="14">
        <v>3480.1</v>
      </c>
      <c r="H50" s="14">
        <v>41325.919999999998</v>
      </c>
      <c r="I50" s="14">
        <v>15019.3</v>
      </c>
      <c r="J50" s="14">
        <v>49948.24</v>
      </c>
      <c r="K50" s="14">
        <v>31752.2</v>
      </c>
      <c r="L50" s="14">
        <v>3610.3</v>
      </c>
      <c r="M50" s="14">
        <v>13021.44</v>
      </c>
      <c r="N50" s="14">
        <v>11464.84</v>
      </c>
      <c r="O50" s="14">
        <v>6805.1</v>
      </c>
      <c r="P50" s="14">
        <v>148514.85999999999</v>
      </c>
      <c r="Q50" s="14">
        <v>269.2</v>
      </c>
      <c r="R50" s="14">
        <v>15391.18</v>
      </c>
      <c r="S50" s="14">
        <v>92465.3</v>
      </c>
      <c r="T50" s="14">
        <v>53884.800000000003</v>
      </c>
      <c r="U50" s="14">
        <v>80014.05</v>
      </c>
      <c r="V50" s="14">
        <v>144374.53</v>
      </c>
      <c r="W50" s="14">
        <v>42976.3</v>
      </c>
      <c r="X50" s="14">
        <v>150670.28</v>
      </c>
      <c r="Y50" s="14">
        <v>60043.31</v>
      </c>
    </row>
    <row r="51" spans="1:25" ht="15" customHeight="1" x14ac:dyDescent="0.3">
      <c r="A51" s="23"/>
      <c r="B51" s="7" t="s">
        <v>42</v>
      </c>
      <c r="C51" s="15" t="s">
        <v>143</v>
      </c>
      <c r="D51" s="15">
        <v>100</v>
      </c>
      <c r="E51" s="15">
        <v>302.10000000000002</v>
      </c>
      <c r="F51" s="15">
        <v>4090.15</v>
      </c>
      <c r="G51" s="15">
        <v>1107.2</v>
      </c>
      <c r="H51" s="15">
        <v>23195.94</v>
      </c>
      <c r="I51" s="15">
        <v>10506.67</v>
      </c>
      <c r="J51" s="15">
        <v>17399.5</v>
      </c>
      <c r="K51" s="15">
        <v>14119.4</v>
      </c>
      <c r="L51" s="15">
        <v>2124.8000000000002</v>
      </c>
      <c r="M51" s="15">
        <v>9404.44</v>
      </c>
      <c r="N51" s="15">
        <v>9364.64</v>
      </c>
      <c r="O51" s="15">
        <v>6805.1</v>
      </c>
      <c r="P51" s="15">
        <v>144113.85999999999</v>
      </c>
      <c r="Q51" s="15">
        <v>244.1</v>
      </c>
      <c r="R51" s="15">
        <v>15391.18</v>
      </c>
      <c r="S51" s="15">
        <v>92465.3</v>
      </c>
      <c r="T51" s="15">
        <v>53884.800000000003</v>
      </c>
      <c r="U51" s="15">
        <v>79681.55</v>
      </c>
      <c r="V51" s="15">
        <v>143932.53</v>
      </c>
      <c r="W51" s="15">
        <v>42976.3</v>
      </c>
      <c r="X51" s="15">
        <v>149970.28</v>
      </c>
      <c r="Y51" s="15">
        <v>60043.31</v>
      </c>
    </row>
    <row r="52" spans="1:25" ht="15" customHeight="1" x14ac:dyDescent="0.3">
      <c r="A52" s="23"/>
      <c r="B52" s="7" t="s">
        <v>43</v>
      </c>
      <c r="C52" s="15" t="s">
        <v>144</v>
      </c>
      <c r="D52" s="15">
        <v>181</v>
      </c>
      <c r="E52" s="15">
        <v>420</v>
      </c>
      <c r="F52" s="15">
        <v>1700</v>
      </c>
      <c r="G52" s="15">
        <v>2372.9</v>
      </c>
      <c r="H52" s="15">
        <v>18129.98</v>
      </c>
      <c r="I52" s="15">
        <v>4512.63</v>
      </c>
      <c r="J52" s="15">
        <v>32548.74</v>
      </c>
      <c r="K52" s="15">
        <v>17632.8</v>
      </c>
      <c r="L52" s="15">
        <v>1485.5</v>
      </c>
      <c r="M52" s="15">
        <v>3617</v>
      </c>
      <c r="N52" s="15">
        <v>2100.1999999999998</v>
      </c>
      <c r="O52" s="15">
        <v>0</v>
      </c>
      <c r="P52" s="15">
        <v>4401</v>
      </c>
      <c r="Q52" s="15">
        <v>25.1</v>
      </c>
      <c r="R52" s="15">
        <v>0</v>
      </c>
      <c r="S52" s="15">
        <v>0</v>
      </c>
      <c r="T52" s="15">
        <v>0</v>
      </c>
      <c r="U52" s="15">
        <v>332.5</v>
      </c>
      <c r="V52" s="15">
        <v>442</v>
      </c>
      <c r="W52" s="15">
        <v>0</v>
      </c>
      <c r="X52" s="15">
        <v>700</v>
      </c>
      <c r="Y52" s="15">
        <v>0</v>
      </c>
    </row>
    <row r="53" spans="1:25" s="1" customFormat="1" ht="15" customHeight="1" x14ac:dyDescent="0.3">
      <c r="A53" s="22">
        <v>4</v>
      </c>
      <c r="B53" s="6" t="s">
        <v>46</v>
      </c>
      <c r="C53" s="14" t="s">
        <v>145</v>
      </c>
      <c r="D53" s="14">
        <v>81881.259999999995</v>
      </c>
      <c r="E53" s="14">
        <v>73452.42</v>
      </c>
      <c r="F53" s="14">
        <v>53562.25</v>
      </c>
      <c r="G53" s="14">
        <v>103367.86</v>
      </c>
      <c r="H53" s="14">
        <v>99618.11</v>
      </c>
      <c r="I53" s="14">
        <v>99971.9</v>
      </c>
      <c r="J53" s="14">
        <v>73230.429999999993</v>
      </c>
      <c r="K53" s="14">
        <v>112259.65</v>
      </c>
      <c r="L53" s="14">
        <v>59410.02</v>
      </c>
      <c r="M53" s="14">
        <v>59410.62</v>
      </c>
      <c r="N53" s="14">
        <v>54154.5</v>
      </c>
      <c r="O53" s="14">
        <v>53438.8</v>
      </c>
      <c r="P53" s="14">
        <v>107160.9</v>
      </c>
      <c r="Q53" s="14">
        <v>67455.490000000005</v>
      </c>
      <c r="R53" s="14">
        <v>76895.240000000005</v>
      </c>
      <c r="S53" s="14">
        <v>152528.85</v>
      </c>
      <c r="T53" s="14">
        <v>57879.14</v>
      </c>
      <c r="U53" s="14">
        <v>59894.9</v>
      </c>
      <c r="V53" s="14">
        <v>50297.25</v>
      </c>
      <c r="W53" s="14">
        <v>75832.399999999994</v>
      </c>
      <c r="X53" s="14">
        <v>92327.21</v>
      </c>
      <c r="Y53" s="14">
        <v>87163.7</v>
      </c>
    </row>
    <row r="54" spans="1:25" s="1" customFormat="1" ht="15" customHeight="1" x14ac:dyDescent="0.3">
      <c r="A54" s="22">
        <v>5</v>
      </c>
      <c r="B54" s="6" t="s">
        <v>47</v>
      </c>
      <c r="C54" s="14" t="s">
        <v>146</v>
      </c>
      <c r="D54" s="14">
        <v>14951.64</v>
      </c>
      <c r="E54" s="14">
        <v>152662.32999999999</v>
      </c>
      <c r="F54" s="14">
        <v>158335.62</v>
      </c>
      <c r="G54" s="14">
        <v>70077.86</v>
      </c>
      <c r="H54" s="14">
        <v>211367.78</v>
      </c>
      <c r="I54" s="14">
        <v>168702.52</v>
      </c>
      <c r="J54" s="14">
        <v>135080.74</v>
      </c>
      <c r="K54" s="14">
        <v>174947.6</v>
      </c>
      <c r="L54" s="14">
        <v>157926.63</v>
      </c>
      <c r="M54" s="14">
        <v>160485.81</v>
      </c>
      <c r="N54" s="14">
        <v>148211.35</v>
      </c>
      <c r="O54" s="14">
        <v>52412.6</v>
      </c>
      <c r="P54" s="14">
        <v>199887.92</v>
      </c>
      <c r="Q54" s="14">
        <v>38095.870000000003</v>
      </c>
      <c r="R54" s="14">
        <v>39861.07</v>
      </c>
      <c r="S54" s="14">
        <v>227417.9</v>
      </c>
      <c r="T54" s="14">
        <v>154553.63</v>
      </c>
      <c r="U54" s="14">
        <v>68235.399999999994</v>
      </c>
      <c r="V54" s="14">
        <v>149666.59</v>
      </c>
      <c r="W54" s="14">
        <v>145732.14000000001</v>
      </c>
      <c r="X54" s="14">
        <v>127098.16</v>
      </c>
      <c r="Y54" s="14">
        <v>173059.6</v>
      </c>
    </row>
    <row r="55" spans="1:25" ht="15" customHeight="1" x14ac:dyDescent="0.3">
      <c r="A55" s="23"/>
      <c r="B55" s="7" t="s">
        <v>42</v>
      </c>
      <c r="C55" s="15" t="s">
        <v>147</v>
      </c>
      <c r="D55" s="15">
        <v>14951.64</v>
      </c>
      <c r="E55" s="15">
        <v>152662.32999999999</v>
      </c>
      <c r="F55" s="15">
        <v>158335.62</v>
      </c>
      <c r="G55" s="15">
        <v>70077.86</v>
      </c>
      <c r="H55" s="15">
        <v>211292.78</v>
      </c>
      <c r="I55" s="15">
        <v>168702.52</v>
      </c>
      <c r="J55" s="15">
        <v>133605.74</v>
      </c>
      <c r="K55" s="15">
        <v>174947.6</v>
      </c>
      <c r="L55" s="15">
        <v>157926.63</v>
      </c>
      <c r="M55" s="15">
        <v>160485.81</v>
      </c>
      <c r="N55" s="15">
        <v>147211.35</v>
      </c>
      <c r="O55" s="15">
        <v>52412.6</v>
      </c>
      <c r="P55" s="15">
        <v>199761.92000000001</v>
      </c>
      <c r="Q55" s="15">
        <v>38095.870000000003</v>
      </c>
      <c r="R55" s="15">
        <v>39861.07</v>
      </c>
      <c r="S55" s="15">
        <v>227417.9</v>
      </c>
      <c r="T55" s="15">
        <v>154553.63</v>
      </c>
      <c r="U55" s="15">
        <v>67287.399999999994</v>
      </c>
      <c r="V55" s="15">
        <v>147666.59</v>
      </c>
      <c r="W55" s="15">
        <v>144747.14000000001</v>
      </c>
      <c r="X55" s="15">
        <v>125146.16</v>
      </c>
      <c r="Y55" s="15">
        <v>173039.6</v>
      </c>
    </row>
    <row r="56" spans="1:25" ht="15" customHeight="1" x14ac:dyDescent="0.3">
      <c r="A56" s="23"/>
      <c r="B56" s="7" t="s">
        <v>43</v>
      </c>
      <c r="C56" s="15" t="s">
        <v>148</v>
      </c>
      <c r="D56" s="15">
        <v>0</v>
      </c>
      <c r="E56" s="15">
        <v>0</v>
      </c>
      <c r="F56" s="15">
        <v>0</v>
      </c>
      <c r="G56" s="15">
        <v>0</v>
      </c>
      <c r="H56" s="15">
        <v>75</v>
      </c>
      <c r="I56" s="15">
        <v>0</v>
      </c>
      <c r="J56" s="15">
        <v>1475</v>
      </c>
      <c r="K56" s="15">
        <v>0</v>
      </c>
      <c r="L56" s="15">
        <v>0</v>
      </c>
      <c r="M56" s="15">
        <v>0</v>
      </c>
      <c r="N56" s="15">
        <v>1000</v>
      </c>
      <c r="O56" s="15">
        <v>0</v>
      </c>
      <c r="P56" s="15">
        <v>126</v>
      </c>
      <c r="Q56" s="15">
        <v>0</v>
      </c>
      <c r="R56" s="15">
        <v>0</v>
      </c>
      <c r="S56" s="15">
        <v>0</v>
      </c>
      <c r="T56" s="15">
        <v>0</v>
      </c>
      <c r="U56" s="15">
        <v>948</v>
      </c>
      <c r="V56" s="15">
        <v>2000</v>
      </c>
      <c r="W56" s="15">
        <v>985</v>
      </c>
      <c r="X56" s="15">
        <v>1952</v>
      </c>
      <c r="Y56" s="15">
        <v>20</v>
      </c>
    </row>
    <row r="57" spans="1:25" s="1" customFormat="1" ht="15" customHeight="1" x14ac:dyDescent="0.3">
      <c r="A57" s="22">
        <v>6</v>
      </c>
      <c r="B57" s="6" t="s">
        <v>48</v>
      </c>
      <c r="C57" s="14" t="s">
        <v>149</v>
      </c>
      <c r="D57" s="14">
        <v>411660.05</v>
      </c>
      <c r="E57" s="14">
        <v>298553.15000000002</v>
      </c>
      <c r="F57" s="14">
        <v>331531.34000000003</v>
      </c>
      <c r="G57" s="14">
        <v>347199.83</v>
      </c>
      <c r="H57" s="14">
        <v>290268.55</v>
      </c>
      <c r="I57" s="14">
        <v>223329.1</v>
      </c>
      <c r="J57" s="14">
        <v>274353.63</v>
      </c>
      <c r="K57" s="14">
        <v>254695.37</v>
      </c>
      <c r="L57" s="14">
        <v>298908.82</v>
      </c>
      <c r="M57" s="14">
        <v>249618.36</v>
      </c>
      <c r="N57" s="14">
        <v>284632.11</v>
      </c>
      <c r="O57" s="14">
        <v>167087.46</v>
      </c>
      <c r="P57" s="14">
        <v>53425.31</v>
      </c>
      <c r="Q57" s="14">
        <v>194184.3</v>
      </c>
      <c r="R57" s="14">
        <v>167833.39</v>
      </c>
      <c r="S57" s="14">
        <v>63811.58</v>
      </c>
      <c r="T57" s="14">
        <v>109003.9</v>
      </c>
      <c r="U57" s="14">
        <v>151173.53</v>
      </c>
      <c r="V57" s="14">
        <v>47195.98</v>
      </c>
      <c r="W57" s="14">
        <v>40668.800000000003</v>
      </c>
      <c r="X57" s="14">
        <v>48521.18</v>
      </c>
      <c r="Y57" s="14">
        <v>90460.22</v>
      </c>
    </row>
    <row r="58" spans="1:25" ht="15" customHeight="1" x14ac:dyDescent="0.3">
      <c r="A58" s="23" t="s">
        <v>49</v>
      </c>
      <c r="B58" s="8" t="s">
        <v>50</v>
      </c>
      <c r="C58" s="15" t="s">
        <v>150</v>
      </c>
      <c r="D58" s="15">
        <v>7125.3203409999996</v>
      </c>
      <c r="E58" s="15">
        <v>5185.3500000000004</v>
      </c>
      <c r="F58" s="15">
        <v>4863.9235870000002</v>
      </c>
      <c r="G58" s="15">
        <v>5645.7862130000003</v>
      </c>
      <c r="H58" s="15">
        <v>6281.39</v>
      </c>
      <c r="I58" s="15">
        <v>2784.8</v>
      </c>
      <c r="J58" s="15">
        <v>8300.8909999999996</v>
      </c>
      <c r="K58" s="15">
        <v>2086</v>
      </c>
      <c r="L58" s="15">
        <v>4856.9279999999999</v>
      </c>
      <c r="M58" s="15">
        <v>4996.9099200000001</v>
      </c>
      <c r="N58" s="15">
        <v>8082.1011420000004</v>
      </c>
      <c r="O58" s="15">
        <v>5649.7582590000002</v>
      </c>
      <c r="P58" s="15">
        <v>7796.3727849999996</v>
      </c>
      <c r="Q58" s="15">
        <v>7629.1553160000003</v>
      </c>
      <c r="R58" s="15">
        <v>3786</v>
      </c>
      <c r="S58" s="15">
        <v>10629.572634</v>
      </c>
      <c r="T58" s="15">
        <v>7065.0991969999995</v>
      </c>
      <c r="U58" s="15">
        <v>6701.7250759999997</v>
      </c>
      <c r="V58" s="15">
        <v>6310.7839020000001</v>
      </c>
      <c r="W58" s="15">
        <v>4314.8</v>
      </c>
      <c r="X58" s="15">
        <v>4070.8292729999998</v>
      </c>
      <c r="Y58" s="15">
        <v>4698.2</v>
      </c>
    </row>
    <row r="59" spans="1:25" ht="15" customHeight="1" x14ac:dyDescent="0.3">
      <c r="A59" s="23"/>
      <c r="B59" s="8" t="s">
        <v>51</v>
      </c>
      <c r="C59" s="15" t="s">
        <v>151</v>
      </c>
      <c r="D59" s="15">
        <v>6482.4572989999997</v>
      </c>
      <c r="E59" s="15">
        <v>4705.3500000000004</v>
      </c>
      <c r="F59" s="15">
        <v>4446.0870000000004</v>
      </c>
      <c r="G59" s="15">
        <v>5490.7862130000003</v>
      </c>
      <c r="H59" s="15">
        <v>6047.39</v>
      </c>
      <c r="I59" s="15">
        <v>2533.8000000000002</v>
      </c>
      <c r="J59" s="15">
        <v>6895.491</v>
      </c>
      <c r="K59" s="15">
        <v>1951</v>
      </c>
      <c r="L59" s="15">
        <v>4412.9279999999999</v>
      </c>
      <c r="M59" s="15">
        <v>4931.9099200000001</v>
      </c>
      <c r="N59" s="15">
        <v>7634.3011420000003</v>
      </c>
      <c r="O59" s="15">
        <v>5460.4</v>
      </c>
      <c r="P59" s="15">
        <v>7231.6</v>
      </c>
      <c r="Q59" s="15">
        <v>6623.8818789999996</v>
      </c>
      <c r="R59" s="15">
        <v>3592</v>
      </c>
      <c r="S59" s="15">
        <v>9619.1302059999998</v>
      </c>
      <c r="T59" s="15">
        <v>6314.5</v>
      </c>
      <c r="U59" s="15">
        <v>5515.6</v>
      </c>
      <c r="V59" s="15">
        <v>5411.9997679999997</v>
      </c>
      <c r="W59" s="15">
        <v>3637.8</v>
      </c>
      <c r="X59" s="15">
        <v>3948.1</v>
      </c>
      <c r="Y59" s="15">
        <v>4122.6000000000004</v>
      </c>
    </row>
    <row r="60" spans="1:25" ht="15" customHeight="1" x14ac:dyDescent="0.3">
      <c r="A60" s="23"/>
      <c r="B60" s="8" t="s">
        <v>88</v>
      </c>
      <c r="C60" s="15" t="s">
        <v>152</v>
      </c>
      <c r="D60" s="15">
        <v>642.86304199999995</v>
      </c>
      <c r="E60" s="15">
        <v>480</v>
      </c>
      <c r="F60" s="15">
        <v>417.83658700000001</v>
      </c>
      <c r="G60" s="15">
        <v>155</v>
      </c>
      <c r="H60" s="15">
        <v>234</v>
      </c>
      <c r="I60" s="15">
        <v>251</v>
      </c>
      <c r="J60" s="15">
        <v>1405.4</v>
      </c>
      <c r="K60" s="15">
        <v>135</v>
      </c>
      <c r="L60" s="15">
        <v>444</v>
      </c>
      <c r="M60" s="15">
        <v>65</v>
      </c>
      <c r="N60" s="15">
        <v>447.8</v>
      </c>
      <c r="O60" s="15">
        <v>189.358259</v>
      </c>
      <c r="P60" s="15">
        <v>564.772785</v>
      </c>
      <c r="Q60" s="15">
        <v>1005.2734369999999</v>
      </c>
      <c r="R60" s="15">
        <v>194</v>
      </c>
      <c r="S60" s="15">
        <v>1010.4424279999999</v>
      </c>
      <c r="T60" s="15">
        <v>750.599197</v>
      </c>
      <c r="U60" s="15">
        <v>1186.125076</v>
      </c>
      <c r="V60" s="15">
        <v>898.78413399999999</v>
      </c>
      <c r="W60" s="15">
        <v>677</v>
      </c>
      <c r="X60" s="15">
        <v>122.72927300000001</v>
      </c>
      <c r="Y60" s="15">
        <v>575.6</v>
      </c>
    </row>
    <row r="61" spans="1:25" ht="15" customHeight="1" x14ac:dyDescent="0.3">
      <c r="A61" s="23" t="s">
        <v>52</v>
      </c>
      <c r="B61" s="8" t="s">
        <v>53</v>
      </c>
      <c r="C61" s="15" t="s">
        <v>153</v>
      </c>
      <c r="D61" s="15">
        <v>255468.49460800001</v>
      </c>
      <c r="E61" s="15">
        <v>201401.061292</v>
      </c>
      <c r="F61" s="15">
        <v>197774.83484600001</v>
      </c>
      <c r="G61" s="15">
        <v>235865.51911299999</v>
      </c>
      <c r="H61" s="15">
        <v>194022.67769499999</v>
      </c>
      <c r="I61" s="15">
        <v>156472.00803699999</v>
      </c>
      <c r="J61" s="15">
        <v>182021.18126499999</v>
      </c>
      <c r="K61" s="15">
        <v>166853.14898299999</v>
      </c>
      <c r="L61" s="15">
        <v>207923.959707</v>
      </c>
      <c r="M61" s="15">
        <v>177916.18085100001</v>
      </c>
      <c r="N61" s="15">
        <v>190547.21738799999</v>
      </c>
      <c r="O61" s="15">
        <v>155896.69999699999</v>
      </c>
      <c r="P61" s="15">
        <v>35541.538991000001</v>
      </c>
      <c r="Q61" s="15">
        <v>161137.92524400001</v>
      </c>
      <c r="R61" s="15">
        <v>158436.99823600001</v>
      </c>
      <c r="S61" s="15">
        <v>42029.3</v>
      </c>
      <c r="T61" s="15">
        <v>106415.9</v>
      </c>
      <c r="U61" s="15">
        <v>150059.20000000001</v>
      </c>
      <c r="V61" s="15">
        <v>32562</v>
      </c>
      <c r="W61" s="15">
        <v>32903.5</v>
      </c>
      <c r="X61" s="15">
        <v>37641.4</v>
      </c>
      <c r="Y61" s="15">
        <v>94039.6</v>
      </c>
    </row>
    <row r="62" spans="1:25" ht="15" customHeight="1" x14ac:dyDescent="0.3">
      <c r="A62" s="23" t="s">
        <v>54</v>
      </c>
      <c r="B62" s="8" t="s">
        <v>55</v>
      </c>
      <c r="C62" s="15" t="s">
        <v>154</v>
      </c>
      <c r="D62" s="15">
        <v>212534.53667599999</v>
      </c>
      <c r="E62" s="15">
        <v>132684.02809499999</v>
      </c>
      <c r="F62" s="15">
        <v>156218.578992</v>
      </c>
      <c r="G62" s="15">
        <v>155216.226971</v>
      </c>
      <c r="H62" s="15">
        <v>116572.48222400001</v>
      </c>
      <c r="I62" s="15">
        <v>96837.888980999996</v>
      </c>
      <c r="J62" s="15">
        <v>125854.544987</v>
      </c>
      <c r="K62" s="15">
        <v>118951.21000599999</v>
      </c>
      <c r="L62" s="15">
        <v>125766.966336</v>
      </c>
      <c r="M62" s="15">
        <v>104324.26287399999</v>
      </c>
      <c r="N62" s="15">
        <v>118029.038044</v>
      </c>
      <c r="O62" s="15">
        <v>60793</v>
      </c>
      <c r="P62" s="15">
        <v>25969.4</v>
      </c>
      <c r="Q62" s="15">
        <v>82022.446710000004</v>
      </c>
      <c r="R62" s="15">
        <v>60800.387105000002</v>
      </c>
      <c r="S62" s="15">
        <v>26790.708598000001</v>
      </c>
      <c r="T62" s="15">
        <v>35690.9</v>
      </c>
      <c r="U62" s="15">
        <v>49369.1</v>
      </c>
      <c r="V62" s="15">
        <v>21871.200000000001</v>
      </c>
      <c r="W62" s="15">
        <v>19713.5</v>
      </c>
      <c r="X62" s="15">
        <v>21664.95234</v>
      </c>
      <c r="Y62" s="15">
        <v>29527.416134999999</v>
      </c>
    </row>
    <row r="63" spans="1:25" ht="15" customHeight="1" x14ac:dyDescent="0.3">
      <c r="A63" s="23"/>
      <c r="B63" s="8" t="s">
        <v>56</v>
      </c>
      <c r="C63" s="15" t="s">
        <v>155</v>
      </c>
      <c r="D63" s="15">
        <v>0</v>
      </c>
      <c r="E63" s="15">
        <v>3157</v>
      </c>
      <c r="F63" s="15">
        <v>0</v>
      </c>
      <c r="G63" s="15">
        <v>215</v>
      </c>
      <c r="H63" s="15">
        <v>254</v>
      </c>
      <c r="I63" s="15">
        <v>420</v>
      </c>
      <c r="J63" s="15">
        <v>37.5</v>
      </c>
      <c r="K63" s="15">
        <v>0</v>
      </c>
      <c r="L63" s="15">
        <v>0</v>
      </c>
      <c r="M63" s="15">
        <v>319.2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</row>
    <row r="64" spans="1:25" ht="15" customHeight="1" x14ac:dyDescent="0.3">
      <c r="A64" s="23"/>
      <c r="B64" s="8" t="s">
        <v>89</v>
      </c>
      <c r="C64" s="15" t="s">
        <v>156</v>
      </c>
      <c r="D64" s="15">
        <v>212534.53667599999</v>
      </c>
      <c r="E64" s="15">
        <v>129527.028095</v>
      </c>
      <c r="F64" s="15">
        <v>156218.578992</v>
      </c>
      <c r="G64" s="15">
        <v>155001.226971</v>
      </c>
      <c r="H64" s="15">
        <v>116318.48222400001</v>
      </c>
      <c r="I64" s="15">
        <v>96417.888980999996</v>
      </c>
      <c r="J64" s="15">
        <v>125817.044987</v>
      </c>
      <c r="K64" s="15">
        <v>118951.21000599999</v>
      </c>
      <c r="L64" s="15">
        <v>125766.966336</v>
      </c>
      <c r="M64" s="15">
        <v>104005.062874</v>
      </c>
      <c r="N64" s="15">
        <v>118029.038044</v>
      </c>
      <c r="O64" s="15">
        <v>60793</v>
      </c>
      <c r="P64" s="15">
        <v>25969.4</v>
      </c>
      <c r="Q64" s="15">
        <v>82022.446710000004</v>
      </c>
      <c r="R64" s="15">
        <v>60800.387105000002</v>
      </c>
      <c r="S64" s="15">
        <v>26790.708598000001</v>
      </c>
      <c r="T64" s="15">
        <v>35690.9</v>
      </c>
      <c r="U64" s="15">
        <v>49369.1</v>
      </c>
      <c r="V64" s="15">
        <v>21871.200000000001</v>
      </c>
      <c r="W64" s="15">
        <v>19713.5</v>
      </c>
      <c r="X64" s="15">
        <v>21664.95234</v>
      </c>
      <c r="Y64" s="15">
        <v>29527.416134999999</v>
      </c>
    </row>
    <row r="65" spans="1:25" s="1" customFormat="1" ht="15" customHeight="1" x14ac:dyDescent="0.3">
      <c r="A65" s="22">
        <v>7</v>
      </c>
      <c r="B65" s="9" t="s">
        <v>57</v>
      </c>
      <c r="C65" s="14" t="s">
        <v>157</v>
      </c>
      <c r="D65" s="14">
        <v>0</v>
      </c>
      <c r="E65" s="14">
        <v>0</v>
      </c>
      <c r="F65" s="14">
        <v>0</v>
      </c>
      <c r="G65" s="14">
        <v>0</v>
      </c>
      <c r="H65" s="14">
        <v>8</v>
      </c>
      <c r="I65" s="14">
        <v>16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17.2</v>
      </c>
      <c r="Q65" s="14">
        <v>0</v>
      </c>
      <c r="R65" s="14">
        <v>0</v>
      </c>
      <c r="S65" s="14">
        <v>8</v>
      </c>
      <c r="T65" s="14">
        <v>0</v>
      </c>
      <c r="U65" s="14">
        <v>0</v>
      </c>
      <c r="V65" s="14">
        <v>0</v>
      </c>
      <c r="W65" s="14">
        <v>16</v>
      </c>
      <c r="X65" s="14">
        <v>0</v>
      </c>
      <c r="Y65" s="14">
        <v>24</v>
      </c>
    </row>
    <row r="66" spans="1:25" s="1" customFormat="1" ht="15" customHeight="1" x14ac:dyDescent="0.3">
      <c r="A66" s="22">
        <v>8</v>
      </c>
      <c r="B66" s="9" t="s">
        <v>58</v>
      </c>
      <c r="C66" s="14" t="s">
        <v>158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69.8</v>
      </c>
      <c r="J66" s="14">
        <v>0</v>
      </c>
      <c r="K66" s="14">
        <v>96.9</v>
      </c>
      <c r="L66" s="14">
        <v>0</v>
      </c>
      <c r="M66" s="14">
        <v>25</v>
      </c>
      <c r="N66" s="14">
        <v>0</v>
      </c>
      <c r="O66" s="14">
        <v>0</v>
      </c>
      <c r="P66" s="14">
        <v>2856.6</v>
      </c>
      <c r="Q66" s="14">
        <v>0</v>
      </c>
      <c r="R66" s="14">
        <v>0</v>
      </c>
      <c r="S66" s="14">
        <v>1328.9</v>
      </c>
      <c r="T66" s="14">
        <v>576</v>
      </c>
      <c r="U66" s="14">
        <v>0</v>
      </c>
      <c r="V66" s="14">
        <v>936</v>
      </c>
      <c r="W66" s="14">
        <v>2243.17</v>
      </c>
      <c r="X66" s="14">
        <v>2197.3000000000002</v>
      </c>
      <c r="Y66" s="14">
        <v>342.5</v>
      </c>
    </row>
    <row r="67" spans="1:25" s="1" customFormat="1" ht="15" customHeight="1" x14ac:dyDescent="0.3">
      <c r="A67" s="22">
        <v>9</v>
      </c>
      <c r="B67" s="9" t="s">
        <v>59</v>
      </c>
      <c r="C67" s="14" t="s">
        <v>159</v>
      </c>
      <c r="D67" s="14">
        <v>85389.3</v>
      </c>
      <c r="E67" s="14">
        <v>2704.8</v>
      </c>
      <c r="F67" s="14">
        <v>13435.54</v>
      </c>
      <c r="G67" s="14">
        <v>113547.63</v>
      </c>
      <c r="H67" s="14">
        <v>15820.86</v>
      </c>
      <c r="I67" s="14">
        <v>17570.400000000001</v>
      </c>
      <c r="J67" s="14">
        <v>17678.2</v>
      </c>
      <c r="K67" s="14">
        <v>9774.18</v>
      </c>
      <c r="L67" s="14">
        <v>10016.1</v>
      </c>
      <c r="M67" s="14">
        <v>10708.4</v>
      </c>
      <c r="N67" s="14">
        <v>23093.1</v>
      </c>
      <c r="O67" s="14">
        <v>2141.46</v>
      </c>
      <c r="P67" s="14">
        <v>1520.58</v>
      </c>
      <c r="Q67" s="14">
        <v>20896.96</v>
      </c>
      <c r="R67" s="14">
        <v>8021.94</v>
      </c>
      <c r="S67" s="14">
        <v>8137.59</v>
      </c>
      <c r="T67" s="14">
        <v>4409.76</v>
      </c>
      <c r="U67" s="14">
        <v>7672.46</v>
      </c>
      <c r="V67" s="14">
        <v>6018.44</v>
      </c>
      <c r="W67" s="14">
        <v>8005.5</v>
      </c>
      <c r="X67" s="14">
        <v>37820.019999999997</v>
      </c>
      <c r="Y67" s="14">
        <v>1326</v>
      </c>
    </row>
    <row r="68" spans="1:25" ht="15" customHeight="1" x14ac:dyDescent="0.3">
      <c r="A68" s="23"/>
      <c r="B68" s="7" t="s">
        <v>42</v>
      </c>
      <c r="C68" s="15" t="s">
        <v>160</v>
      </c>
      <c r="D68" s="15">
        <v>7755.4</v>
      </c>
      <c r="E68" s="15">
        <v>1322.3</v>
      </c>
      <c r="F68" s="15">
        <v>11749.84</v>
      </c>
      <c r="G68" s="15">
        <v>39288.07</v>
      </c>
      <c r="H68" s="15">
        <v>10422.86</v>
      </c>
      <c r="I68" s="15">
        <v>15349.5</v>
      </c>
      <c r="J68" s="15">
        <v>11693.9</v>
      </c>
      <c r="K68" s="15">
        <v>8631.08</v>
      </c>
      <c r="L68" s="15">
        <v>9446.2999999999993</v>
      </c>
      <c r="M68" s="15">
        <v>8548.7999999999993</v>
      </c>
      <c r="N68" s="15">
        <v>9862.7000000000007</v>
      </c>
      <c r="O68" s="15">
        <v>2141.46</v>
      </c>
      <c r="P68" s="15">
        <v>1520.58</v>
      </c>
      <c r="Q68" s="15">
        <v>20896.96</v>
      </c>
      <c r="R68" s="15">
        <v>8021.94</v>
      </c>
      <c r="S68" s="15">
        <v>8137.59</v>
      </c>
      <c r="T68" s="15">
        <v>4409.76</v>
      </c>
      <c r="U68" s="15">
        <v>7672.46</v>
      </c>
      <c r="V68" s="15">
        <v>6018.44</v>
      </c>
      <c r="W68" s="15">
        <v>8005.5</v>
      </c>
      <c r="X68" s="15">
        <v>37820.01</v>
      </c>
      <c r="Y68" s="15">
        <v>1326</v>
      </c>
    </row>
    <row r="69" spans="1:25" ht="15" customHeight="1" x14ac:dyDescent="0.3">
      <c r="A69" s="23"/>
      <c r="B69" s="7" t="s">
        <v>43</v>
      </c>
      <c r="C69" s="15" t="s">
        <v>161</v>
      </c>
      <c r="D69" s="15">
        <v>77633.89</v>
      </c>
      <c r="E69" s="15">
        <v>1382.5</v>
      </c>
      <c r="F69" s="15">
        <v>1685.7</v>
      </c>
      <c r="G69" s="15">
        <v>74259.56</v>
      </c>
      <c r="H69" s="15">
        <v>5398</v>
      </c>
      <c r="I69" s="15">
        <v>2220.9</v>
      </c>
      <c r="J69" s="15">
        <v>5984.3</v>
      </c>
      <c r="K69" s="15">
        <v>1143.0999999999999</v>
      </c>
      <c r="L69" s="15">
        <v>569.79999999999995</v>
      </c>
      <c r="M69" s="15">
        <v>2159.6</v>
      </c>
      <c r="N69" s="15">
        <v>13230.4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</row>
    <row r="70" spans="1:25" s="1" customFormat="1" ht="15" customHeight="1" x14ac:dyDescent="0.3">
      <c r="A70" s="22">
        <v>10</v>
      </c>
      <c r="B70" s="9" t="s">
        <v>60</v>
      </c>
      <c r="C70" s="14" t="s">
        <v>162</v>
      </c>
      <c r="D70" s="14">
        <v>0</v>
      </c>
      <c r="E70" s="14">
        <v>0</v>
      </c>
      <c r="F70" s="14">
        <v>0</v>
      </c>
      <c r="G70" s="14">
        <v>0</v>
      </c>
      <c r="H70" s="14">
        <v>0.1</v>
      </c>
      <c r="I70" s="14">
        <v>0</v>
      </c>
      <c r="J70" s="14">
        <v>0</v>
      </c>
      <c r="K70" s="14">
        <v>15</v>
      </c>
      <c r="L70" s="14">
        <v>0</v>
      </c>
      <c r="M70" s="14">
        <v>51.01</v>
      </c>
      <c r="N70" s="14">
        <v>0</v>
      </c>
      <c r="O70" s="14">
        <v>4687</v>
      </c>
      <c r="P70" s="14">
        <v>156564.82</v>
      </c>
      <c r="Q70" s="14">
        <v>0</v>
      </c>
      <c r="R70" s="14">
        <v>200</v>
      </c>
      <c r="S70" s="14">
        <v>123802.2</v>
      </c>
      <c r="T70" s="14">
        <v>11274.38</v>
      </c>
      <c r="U70" s="14">
        <v>0</v>
      </c>
      <c r="V70" s="14">
        <v>113332.75</v>
      </c>
      <c r="W70" s="14">
        <v>179485.48</v>
      </c>
      <c r="X70" s="14">
        <v>67507.09</v>
      </c>
      <c r="Y70" s="14">
        <v>17839.599999999999</v>
      </c>
    </row>
    <row r="71" spans="1:25" s="1" customFormat="1" ht="15" customHeight="1" x14ac:dyDescent="0.3">
      <c r="A71" s="22">
        <v>11</v>
      </c>
      <c r="B71" s="9" t="s">
        <v>61</v>
      </c>
      <c r="C71" s="14" t="s">
        <v>163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6.97</v>
      </c>
      <c r="M71" s="14">
        <v>0</v>
      </c>
      <c r="N71" s="14">
        <v>0</v>
      </c>
      <c r="O71" s="14">
        <v>0</v>
      </c>
      <c r="P71" s="14">
        <v>319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50</v>
      </c>
      <c r="W71" s="14">
        <v>3817</v>
      </c>
      <c r="X71" s="14">
        <v>0</v>
      </c>
      <c r="Y71" s="14">
        <v>0</v>
      </c>
    </row>
    <row r="72" spans="1:25" s="1" customFormat="1" ht="15" customHeight="1" x14ac:dyDescent="0.3">
      <c r="A72" s="22">
        <v>12</v>
      </c>
      <c r="B72" s="6" t="s">
        <v>62</v>
      </c>
      <c r="C72" s="14" t="s">
        <v>164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15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30</v>
      </c>
      <c r="W72" s="14">
        <v>0</v>
      </c>
      <c r="X72" s="14">
        <v>0</v>
      </c>
      <c r="Y72" s="14">
        <v>0</v>
      </c>
    </row>
    <row r="73" spans="1:25" ht="15" customHeight="1" x14ac:dyDescent="0.3">
      <c r="A73" s="23"/>
      <c r="B73" s="7" t="s">
        <v>42</v>
      </c>
      <c r="C73" s="15" t="s">
        <v>165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30</v>
      </c>
      <c r="W73" s="15">
        <v>0</v>
      </c>
      <c r="X73" s="15">
        <v>0</v>
      </c>
      <c r="Y73" s="15">
        <v>0</v>
      </c>
    </row>
    <row r="74" spans="1:25" ht="15" customHeight="1" x14ac:dyDescent="0.3">
      <c r="A74" s="23"/>
      <c r="B74" s="7" t="s">
        <v>43</v>
      </c>
      <c r="C74" s="15" t="s">
        <v>166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15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</row>
    <row r="75" spans="1:25" s="1" customFormat="1" ht="15" customHeight="1" x14ac:dyDescent="0.3">
      <c r="A75" s="22">
        <v>13</v>
      </c>
      <c r="B75" s="6" t="s">
        <v>63</v>
      </c>
      <c r="C75" s="14" t="s">
        <v>167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1367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100</v>
      </c>
      <c r="W75" s="14">
        <v>40</v>
      </c>
      <c r="X75" s="14">
        <v>70</v>
      </c>
      <c r="Y75" s="14">
        <v>0</v>
      </c>
    </row>
    <row r="76" spans="1:25" ht="15" customHeight="1" x14ac:dyDescent="0.3">
      <c r="A76" s="23"/>
      <c r="B76" s="7" t="s">
        <v>42</v>
      </c>
      <c r="C76" s="15" t="s">
        <v>168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1367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100</v>
      </c>
      <c r="W76" s="15">
        <v>40</v>
      </c>
      <c r="X76" s="15">
        <v>70</v>
      </c>
      <c r="Y76" s="15">
        <v>0</v>
      </c>
    </row>
    <row r="77" spans="1:25" ht="15" customHeight="1" x14ac:dyDescent="0.3">
      <c r="A77" s="23"/>
      <c r="B77" s="7" t="s">
        <v>43</v>
      </c>
      <c r="C77" s="15" t="s">
        <v>169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</row>
    <row r="78" spans="1:25" s="1" customFormat="1" ht="15" customHeight="1" x14ac:dyDescent="0.3">
      <c r="A78" s="22">
        <v>14</v>
      </c>
      <c r="B78" s="6" t="s">
        <v>64</v>
      </c>
      <c r="C78" s="14" t="s">
        <v>170</v>
      </c>
      <c r="D78" s="14">
        <v>14</v>
      </c>
      <c r="E78" s="14">
        <v>0</v>
      </c>
      <c r="F78" s="14">
        <v>0</v>
      </c>
      <c r="G78" s="14">
        <v>0</v>
      </c>
      <c r="H78" s="14">
        <v>0</v>
      </c>
      <c r="I78" s="14">
        <v>100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72.5</v>
      </c>
      <c r="T78" s="14">
        <v>0</v>
      </c>
      <c r="U78" s="14">
        <v>0</v>
      </c>
      <c r="V78" s="14">
        <v>0</v>
      </c>
      <c r="W78" s="14">
        <v>0</v>
      </c>
      <c r="X78" s="14">
        <v>70.3</v>
      </c>
      <c r="Y78" s="14">
        <v>98.08</v>
      </c>
    </row>
    <row r="79" spans="1:25" ht="15" customHeight="1" x14ac:dyDescent="0.3">
      <c r="A79" s="23"/>
      <c r="B79" s="7" t="s">
        <v>65</v>
      </c>
      <c r="C79" s="15" t="s">
        <v>171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100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72.5</v>
      </c>
      <c r="T79" s="15">
        <v>0</v>
      </c>
      <c r="U79" s="15">
        <v>0</v>
      </c>
      <c r="V79" s="15">
        <v>0</v>
      </c>
      <c r="W79" s="15">
        <v>0</v>
      </c>
      <c r="X79" s="15">
        <v>70.3</v>
      </c>
      <c r="Y79" s="15">
        <v>35.79</v>
      </c>
    </row>
    <row r="80" spans="1:25" s="1" customFormat="1" ht="15" customHeight="1" x14ac:dyDescent="0.3">
      <c r="A80" s="22">
        <v>15</v>
      </c>
      <c r="B80" s="6" t="s">
        <v>66</v>
      </c>
      <c r="C80" s="14" t="s">
        <v>172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</row>
    <row r="81" spans="1:25" s="1" customFormat="1" ht="15" customHeight="1" x14ac:dyDescent="0.3">
      <c r="A81" s="22">
        <v>16</v>
      </c>
      <c r="B81" s="6" t="s">
        <v>67</v>
      </c>
      <c r="C81" s="14" t="s">
        <v>173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</row>
    <row r="82" spans="1:25" s="1" customFormat="1" ht="15" customHeight="1" x14ac:dyDescent="0.3">
      <c r="A82" s="22" t="s">
        <v>68</v>
      </c>
      <c r="B82" s="6" t="s">
        <v>69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</row>
    <row r="83" spans="1:25" s="1" customFormat="1" ht="15" customHeight="1" x14ac:dyDescent="0.3">
      <c r="A83" s="22" t="s">
        <v>70</v>
      </c>
      <c r="B83" s="6" t="s">
        <v>71</v>
      </c>
      <c r="C83" s="14" t="e">
        <f t="shared" ref="C83:Y83" si="14">+C84+C85</f>
        <v>#VALUE!</v>
      </c>
      <c r="D83" s="14">
        <f t="shared" si="14"/>
        <v>10412.01</v>
      </c>
      <c r="E83" s="14">
        <f t="shared" si="14"/>
        <v>1546.38</v>
      </c>
      <c r="F83" s="14">
        <f t="shared" si="14"/>
        <v>1228.8100000000002</v>
      </c>
      <c r="G83" s="14">
        <f t="shared" si="14"/>
        <v>1720.5</v>
      </c>
      <c r="H83" s="14">
        <f t="shared" si="14"/>
        <v>1270.76</v>
      </c>
      <c r="I83" s="14">
        <f t="shared" si="14"/>
        <v>3060.2799999999997</v>
      </c>
      <c r="J83" s="14">
        <f t="shared" si="14"/>
        <v>1715.44</v>
      </c>
      <c r="K83" s="14">
        <f t="shared" si="14"/>
        <v>1590.37</v>
      </c>
      <c r="L83" s="14">
        <f t="shared" si="14"/>
        <v>1830.57</v>
      </c>
      <c r="M83" s="14">
        <f t="shared" si="14"/>
        <v>2580.42</v>
      </c>
      <c r="N83" s="14">
        <f t="shared" si="14"/>
        <v>1307.44</v>
      </c>
      <c r="O83" s="14">
        <f t="shared" si="14"/>
        <v>399.74</v>
      </c>
      <c r="P83" s="14">
        <f t="shared" si="14"/>
        <v>829.81999999999994</v>
      </c>
      <c r="Q83" s="14">
        <f t="shared" si="14"/>
        <v>1255.99</v>
      </c>
      <c r="R83" s="14">
        <f t="shared" si="14"/>
        <v>461.92</v>
      </c>
      <c r="S83" s="14">
        <f t="shared" si="14"/>
        <v>637.67999999999995</v>
      </c>
      <c r="T83" s="14">
        <f t="shared" si="14"/>
        <v>872.18000000000006</v>
      </c>
      <c r="U83" s="14">
        <f t="shared" si="14"/>
        <v>2600.92</v>
      </c>
      <c r="V83" s="14">
        <f t="shared" si="14"/>
        <v>1133.73</v>
      </c>
      <c r="W83" s="14">
        <f t="shared" si="14"/>
        <v>2249.3700000000003</v>
      </c>
      <c r="X83" s="14">
        <f t="shared" si="14"/>
        <v>177.14</v>
      </c>
      <c r="Y83" s="14">
        <f t="shared" si="14"/>
        <v>1537.7199999999998</v>
      </c>
    </row>
    <row r="84" spans="1:25" s="1" customFormat="1" ht="15" customHeight="1" x14ac:dyDescent="0.3">
      <c r="A84" s="23">
        <v>1</v>
      </c>
      <c r="B84" s="7" t="s">
        <v>72</v>
      </c>
      <c r="C84" s="15" t="s">
        <v>174</v>
      </c>
      <c r="D84" s="15">
        <v>1842.84</v>
      </c>
      <c r="E84" s="15">
        <v>525.29</v>
      </c>
      <c r="F84" s="15">
        <v>1169.92</v>
      </c>
      <c r="G84" s="15">
        <v>1586.43</v>
      </c>
      <c r="H84" s="15">
        <v>1261.06</v>
      </c>
      <c r="I84" s="15">
        <v>1211.55</v>
      </c>
      <c r="J84" s="15">
        <v>803.11</v>
      </c>
      <c r="K84" s="15">
        <v>0</v>
      </c>
      <c r="L84" s="15">
        <v>160.31</v>
      </c>
      <c r="M84" s="15">
        <v>1351.15</v>
      </c>
      <c r="N84" s="15">
        <v>391.56</v>
      </c>
      <c r="O84" s="15">
        <v>290.74</v>
      </c>
      <c r="P84" s="15">
        <v>700.39</v>
      </c>
      <c r="Q84" s="15">
        <v>680.24</v>
      </c>
      <c r="R84" s="15">
        <v>365.41</v>
      </c>
      <c r="S84" s="15">
        <v>576.05999999999995</v>
      </c>
      <c r="T84" s="15">
        <v>267.08</v>
      </c>
      <c r="U84" s="15">
        <v>220.24</v>
      </c>
      <c r="V84" s="15">
        <v>1054.1300000000001</v>
      </c>
      <c r="W84" s="15">
        <v>2204.84</v>
      </c>
      <c r="X84" s="15">
        <v>119.85</v>
      </c>
      <c r="Y84" s="15">
        <v>830.05</v>
      </c>
    </row>
    <row r="85" spans="1:25" s="1" customFormat="1" ht="15" customHeight="1" x14ac:dyDescent="0.3">
      <c r="A85" s="23">
        <v>2</v>
      </c>
      <c r="B85" s="7" t="s">
        <v>73</v>
      </c>
      <c r="C85" s="15" t="s">
        <v>175</v>
      </c>
      <c r="D85" s="15">
        <v>8569.17</v>
      </c>
      <c r="E85" s="15">
        <v>1021.09</v>
      </c>
      <c r="F85" s="15">
        <v>58.89</v>
      </c>
      <c r="G85" s="15">
        <v>134.07</v>
      </c>
      <c r="H85" s="15">
        <v>9.6999999999999993</v>
      </c>
      <c r="I85" s="15">
        <v>1848.73</v>
      </c>
      <c r="J85" s="15">
        <v>912.33</v>
      </c>
      <c r="K85" s="15">
        <v>1590.37</v>
      </c>
      <c r="L85" s="15">
        <v>1670.26</v>
      </c>
      <c r="M85" s="15">
        <v>1229.27</v>
      </c>
      <c r="N85" s="15">
        <v>915.88</v>
      </c>
      <c r="O85" s="15">
        <v>109</v>
      </c>
      <c r="P85" s="15">
        <v>129.43</v>
      </c>
      <c r="Q85" s="15">
        <v>575.75</v>
      </c>
      <c r="R85" s="15">
        <v>96.51</v>
      </c>
      <c r="S85" s="15">
        <v>61.62</v>
      </c>
      <c r="T85" s="15">
        <v>605.1</v>
      </c>
      <c r="U85" s="15">
        <v>2380.6799999999998</v>
      </c>
      <c r="V85" s="15">
        <v>79.599999999999994</v>
      </c>
      <c r="W85" s="15">
        <v>44.53</v>
      </c>
      <c r="X85" s="15">
        <v>57.29</v>
      </c>
      <c r="Y85" s="15">
        <v>707.67</v>
      </c>
    </row>
    <row r="86" spans="1:25" s="1" customFormat="1" ht="15" customHeight="1" x14ac:dyDescent="0.3">
      <c r="A86" s="23">
        <v>3</v>
      </c>
      <c r="B86" s="7" t="s">
        <v>74</v>
      </c>
      <c r="C86" s="15" t="s">
        <v>176</v>
      </c>
      <c r="D86" s="15">
        <v>-6312.01</v>
      </c>
      <c r="E86" s="15">
        <v>-746.38</v>
      </c>
      <c r="F86" s="15">
        <v>-428.81</v>
      </c>
      <c r="G86" s="15">
        <v>-920.5</v>
      </c>
      <c r="H86" s="15">
        <v>-270.76</v>
      </c>
      <c r="I86" s="15">
        <v>-2060.2800000000002</v>
      </c>
      <c r="J86" s="15">
        <v>-915.44</v>
      </c>
      <c r="K86" s="15">
        <v>-590.37</v>
      </c>
      <c r="L86" s="15">
        <v>-1030.57</v>
      </c>
      <c r="M86" s="15">
        <v>-1780.42</v>
      </c>
      <c r="N86" s="15">
        <v>-507.44</v>
      </c>
      <c r="O86" s="15">
        <v>-299.74</v>
      </c>
      <c r="P86" s="15">
        <v>-729.82</v>
      </c>
      <c r="Q86" s="15">
        <v>-1155.99</v>
      </c>
      <c r="R86" s="15">
        <v>-361.92</v>
      </c>
      <c r="S86" s="15">
        <v>-537.67999999999995</v>
      </c>
      <c r="T86" s="15">
        <v>-772.18</v>
      </c>
      <c r="U86" s="15">
        <v>-2500.92</v>
      </c>
      <c r="V86" s="15">
        <v>-1033.73</v>
      </c>
      <c r="W86" s="15">
        <v>-2149.37</v>
      </c>
      <c r="X86" s="15">
        <v>-77.14</v>
      </c>
      <c r="Y86" s="15">
        <v>-1437.72</v>
      </c>
    </row>
    <row r="87" spans="1:25" s="1" customFormat="1" ht="15" hidden="1" customHeight="1" x14ac:dyDescent="0.3">
      <c r="C87" s="16">
        <v>12700</v>
      </c>
      <c r="D87" s="16">
        <v>4100</v>
      </c>
      <c r="E87" s="16">
        <v>800</v>
      </c>
      <c r="F87" s="16">
        <v>800</v>
      </c>
      <c r="G87" s="16">
        <v>800</v>
      </c>
      <c r="H87" s="16">
        <v>1000</v>
      </c>
      <c r="I87" s="16">
        <v>1000</v>
      </c>
      <c r="J87" s="16">
        <v>800</v>
      </c>
      <c r="K87" s="16">
        <v>1000</v>
      </c>
      <c r="L87" s="16">
        <v>800</v>
      </c>
      <c r="M87" s="16">
        <v>800</v>
      </c>
      <c r="N87" s="16">
        <v>800</v>
      </c>
      <c r="O87" s="16">
        <v>800</v>
      </c>
      <c r="P87" s="16">
        <v>800</v>
      </c>
      <c r="Q87" s="16">
        <v>800</v>
      </c>
      <c r="R87" s="16">
        <v>800</v>
      </c>
      <c r="S87" s="16">
        <v>800</v>
      </c>
      <c r="T87" s="16">
        <v>800</v>
      </c>
      <c r="U87" s="16">
        <v>800</v>
      </c>
      <c r="V87" s="16">
        <v>800</v>
      </c>
      <c r="W87" s="16">
        <v>800</v>
      </c>
      <c r="X87" s="16">
        <v>800</v>
      </c>
      <c r="Y87" s="16">
        <v>800</v>
      </c>
    </row>
    <row r="88" spans="1:25" s="1" customFormat="1" ht="15" customHeight="1" x14ac:dyDescent="0.3">
      <c r="A88" s="23"/>
      <c r="B88" s="7"/>
      <c r="C88" s="15" t="s">
        <v>177</v>
      </c>
      <c r="D88" s="15">
        <v>0</v>
      </c>
      <c r="E88" s="15">
        <v>0</v>
      </c>
      <c r="F88" s="15">
        <v>23.8</v>
      </c>
      <c r="G88" s="15">
        <v>0</v>
      </c>
      <c r="H88" s="15">
        <v>10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69.400000000000006</v>
      </c>
      <c r="Q88" s="15">
        <v>0</v>
      </c>
      <c r="R88" s="15">
        <v>0</v>
      </c>
      <c r="S88" s="15">
        <v>103.5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</row>
    <row r="89" spans="1:25" s="1" customFormat="1" ht="15" customHeight="1" x14ac:dyDescent="0.3">
      <c r="C89" s="15" t="s">
        <v>178</v>
      </c>
      <c r="D89" s="15">
        <v>1853.5</v>
      </c>
      <c r="E89" s="15">
        <v>886.55</v>
      </c>
      <c r="F89" s="15">
        <v>853.84</v>
      </c>
      <c r="G89" s="15">
        <v>119</v>
      </c>
      <c r="H89" s="15">
        <v>928.5</v>
      </c>
      <c r="I89" s="15">
        <v>1260.83</v>
      </c>
      <c r="J89" s="15">
        <v>1722.5</v>
      </c>
      <c r="K89" s="15">
        <v>857</v>
      </c>
      <c r="L89" s="15">
        <v>407</v>
      </c>
      <c r="M89" s="15">
        <v>370</v>
      </c>
      <c r="N89" s="15">
        <v>114</v>
      </c>
      <c r="O89" s="15">
        <v>567.36</v>
      </c>
      <c r="P89" s="15">
        <v>258</v>
      </c>
      <c r="Q89" s="15">
        <v>168</v>
      </c>
      <c r="R89" s="15">
        <v>680.19</v>
      </c>
      <c r="S89" s="15">
        <v>159.05000000000001</v>
      </c>
      <c r="T89" s="15">
        <v>0</v>
      </c>
      <c r="U89" s="15">
        <v>371.1</v>
      </c>
      <c r="V89" s="15">
        <v>87.4</v>
      </c>
      <c r="W89" s="15">
        <v>295.63</v>
      </c>
      <c r="X89" s="15">
        <v>347.5</v>
      </c>
      <c r="Y89" s="15">
        <v>324</v>
      </c>
    </row>
    <row r="90" spans="1:25" ht="15" customHeight="1" x14ac:dyDescent="0.3">
      <c r="A90" s="1"/>
      <c r="B90" s="1"/>
      <c r="C90" s="15" t="s">
        <v>179</v>
      </c>
      <c r="D90" s="15">
        <v>5547.7</v>
      </c>
      <c r="E90" s="15">
        <v>82113.87</v>
      </c>
      <c r="F90" s="15">
        <v>89888.03</v>
      </c>
      <c r="G90" s="15">
        <v>29317.26</v>
      </c>
      <c r="H90" s="15">
        <v>112145.42</v>
      </c>
      <c r="I90" s="15">
        <v>93546.42</v>
      </c>
      <c r="J90" s="15">
        <v>87202.33</v>
      </c>
      <c r="K90" s="15">
        <v>91609.600000000006</v>
      </c>
      <c r="L90" s="15">
        <v>107516.94</v>
      </c>
      <c r="M90" s="15">
        <v>92248.95</v>
      </c>
      <c r="N90" s="15">
        <v>95205.18</v>
      </c>
      <c r="O90" s="15">
        <v>21315</v>
      </c>
      <c r="P90" s="15">
        <v>110670.31</v>
      </c>
      <c r="Q90" s="15">
        <v>18271.900000000001</v>
      </c>
      <c r="R90" s="15">
        <v>22256.5</v>
      </c>
      <c r="S90" s="15">
        <v>108046</v>
      </c>
      <c r="T90" s="15">
        <v>98754.6</v>
      </c>
      <c r="U90" s="15">
        <v>40506.699999999997</v>
      </c>
      <c r="V90" s="15">
        <v>81236.55</v>
      </c>
      <c r="W90" s="15">
        <v>101063.76</v>
      </c>
      <c r="X90" s="15">
        <v>80887</v>
      </c>
      <c r="Y90" s="15">
        <v>99507.1</v>
      </c>
    </row>
    <row r="91" spans="1:25" ht="15" customHeight="1" x14ac:dyDescent="0.3">
      <c r="A91" s="1"/>
      <c r="B91" s="1"/>
      <c r="C91" s="15" t="s">
        <v>180</v>
      </c>
      <c r="D91" s="15">
        <v>53029.9</v>
      </c>
      <c r="E91" s="15">
        <v>0</v>
      </c>
      <c r="F91" s="15">
        <v>11204.4</v>
      </c>
      <c r="G91" s="15">
        <v>53232</v>
      </c>
      <c r="H91" s="15">
        <v>284.10000000000002</v>
      </c>
      <c r="I91" s="15">
        <v>1936.3</v>
      </c>
      <c r="J91" s="15">
        <v>271.60000000000002</v>
      </c>
      <c r="K91" s="15">
        <v>1735</v>
      </c>
      <c r="L91" s="15">
        <v>3273.3</v>
      </c>
      <c r="M91" s="15">
        <v>1290.4000000000001</v>
      </c>
      <c r="N91" s="15">
        <v>0</v>
      </c>
      <c r="O91" s="15">
        <v>702.4</v>
      </c>
      <c r="P91" s="15">
        <v>0</v>
      </c>
      <c r="Q91" s="15">
        <v>2625.6</v>
      </c>
      <c r="R91" s="15">
        <v>0</v>
      </c>
      <c r="S91" s="15">
        <v>4226.7</v>
      </c>
      <c r="T91" s="15">
        <v>28456.3</v>
      </c>
      <c r="U91" s="15">
        <v>2372.6999999999998</v>
      </c>
      <c r="V91" s="15">
        <v>6456.7</v>
      </c>
      <c r="W91" s="15">
        <v>4224.5</v>
      </c>
      <c r="X91" s="15">
        <v>19962.25</v>
      </c>
      <c r="Y91" s="15">
        <v>0</v>
      </c>
    </row>
    <row r="92" spans="1:25" ht="15" customHeight="1" x14ac:dyDescent="0.3">
      <c r="A92" s="1"/>
      <c r="B92" s="1"/>
      <c r="C92" s="15" t="s">
        <v>181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</row>
    <row r="93" spans="1:25" ht="15" customHeight="1" x14ac:dyDescent="0.3">
      <c r="A93" s="1"/>
      <c r="B93" s="1"/>
      <c r="C93" s="15" t="s">
        <v>182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3805</v>
      </c>
      <c r="Q93" s="15">
        <v>0</v>
      </c>
      <c r="R93" s="15">
        <v>200</v>
      </c>
      <c r="S93" s="15">
        <v>3048</v>
      </c>
      <c r="T93" s="15">
        <v>0</v>
      </c>
      <c r="U93" s="15">
        <v>0</v>
      </c>
      <c r="V93" s="15">
        <v>5671</v>
      </c>
      <c r="W93" s="15">
        <v>1730</v>
      </c>
      <c r="X93" s="15">
        <v>2517</v>
      </c>
      <c r="Y93" s="15">
        <v>0</v>
      </c>
    </row>
    <row r="94" spans="1:25" ht="15" customHeight="1" x14ac:dyDescent="0.3">
      <c r="A94" s="1"/>
      <c r="B94" s="1"/>
      <c r="C94" s="15" t="s">
        <v>183</v>
      </c>
      <c r="D94" s="15">
        <v>1238.5</v>
      </c>
      <c r="E94" s="15">
        <v>1355</v>
      </c>
      <c r="F94" s="15">
        <v>1737</v>
      </c>
      <c r="G94" s="15">
        <v>3072.2</v>
      </c>
      <c r="H94" s="15">
        <v>4520.4399999999996</v>
      </c>
      <c r="I94" s="15">
        <v>1919</v>
      </c>
      <c r="J94" s="15">
        <v>2317</v>
      </c>
      <c r="K94" s="15">
        <v>3151</v>
      </c>
      <c r="L94" s="15">
        <v>1624.1</v>
      </c>
      <c r="M94" s="15">
        <v>2329</v>
      </c>
      <c r="N94" s="15">
        <v>2404.87</v>
      </c>
      <c r="O94" s="15">
        <v>3300</v>
      </c>
      <c r="P94" s="15">
        <v>4061.5</v>
      </c>
      <c r="Q94" s="15">
        <v>3995</v>
      </c>
      <c r="R94" s="15">
        <v>2050</v>
      </c>
      <c r="S94" s="15">
        <v>4680</v>
      </c>
      <c r="T94" s="15">
        <v>3899</v>
      </c>
      <c r="U94" s="15">
        <v>2570</v>
      </c>
      <c r="V94" s="15">
        <v>4495</v>
      </c>
      <c r="W94" s="15">
        <v>2455</v>
      </c>
      <c r="X94" s="15">
        <v>10282</v>
      </c>
      <c r="Y94" s="15">
        <v>5585</v>
      </c>
    </row>
    <row r="95" spans="1:25" ht="15" customHeight="1" x14ac:dyDescent="0.3">
      <c r="A95" s="1"/>
      <c r="C95" s="15" t="s">
        <v>184</v>
      </c>
      <c r="D95" s="15">
        <v>0</v>
      </c>
      <c r="E95" s="15">
        <v>0</v>
      </c>
      <c r="F95" s="15">
        <v>200</v>
      </c>
      <c r="G95" s="15">
        <v>1200</v>
      </c>
      <c r="H95" s="15">
        <v>0</v>
      </c>
      <c r="I95" s="15">
        <v>9000</v>
      </c>
      <c r="J95" s="15">
        <v>1680</v>
      </c>
      <c r="K95" s="15">
        <v>3335</v>
      </c>
      <c r="L95" s="15">
        <v>2600</v>
      </c>
      <c r="M95" s="15">
        <v>4910</v>
      </c>
      <c r="N95" s="15">
        <v>200</v>
      </c>
      <c r="O95" s="15">
        <v>8510</v>
      </c>
      <c r="P95" s="15">
        <v>4100</v>
      </c>
      <c r="Q95" s="15">
        <v>0</v>
      </c>
      <c r="R95" s="15">
        <v>2000</v>
      </c>
      <c r="S95" s="15">
        <v>10000</v>
      </c>
      <c r="T95" s="15">
        <v>5350</v>
      </c>
      <c r="U95" s="15">
        <v>0</v>
      </c>
      <c r="V95" s="15">
        <v>950</v>
      </c>
      <c r="W95" s="15">
        <v>3850</v>
      </c>
      <c r="X95" s="15">
        <v>9400</v>
      </c>
      <c r="Y95" s="15">
        <v>6000</v>
      </c>
    </row>
    <row r="96" spans="1:25" ht="15" customHeight="1" x14ac:dyDescent="0.3">
      <c r="A96" s="1"/>
      <c r="C96" s="15" t="s">
        <v>185</v>
      </c>
      <c r="D96" s="15">
        <v>823.5</v>
      </c>
      <c r="E96" s="15">
        <v>1010.3</v>
      </c>
      <c r="F96" s="15">
        <v>4256.0953310000004</v>
      </c>
      <c r="G96" s="15">
        <v>2464.4</v>
      </c>
      <c r="H96" s="15">
        <v>3644.3036430000002</v>
      </c>
      <c r="I96" s="15">
        <v>2752.5</v>
      </c>
      <c r="J96" s="15">
        <v>708</v>
      </c>
      <c r="K96" s="15">
        <v>6579.1</v>
      </c>
      <c r="L96" s="15">
        <v>3753.1532050000001</v>
      </c>
      <c r="M96" s="15">
        <v>558</v>
      </c>
      <c r="N96" s="15">
        <v>3867.3049999999998</v>
      </c>
      <c r="O96" s="15">
        <v>0</v>
      </c>
      <c r="P96" s="15">
        <v>169</v>
      </c>
      <c r="Q96" s="15">
        <v>0</v>
      </c>
      <c r="R96" s="15">
        <v>0</v>
      </c>
      <c r="S96" s="15">
        <v>70</v>
      </c>
      <c r="T96" s="15">
        <v>0</v>
      </c>
      <c r="U96" s="15">
        <v>0</v>
      </c>
      <c r="V96" s="15">
        <v>1508.289767</v>
      </c>
      <c r="W96" s="15">
        <v>2501.5</v>
      </c>
      <c r="X96" s="15">
        <v>1650.5</v>
      </c>
      <c r="Y96" s="15">
        <v>1137</v>
      </c>
    </row>
    <row r="97" spans="1:25" ht="15" customHeight="1" x14ac:dyDescent="0.3">
      <c r="A97" s="1"/>
      <c r="C97" s="15" t="s">
        <v>186</v>
      </c>
      <c r="D97" s="15">
        <v>5547.7</v>
      </c>
      <c r="E97" s="15">
        <v>82113.87</v>
      </c>
      <c r="F97" s="15">
        <v>89888.03</v>
      </c>
      <c r="G97" s="15">
        <v>29317.26</v>
      </c>
      <c r="H97" s="15">
        <v>112145.42</v>
      </c>
      <c r="I97" s="15">
        <v>93546.42</v>
      </c>
      <c r="J97" s="15">
        <v>85727.33</v>
      </c>
      <c r="K97" s="15">
        <v>91609.600000000006</v>
      </c>
      <c r="L97" s="15">
        <v>107516.94</v>
      </c>
      <c r="M97" s="15">
        <v>92248.95</v>
      </c>
      <c r="N97" s="15">
        <v>94205.18</v>
      </c>
      <c r="O97" s="15">
        <v>21315</v>
      </c>
      <c r="P97" s="15">
        <v>110564.31</v>
      </c>
      <c r="Q97" s="15">
        <v>18271.900000000001</v>
      </c>
      <c r="R97" s="15">
        <v>22256.5</v>
      </c>
      <c r="S97" s="15">
        <v>108046</v>
      </c>
      <c r="T97" s="15">
        <v>98754.6</v>
      </c>
      <c r="U97" s="15">
        <v>39963.699999999997</v>
      </c>
      <c r="V97" s="15">
        <v>79236.55</v>
      </c>
      <c r="W97" s="15">
        <v>100103.76</v>
      </c>
      <c r="X97" s="15">
        <v>78935</v>
      </c>
      <c r="Y97" s="15">
        <v>99507.1</v>
      </c>
    </row>
    <row r="98" spans="1:25" ht="15" customHeight="1" x14ac:dyDescent="0.3">
      <c r="A98" s="1"/>
      <c r="C98" s="15" t="s">
        <v>187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1475</v>
      </c>
      <c r="K98" s="15">
        <v>0</v>
      </c>
      <c r="L98" s="15">
        <v>0</v>
      </c>
      <c r="M98" s="15">
        <v>0</v>
      </c>
      <c r="N98" s="15">
        <v>1000</v>
      </c>
      <c r="O98" s="15">
        <v>0</v>
      </c>
      <c r="P98" s="15">
        <v>106</v>
      </c>
      <c r="Q98" s="15">
        <v>0</v>
      </c>
      <c r="R98" s="15">
        <v>0</v>
      </c>
      <c r="S98" s="15">
        <v>0</v>
      </c>
      <c r="T98" s="15">
        <v>0</v>
      </c>
      <c r="U98" s="15">
        <v>543</v>
      </c>
      <c r="V98" s="15">
        <v>2000</v>
      </c>
      <c r="W98" s="15">
        <v>960</v>
      </c>
      <c r="X98" s="15">
        <v>1952</v>
      </c>
      <c r="Y98" s="15">
        <v>0</v>
      </c>
    </row>
    <row r="99" spans="1:25" ht="15" customHeight="1" x14ac:dyDescent="0.3">
      <c r="A99" s="1"/>
      <c r="C99" s="15" t="s">
        <v>188</v>
      </c>
      <c r="D99" s="15">
        <v>0</v>
      </c>
      <c r="E99" s="15">
        <v>0</v>
      </c>
      <c r="F99" s="15">
        <v>0</v>
      </c>
      <c r="G99" s="15">
        <v>0</v>
      </c>
      <c r="H99" s="15">
        <v>8</v>
      </c>
      <c r="I99" s="15">
        <v>16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17.2</v>
      </c>
      <c r="Q99" s="15">
        <v>0</v>
      </c>
      <c r="R99" s="15">
        <v>0</v>
      </c>
      <c r="S99" s="15">
        <v>8</v>
      </c>
      <c r="T99" s="15">
        <v>0</v>
      </c>
      <c r="U99" s="15">
        <v>0</v>
      </c>
      <c r="V99" s="15">
        <v>0</v>
      </c>
      <c r="W99" s="15">
        <v>8</v>
      </c>
      <c r="X99" s="15">
        <v>0</v>
      </c>
      <c r="Y99" s="15">
        <v>24</v>
      </c>
    </row>
    <row r="100" spans="1:25" ht="15" customHeight="1" x14ac:dyDescent="0.3">
      <c r="A100" s="1"/>
      <c r="C100" s="15" t="s">
        <v>189</v>
      </c>
      <c r="D100" s="15">
        <v>181</v>
      </c>
      <c r="E100" s="15">
        <v>420</v>
      </c>
      <c r="F100" s="15">
        <v>1700</v>
      </c>
      <c r="G100" s="15">
        <v>2372.9</v>
      </c>
      <c r="H100" s="15">
        <v>18129.978384999999</v>
      </c>
      <c r="I100" s="15">
        <v>4512.63</v>
      </c>
      <c r="J100" s="15">
        <v>32548.741698999998</v>
      </c>
      <c r="K100" s="15">
        <v>17632.8</v>
      </c>
      <c r="L100" s="15">
        <v>1485.5</v>
      </c>
      <c r="M100" s="15">
        <v>3617</v>
      </c>
      <c r="N100" s="15">
        <v>2100.1999999999998</v>
      </c>
      <c r="O100" s="15">
        <v>0</v>
      </c>
      <c r="P100" s="15">
        <v>4401</v>
      </c>
      <c r="Q100" s="15">
        <v>25.1</v>
      </c>
      <c r="R100" s="15">
        <v>0</v>
      </c>
      <c r="S100" s="15">
        <v>0</v>
      </c>
      <c r="T100" s="15">
        <v>0</v>
      </c>
      <c r="U100" s="15">
        <v>332.5</v>
      </c>
      <c r="V100" s="15">
        <v>442</v>
      </c>
      <c r="W100" s="15">
        <v>0</v>
      </c>
      <c r="X100" s="15">
        <v>700</v>
      </c>
      <c r="Y100" s="15">
        <v>0</v>
      </c>
    </row>
    <row r="101" spans="1:25" ht="15" customHeight="1" x14ac:dyDescent="0.3">
      <c r="A101" s="1"/>
      <c r="B101" s="1"/>
      <c r="C101" s="15" t="s">
        <v>190</v>
      </c>
      <c r="D101" s="15">
        <v>0</v>
      </c>
      <c r="E101" s="15">
        <v>0</v>
      </c>
      <c r="F101" s="15">
        <v>0</v>
      </c>
      <c r="G101" s="15">
        <v>0</v>
      </c>
      <c r="H101" s="15">
        <v>0.1</v>
      </c>
      <c r="I101" s="15">
        <v>0</v>
      </c>
      <c r="J101" s="15">
        <v>0</v>
      </c>
      <c r="K101" s="15">
        <v>15</v>
      </c>
      <c r="L101" s="15">
        <v>0</v>
      </c>
      <c r="M101" s="15">
        <v>51.01</v>
      </c>
      <c r="N101" s="15">
        <v>0</v>
      </c>
      <c r="O101" s="15">
        <v>4687</v>
      </c>
      <c r="P101" s="15">
        <v>156222.01999999999</v>
      </c>
      <c r="Q101" s="15">
        <v>0</v>
      </c>
      <c r="R101" s="15">
        <v>200</v>
      </c>
      <c r="S101" s="15">
        <v>123802.2</v>
      </c>
      <c r="T101" s="15">
        <v>11274.38</v>
      </c>
      <c r="U101" s="15">
        <v>0</v>
      </c>
      <c r="V101" s="15">
        <v>112523.75</v>
      </c>
      <c r="W101" s="15">
        <v>172808.85</v>
      </c>
      <c r="X101" s="15">
        <v>67507.09</v>
      </c>
      <c r="Y101" s="15">
        <v>17839.599999999999</v>
      </c>
    </row>
    <row r="102" spans="1:25" ht="15" customHeight="1" x14ac:dyDescent="0.3">
      <c r="C102" s="15" t="s">
        <v>191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342.8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809</v>
      </c>
      <c r="W102" s="15">
        <v>6676.63</v>
      </c>
      <c r="X102" s="15">
        <v>0</v>
      </c>
      <c r="Y102" s="15">
        <v>0</v>
      </c>
    </row>
    <row r="103" spans="1:25" ht="15" customHeight="1" x14ac:dyDescent="0.3">
      <c r="C103" s="15" t="s">
        <v>192</v>
      </c>
      <c r="D103" s="15">
        <v>11240.4</v>
      </c>
      <c r="E103" s="15">
        <v>0</v>
      </c>
      <c r="F103" s="15">
        <v>5054.6000000000004</v>
      </c>
      <c r="G103" s="15">
        <v>11372</v>
      </c>
      <c r="H103" s="15">
        <v>284.10000000000002</v>
      </c>
      <c r="I103" s="15">
        <v>1936.3</v>
      </c>
      <c r="J103" s="15">
        <v>271.60000000000002</v>
      </c>
      <c r="K103" s="15">
        <v>1735</v>
      </c>
      <c r="L103" s="15">
        <v>3273.3</v>
      </c>
      <c r="M103" s="15">
        <v>1290.4000000000001</v>
      </c>
      <c r="N103" s="15">
        <v>0</v>
      </c>
      <c r="O103" s="15">
        <v>702.4</v>
      </c>
      <c r="P103" s="15">
        <v>0</v>
      </c>
      <c r="Q103" s="15">
        <v>2625.6</v>
      </c>
      <c r="R103" s="15">
        <v>0</v>
      </c>
      <c r="S103" s="15">
        <v>3738.6</v>
      </c>
      <c r="T103" s="15">
        <v>10968.04</v>
      </c>
      <c r="U103" s="15">
        <v>2372.6999999999998</v>
      </c>
      <c r="V103" s="15">
        <v>6456.7</v>
      </c>
      <c r="W103" s="15">
        <v>3844.5</v>
      </c>
      <c r="X103" s="15">
        <v>15633</v>
      </c>
      <c r="Y103" s="15">
        <v>0</v>
      </c>
    </row>
    <row r="104" spans="1:25" ht="15" customHeight="1" x14ac:dyDescent="0.3">
      <c r="C104" s="15" t="s">
        <v>193</v>
      </c>
      <c r="D104" s="15">
        <v>41789.5</v>
      </c>
      <c r="E104" s="15">
        <v>0</v>
      </c>
      <c r="F104" s="15">
        <v>6149.8</v>
      </c>
      <c r="G104" s="15">
        <v>41860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488.1</v>
      </c>
      <c r="T104" s="15">
        <v>17488.25</v>
      </c>
      <c r="U104" s="15">
        <v>0</v>
      </c>
      <c r="V104" s="15">
        <v>0</v>
      </c>
      <c r="W104" s="15">
        <v>380</v>
      </c>
      <c r="X104" s="15">
        <v>4329.25</v>
      </c>
      <c r="Y104" s="15">
        <v>0</v>
      </c>
    </row>
    <row r="105" spans="1:25" ht="15" customHeight="1" x14ac:dyDescent="0.3">
      <c r="C105" s="15" t="s">
        <v>194</v>
      </c>
      <c r="D105" s="15">
        <v>673.18401600000004</v>
      </c>
      <c r="E105" s="15">
        <v>355</v>
      </c>
      <c r="F105" s="15">
        <v>9908.2999999999993</v>
      </c>
      <c r="G105" s="15">
        <v>2404</v>
      </c>
      <c r="H105" s="15">
        <v>14633.390866</v>
      </c>
      <c r="I105" s="15">
        <v>6090.95</v>
      </c>
      <c r="J105" s="15">
        <v>18643.088248</v>
      </c>
      <c r="K105" s="15">
        <v>40286.5</v>
      </c>
      <c r="L105" s="15">
        <v>6487.4866190000002</v>
      </c>
      <c r="M105" s="15">
        <v>11023.32</v>
      </c>
      <c r="N105" s="15">
        <v>3109.6</v>
      </c>
      <c r="O105" s="15">
        <v>0</v>
      </c>
      <c r="P105" s="15">
        <v>417.5</v>
      </c>
      <c r="Q105" s="15">
        <v>14.6</v>
      </c>
      <c r="R105" s="15">
        <v>0</v>
      </c>
      <c r="S105" s="15">
        <v>0</v>
      </c>
      <c r="T105" s="15">
        <v>0</v>
      </c>
      <c r="U105" s="15">
        <v>0</v>
      </c>
      <c r="V105" s="15">
        <v>60</v>
      </c>
      <c r="W105" s="15">
        <v>0</v>
      </c>
      <c r="X105" s="15">
        <v>0</v>
      </c>
      <c r="Y105" s="15">
        <v>0</v>
      </c>
    </row>
    <row r="106" spans="1:25" ht="15" customHeight="1" x14ac:dyDescent="0.3">
      <c r="C106" s="15" t="s">
        <v>195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3805</v>
      </c>
      <c r="Q106" s="15">
        <v>0</v>
      </c>
      <c r="R106" s="15">
        <v>200</v>
      </c>
      <c r="S106" s="15">
        <v>3048</v>
      </c>
      <c r="T106" s="15">
        <v>0</v>
      </c>
      <c r="U106" s="15">
        <v>0</v>
      </c>
      <c r="V106" s="15">
        <v>5671</v>
      </c>
      <c r="W106" s="15">
        <v>1730</v>
      </c>
      <c r="X106" s="15">
        <v>2517</v>
      </c>
      <c r="Y106" s="15">
        <v>0</v>
      </c>
    </row>
    <row r="107" spans="1:25" ht="15" customHeight="1" x14ac:dyDescent="0.3">
      <c r="C107" s="15" t="s">
        <v>196</v>
      </c>
      <c r="D107" s="15">
        <v>100</v>
      </c>
      <c r="E107" s="15">
        <v>550</v>
      </c>
      <c r="F107" s="15">
        <v>350</v>
      </c>
      <c r="G107" s="15">
        <v>100</v>
      </c>
      <c r="H107" s="15">
        <v>695</v>
      </c>
      <c r="I107" s="15">
        <v>500</v>
      </c>
      <c r="J107" s="15">
        <v>610</v>
      </c>
      <c r="K107" s="15">
        <v>90</v>
      </c>
      <c r="L107" s="15">
        <v>100</v>
      </c>
      <c r="M107" s="15">
        <v>0</v>
      </c>
      <c r="N107" s="15">
        <v>0</v>
      </c>
      <c r="O107" s="15">
        <v>1000</v>
      </c>
      <c r="P107" s="15">
        <v>1254</v>
      </c>
      <c r="Q107" s="15">
        <v>1330</v>
      </c>
      <c r="R107" s="15">
        <v>300</v>
      </c>
      <c r="S107" s="15">
        <v>2890</v>
      </c>
      <c r="T107" s="15">
        <v>1579</v>
      </c>
      <c r="U107" s="15">
        <v>400</v>
      </c>
      <c r="V107" s="15">
        <v>645</v>
      </c>
      <c r="W107" s="15">
        <v>965</v>
      </c>
      <c r="X107" s="15">
        <v>5350</v>
      </c>
      <c r="Y107" s="15">
        <v>1360</v>
      </c>
    </row>
    <row r="108" spans="1:25" ht="15" customHeight="1" x14ac:dyDescent="0.3">
      <c r="A108" s="1"/>
      <c r="B108" s="1"/>
      <c r="C108" s="15" t="s">
        <v>197</v>
      </c>
      <c r="D108" s="15">
        <v>1138.5</v>
      </c>
      <c r="E108" s="15">
        <v>805</v>
      </c>
      <c r="F108" s="15">
        <v>1387</v>
      </c>
      <c r="G108" s="15">
        <v>2972.2</v>
      </c>
      <c r="H108" s="15">
        <v>3825.44</v>
      </c>
      <c r="I108" s="15">
        <v>1419</v>
      </c>
      <c r="J108" s="15">
        <v>1707</v>
      </c>
      <c r="K108" s="15">
        <v>3061</v>
      </c>
      <c r="L108" s="15">
        <v>1524.1</v>
      </c>
      <c r="M108" s="15">
        <v>2329</v>
      </c>
      <c r="N108" s="15">
        <v>2404.87</v>
      </c>
      <c r="O108" s="15">
        <v>2300</v>
      </c>
      <c r="P108" s="15">
        <v>2807.5</v>
      </c>
      <c r="Q108" s="15">
        <v>2665</v>
      </c>
      <c r="R108" s="15">
        <v>1750</v>
      </c>
      <c r="S108" s="15">
        <v>1790</v>
      </c>
      <c r="T108" s="15">
        <v>2320</v>
      </c>
      <c r="U108" s="15">
        <v>2170</v>
      </c>
      <c r="V108" s="15">
        <v>3850</v>
      </c>
      <c r="W108" s="15">
        <v>1490</v>
      </c>
      <c r="X108" s="15">
        <v>4932</v>
      </c>
      <c r="Y108" s="15">
        <v>4225</v>
      </c>
    </row>
    <row r="109" spans="1:25" ht="15" customHeight="1" x14ac:dyDescent="0.3">
      <c r="A109" s="1"/>
      <c r="B109" s="1"/>
      <c r="C109" s="15" t="s">
        <v>198</v>
      </c>
      <c r="D109" s="15">
        <v>0</v>
      </c>
      <c r="E109" s="15">
        <v>0</v>
      </c>
      <c r="F109" s="15">
        <v>0</v>
      </c>
      <c r="G109" s="15">
        <v>1200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</row>
    <row r="110" spans="1:25" ht="15" customHeight="1" x14ac:dyDescent="0.3">
      <c r="C110" s="15" t="s">
        <v>199</v>
      </c>
      <c r="D110" s="15">
        <v>0</v>
      </c>
      <c r="E110" s="15">
        <v>0</v>
      </c>
      <c r="F110" s="15">
        <v>200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1800</v>
      </c>
      <c r="M110" s="15">
        <v>1000</v>
      </c>
      <c r="N110" s="15">
        <v>200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</row>
    <row r="111" spans="1:25" ht="15" customHeight="1" x14ac:dyDescent="0.3">
      <c r="C111" s="15" t="s">
        <v>200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9000</v>
      </c>
      <c r="J111" s="15">
        <v>1680</v>
      </c>
      <c r="K111" s="15">
        <v>3335</v>
      </c>
      <c r="L111" s="15">
        <v>800</v>
      </c>
      <c r="M111" s="15">
        <v>3910</v>
      </c>
      <c r="N111" s="15">
        <v>0</v>
      </c>
      <c r="O111" s="15">
        <v>8510</v>
      </c>
      <c r="P111" s="15">
        <v>4100</v>
      </c>
      <c r="Q111" s="15">
        <v>0</v>
      </c>
      <c r="R111" s="15">
        <v>2000</v>
      </c>
      <c r="S111" s="15">
        <v>10000</v>
      </c>
      <c r="T111" s="15">
        <v>5350</v>
      </c>
      <c r="U111" s="15">
        <v>0</v>
      </c>
      <c r="V111" s="15">
        <v>950</v>
      </c>
      <c r="W111" s="15">
        <v>3850</v>
      </c>
      <c r="X111" s="15">
        <v>9400</v>
      </c>
      <c r="Y111" s="15">
        <v>6000</v>
      </c>
    </row>
    <row r="112" spans="1:25" ht="15" customHeight="1" x14ac:dyDescent="0.3">
      <c r="C112" s="15" t="s">
        <v>201</v>
      </c>
      <c r="D112" s="15">
        <v>81189.505126999997</v>
      </c>
      <c r="E112" s="15">
        <v>58361.183794999997</v>
      </c>
      <c r="F112" s="15">
        <v>71387.349205999999</v>
      </c>
      <c r="G112" s="15">
        <v>54342.049045</v>
      </c>
      <c r="H112" s="15">
        <v>54398.479627000001</v>
      </c>
      <c r="I112" s="15">
        <v>23574.688062000001</v>
      </c>
      <c r="J112" s="15">
        <v>48324.895868</v>
      </c>
      <c r="K112" s="15">
        <v>54365.948759999999</v>
      </c>
      <c r="L112" s="15">
        <v>43567.587907000001</v>
      </c>
      <c r="M112" s="15">
        <v>44061.462686999999</v>
      </c>
      <c r="N112" s="15">
        <v>84216.282051999995</v>
      </c>
      <c r="O112" s="15">
        <v>38887.929526</v>
      </c>
      <c r="P112" s="15">
        <v>42736.163066000001</v>
      </c>
      <c r="Q112" s="15">
        <v>17428.708037</v>
      </c>
      <c r="R112" s="15">
        <v>30969.035452</v>
      </c>
      <c r="S112" s="15">
        <v>39972.457743999999</v>
      </c>
      <c r="T112" s="15">
        <v>50557.581209999997</v>
      </c>
      <c r="U112" s="15">
        <v>27730.36537</v>
      </c>
      <c r="V112" s="15">
        <v>23348.640095999999</v>
      </c>
      <c r="W112" s="15">
        <v>42943.391457999998</v>
      </c>
      <c r="X112" s="15">
        <v>41932.121028000001</v>
      </c>
      <c r="Y112" s="15">
        <v>30250.513546999999</v>
      </c>
    </row>
    <row r="113" spans="3:25" ht="15" customHeight="1" x14ac:dyDescent="0.3">
      <c r="C113" s="15" t="s">
        <v>202</v>
      </c>
      <c r="D113" s="15">
        <v>133643.86428400001</v>
      </c>
      <c r="E113" s="15">
        <v>21081.154471000002</v>
      </c>
      <c r="F113" s="15">
        <v>24208.082875</v>
      </c>
      <c r="G113" s="15">
        <v>19417.078219999999</v>
      </c>
      <c r="H113" s="15">
        <v>21304.796063000002</v>
      </c>
      <c r="I113" s="15">
        <v>34821.289357000001</v>
      </c>
      <c r="J113" s="15">
        <v>27283.240749000001</v>
      </c>
      <c r="K113" s="15">
        <v>18856.727695000001</v>
      </c>
      <c r="L113" s="15">
        <v>37979.562243</v>
      </c>
      <c r="M113" s="15">
        <v>15988.753832</v>
      </c>
      <c r="N113" s="15">
        <v>27836.549080000001</v>
      </c>
      <c r="O113" s="15">
        <v>12380.55791</v>
      </c>
      <c r="P113" s="15">
        <v>23689.787617999998</v>
      </c>
      <c r="Q113" s="15">
        <v>179420.357846</v>
      </c>
      <c r="R113" s="15">
        <v>15972.295581</v>
      </c>
      <c r="S113" s="15">
        <v>11001.881743</v>
      </c>
      <c r="T113" s="15">
        <v>18827.185179</v>
      </c>
      <c r="U113" s="15">
        <v>24715.635263</v>
      </c>
      <c r="V113" s="15">
        <v>13061.484366999999</v>
      </c>
      <c r="W113" s="15">
        <v>28246.437151999999</v>
      </c>
      <c r="X113" s="15">
        <v>13673.397972999999</v>
      </c>
      <c r="Y113" s="15">
        <v>13205.882894</v>
      </c>
    </row>
    <row r="114" spans="3:25" ht="15" customHeight="1" x14ac:dyDescent="0.3">
      <c r="C114" s="15" t="s">
        <v>203</v>
      </c>
      <c r="D114" s="15">
        <v>36463.71</v>
      </c>
      <c r="E114" s="15">
        <v>35601.56</v>
      </c>
      <c r="F114" s="15">
        <v>30584.69</v>
      </c>
      <c r="G114" s="15">
        <v>32175.119999999999</v>
      </c>
      <c r="H114" s="15">
        <v>43335.01</v>
      </c>
      <c r="I114" s="15">
        <v>29066.38</v>
      </c>
      <c r="J114" s="15">
        <v>36011.589999999997</v>
      </c>
      <c r="K114" s="15">
        <v>35755.17</v>
      </c>
      <c r="L114" s="15">
        <v>33225.43</v>
      </c>
      <c r="M114" s="15">
        <v>36514.269999999997</v>
      </c>
      <c r="N114" s="15">
        <v>26719.200000000001</v>
      </c>
      <c r="O114" s="15">
        <v>48747.7</v>
      </c>
      <c r="P114" s="15">
        <v>19647.39</v>
      </c>
      <c r="Q114" s="15">
        <v>44552.46</v>
      </c>
      <c r="R114" s="15">
        <v>48752.480000000003</v>
      </c>
      <c r="S114" s="15">
        <v>25973.3</v>
      </c>
      <c r="T114" s="15">
        <v>36413.300000000003</v>
      </c>
      <c r="U114" s="15">
        <v>50769.7</v>
      </c>
      <c r="V114" s="15">
        <v>15161</v>
      </c>
      <c r="W114" s="15">
        <v>13987.5</v>
      </c>
      <c r="X114" s="15">
        <v>20335.900000000001</v>
      </c>
      <c r="Y114" s="15">
        <v>38760.6</v>
      </c>
    </row>
    <row r="115" spans="3:25" ht="15" customHeight="1" x14ac:dyDescent="0.3">
      <c r="C115" s="15" t="s">
        <v>204</v>
      </c>
      <c r="D115" s="15">
        <v>2017.6</v>
      </c>
      <c r="E115" s="15">
        <v>397.1</v>
      </c>
      <c r="F115" s="15">
        <v>5357.5</v>
      </c>
      <c r="G115" s="15">
        <v>31580.87</v>
      </c>
      <c r="H115" s="15">
        <v>5397.9</v>
      </c>
      <c r="I115" s="15">
        <v>10135.700000000001</v>
      </c>
      <c r="J115" s="15">
        <v>4690.3999999999996</v>
      </c>
      <c r="K115" s="15">
        <v>6462.4</v>
      </c>
      <c r="L115" s="15">
        <v>4360.6000000000004</v>
      </c>
      <c r="M115" s="15">
        <v>3700.7</v>
      </c>
      <c r="N115" s="15">
        <v>440.5</v>
      </c>
      <c r="O115" s="15">
        <v>1063.0899999999999</v>
      </c>
      <c r="P115" s="15">
        <v>692</v>
      </c>
      <c r="Q115" s="15">
        <v>996</v>
      </c>
      <c r="R115" s="15">
        <v>2456.9499999999998</v>
      </c>
      <c r="S115" s="15">
        <v>5295.94</v>
      </c>
      <c r="T115" s="15">
        <v>2196.1999999999998</v>
      </c>
      <c r="U115" s="15">
        <v>3896</v>
      </c>
      <c r="V115" s="15">
        <v>5507.84</v>
      </c>
      <c r="W115" s="15">
        <v>6134.1</v>
      </c>
      <c r="X115" s="15">
        <v>29665.94</v>
      </c>
      <c r="Y115" s="15">
        <v>1186</v>
      </c>
    </row>
    <row r="116" spans="3:25" ht="15" customHeight="1" x14ac:dyDescent="0.3">
      <c r="C116" s="15" t="s">
        <v>205</v>
      </c>
      <c r="D116" s="15">
        <v>1148.5</v>
      </c>
      <c r="E116" s="15">
        <v>805</v>
      </c>
      <c r="F116" s="15">
        <v>1393</v>
      </c>
      <c r="G116" s="15">
        <v>2976.2</v>
      </c>
      <c r="H116" s="15">
        <v>3648.94</v>
      </c>
      <c r="I116" s="15">
        <v>1500</v>
      </c>
      <c r="J116" s="15">
        <v>1707</v>
      </c>
      <c r="K116" s="15">
        <v>2996</v>
      </c>
      <c r="L116" s="15">
        <v>1524.1</v>
      </c>
      <c r="M116" s="15">
        <v>2189</v>
      </c>
      <c r="N116" s="15">
        <v>2404.87</v>
      </c>
      <c r="O116" s="15">
        <v>2300</v>
      </c>
      <c r="P116" s="15">
        <v>2711.5</v>
      </c>
      <c r="Q116" s="15">
        <v>2665</v>
      </c>
      <c r="R116" s="15">
        <v>1750</v>
      </c>
      <c r="S116" s="15">
        <v>1800</v>
      </c>
      <c r="T116" s="15">
        <v>2220</v>
      </c>
      <c r="U116" s="15">
        <v>2220</v>
      </c>
      <c r="V116" s="15">
        <v>3850</v>
      </c>
      <c r="W116" s="15">
        <v>1546</v>
      </c>
      <c r="X116" s="15">
        <v>4946</v>
      </c>
      <c r="Y116" s="15">
        <v>4239</v>
      </c>
    </row>
    <row r="117" spans="3:25" ht="15" customHeight="1" x14ac:dyDescent="0.3">
      <c r="C117" s="15" t="s">
        <v>206</v>
      </c>
      <c r="D117" s="15">
        <v>9929.14</v>
      </c>
      <c r="E117" s="15">
        <v>73533.45</v>
      </c>
      <c r="F117" s="15">
        <v>71309.89</v>
      </c>
      <c r="G117" s="15">
        <v>42243.72</v>
      </c>
      <c r="H117" s="15">
        <v>107515.86</v>
      </c>
      <c r="I117" s="15">
        <v>77516.789999999994</v>
      </c>
      <c r="J117" s="15">
        <v>51035.88</v>
      </c>
      <c r="K117" s="15">
        <v>87915.46</v>
      </c>
      <c r="L117" s="15">
        <v>54801.59</v>
      </c>
      <c r="M117" s="15">
        <v>71424.2</v>
      </c>
      <c r="N117" s="15">
        <v>57071.82</v>
      </c>
      <c r="O117" s="15">
        <v>31770.05</v>
      </c>
      <c r="P117" s="15">
        <v>94154.98</v>
      </c>
      <c r="Q117" s="15">
        <v>20525.8</v>
      </c>
      <c r="R117" s="15">
        <v>18138.57</v>
      </c>
      <c r="S117" s="15">
        <v>123220.4</v>
      </c>
      <c r="T117" s="15">
        <v>61776.25</v>
      </c>
      <c r="U117" s="15">
        <v>29001.599999999999</v>
      </c>
      <c r="V117" s="15">
        <v>71546.92</v>
      </c>
      <c r="W117" s="15">
        <v>48748.38</v>
      </c>
      <c r="X117" s="15">
        <v>51432.66</v>
      </c>
      <c r="Y117" s="15">
        <v>79738.12</v>
      </c>
    </row>
    <row r="118" spans="3:25" ht="15" customHeight="1" x14ac:dyDescent="0.3">
      <c r="C118" s="15" t="s">
        <v>207</v>
      </c>
      <c r="D118" s="15">
        <v>11240.4</v>
      </c>
      <c r="E118" s="15">
        <v>0</v>
      </c>
      <c r="F118" s="15">
        <v>5059.87</v>
      </c>
      <c r="G118" s="15">
        <v>11372</v>
      </c>
      <c r="H118" s="15">
        <v>284.10000000000002</v>
      </c>
      <c r="I118" s="15">
        <v>1936.3</v>
      </c>
      <c r="J118" s="15">
        <v>271.60000000000002</v>
      </c>
      <c r="K118" s="15">
        <v>1735</v>
      </c>
      <c r="L118" s="15">
        <v>3090.1</v>
      </c>
      <c r="M118" s="15">
        <v>1290.4000000000001</v>
      </c>
      <c r="N118" s="15">
        <v>0</v>
      </c>
      <c r="O118" s="15">
        <v>702.4</v>
      </c>
      <c r="P118" s="15">
        <v>0</v>
      </c>
      <c r="Q118" s="15">
        <v>2637.6</v>
      </c>
      <c r="R118" s="15">
        <v>0</v>
      </c>
      <c r="S118" s="15">
        <v>3752.6</v>
      </c>
      <c r="T118" s="15">
        <v>10993.13</v>
      </c>
      <c r="U118" s="15">
        <v>2393.9</v>
      </c>
      <c r="V118" s="15">
        <v>6491.7</v>
      </c>
      <c r="W118" s="15">
        <v>3871.1</v>
      </c>
      <c r="X118" s="15">
        <v>15402.6</v>
      </c>
      <c r="Y118" s="15">
        <v>0</v>
      </c>
    </row>
    <row r="119" spans="3:25" ht="15" customHeight="1" x14ac:dyDescent="0.3">
      <c r="C119" s="15" t="s">
        <v>208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15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</row>
    <row r="120" spans="3:25" ht="15" customHeight="1" x14ac:dyDescent="0.3">
      <c r="C120" s="15" t="s">
        <v>209</v>
      </c>
      <c r="D120" s="15">
        <v>715691.93</v>
      </c>
      <c r="E120" s="15">
        <v>574814.16</v>
      </c>
      <c r="F120" s="15">
        <v>616862.28</v>
      </c>
      <c r="G120" s="15">
        <v>757701.76</v>
      </c>
      <c r="H120" s="15">
        <v>732717.67</v>
      </c>
      <c r="I120" s="15">
        <v>594625.44999999995</v>
      </c>
      <c r="J120" s="15">
        <v>641376.06999999995</v>
      </c>
      <c r="K120" s="15">
        <v>714584.54</v>
      </c>
      <c r="L120" s="15">
        <v>592665.94999999995</v>
      </c>
      <c r="M120" s="15">
        <v>558766.47</v>
      </c>
      <c r="N120" s="15">
        <v>566899.93999999994</v>
      </c>
      <c r="O120" s="15">
        <v>354263.8</v>
      </c>
      <c r="P120" s="15">
        <v>753214.12</v>
      </c>
      <c r="Q120" s="15">
        <v>382370.91</v>
      </c>
      <c r="R120" s="15">
        <v>370754.68</v>
      </c>
      <c r="S120" s="15">
        <v>773020.91</v>
      </c>
      <c r="T120" s="15">
        <v>521882.59</v>
      </c>
      <c r="U120" s="15">
        <v>423835.94</v>
      </c>
      <c r="V120" s="15">
        <v>565971.31999999995</v>
      </c>
      <c r="W120" s="15">
        <v>652198.11</v>
      </c>
      <c r="X120" s="15">
        <v>653214.71</v>
      </c>
      <c r="Y120" s="15">
        <v>512440.25</v>
      </c>
    </row>
    <row r="121" spans="3:25" ht="15" customHeight="1" x14ac:dyDescent="0.3">
      <c r="C121" s="15" t="s">
        <v>210</v>
      </c>
      <c r="D121" s="15">
        <v>1044.18</v>
      </c>
      <c r="E121" s="15">
        <v>1695.81</v>
      </c>
      <c r="F121" s="15">
        <v>11268.9</v>
      </c>
      <c r="G121" s="15">
        <v>3710.26</v>
      </c>
      <c r="H121" s="15">
        <v>35362.42</v>
      </c>
      <c r="I121" s="15">
        <v>16550.88</v>
      </c>
      <c r="J121" s="15">
        <v>42500.21</v>
      </c>
      <c r="K121" s="15">
        <v>75265.039999999994</v>
      </c>
      <c r="L121" s="15">
        <v>11180.49</v>
      </c>
      <c r="M121" s="15">
        <v>20811.93</v>
      </c>
      <c r="N121" s="15">
        <v>5519.88</v>
      </c>
      <c r="O121" s="15">
        <v>4526</v>
      </c>
      <c r="P121" s="15">
        <v>52030.22</v>
      </c>
      <c r="Q121" s="15">
        <v>633.1</v>
      </c>
      <c r="R121" s="15">
        <v>7031</v>
      </c>
      <c r="S121" s="15">
        <v>34469</v>
      </c>
      <c r="T121" s="15">
        <v>62122.19</v>
      </c>
      <c r="U121" s="15">
        <v>606</v>
      </c>
      <c r="V121" s="15">
        <v>22953.55</v>
      </c>
      <c r="W121" s="15">
        <v>109073.39</v>
      </c>
      <c r="X121" s="15">
        <v>51756.68</v>
      </c>
      <c r="Y121" s="15">
        <v>11293</v>
      </c>
    </row>
    <row r="122" spans="3:25" ht="15" customHeight="1" x14ac:dyDescent="0.3">
      <c r="C122" s="15" t="s">
        <v>211</v>
      </c>
      <c r="D122" s="15">
        <v>85785.77</v>
      </c>
      <c r="E122" s="15">
        <v>58380.78</v>
      </c>
      <c r="F122" s="15">
        <v>71134.33</v>
      </c>
      <c r="G122" s="15">
        <v>59116.24</v>
      </c>
      <c r="H122" s="15">
        <v>58865.52</v>
      </c>
      <c r="I122" s="15">
        <v>23724.639999999999</v>
      </c>
      <c r="J122" s="15">
        <v>49964.97</v>
      </c>
      <c r="K122" s="15">
        <v>55401.440000000002</v>
      </c>
      <c r="L122" s="15">
        <v>47437.91</v>
      </c>
      <c r="M122" s="15">
        <v>45601.2</v>
      </c>
      <c r="N122" s="15">
        <v>81936.850000000006</v>
      </c>
      <c r="O122" s="15">
        <v>37580.129999999997</v>
      </c>
      <c r="P122" s="15">
        <v>42252.22</v>
      </c>
      <c r="Q122" s="15">
        <v>17130.91</v>
      </c>
      <c r="R122" s="15">
        <v>29797.98</v>
      </c>
      <c r="S122" s="15">
        <v>39269.839999999997</v>
      </c>
      <c r="T122" s="15">
        <v>52821.83</v>
      </c>
      <c r="U122" s="15">
        <v>27327.23</v>
      </c>
      <c r="V122" s="15">
        <v>22560.9</v>
      </c>
      <c r="W122" s="15">
        <v>45179.199999999997</v>
      </c>
      <c r="X122" s="15">
        <v>43744.43</v>
      </c>
      <c r="Y122" s="15">
        <v>32393.64</v>
      </c>
    </row>
    <row r="123" spans="3:25" ht="15" customHeight="1" x14ac:dyDescent="0.3">
      <c r="C123" s="15" t="s">
        <v>212</v>
      </c>
      <c r="D123" s="15">
        <v>100</v>
      </c>
      <c r="E123" s="15">
        <v>140</v>
      </c>
      <c r="F123" s="15">
        <v>100</v>
      </c>
      <c r="G123" s="15">
        <v>0</v>
      </c>
      <c r="H123" s="15">
        <v>0</v>
      </c>
      <c r="I123" s="15">
        <v>0</v>
      </c>
      <c r="J123" s="15">
        <v>0</v>
      </c>
      <c r="K123" s="15">
        <v>114</v>
      </c>
      <c r="L123" s="15">
        <v>422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117</v>
      </c>
      <c r="Y123" s="15">
        <v>0</v>
      </c>
    </row>
    <row r="124" spans="3:25" ht="15" customHeight="1" x14ac:dyDescent="0.3">
      <c r="C124" s="15" t="s">
        <v>213</v>
      </c>
      <c r="D124" s="15">
        <v>21764</v>
      </c>
      <c r="E124" s="15">
        <v>29018</v>
      </c>
      <c r="F124" s="15">
        <v>40338</v>
      </c>
      <c r="G124" s="15">
        <v>34307</v>
      </c>
      <c r="H124" s="15">
        <v>46743</v>
      </c>
      <c r="I124" s="15">
        <v>48235</v>
      </c>
      <c r="J124" s="15">
        <v>74013</v>
      </c>
      <c r="K124" s="15">
        <v>69367</v>
      </c>
      <c r="L124" s="15">
        <v>34142</v>
      </c>
      <c r="M124" s="15">
        <v>45717</v>
      </c>
      <c r="N124" s="15">
        <v>31910</v>
      </c>
      <c r="O124" s="15">
        <v>100</v>
      </c>
      <c r="P124" s="15">
        <v>100</v>
      </c>
      <c r="Q124" s="15">
        <v>100</v>
      </c>
      <c r="R124" s="15">
        <v>100</v>
      </c>
      <c r="S124" s="15">
        <v>100</v>
      </c>
      <c r="T124" s="15">
        <v>100</v>
      </c>
      <c r="U124" s="15">
        <v>100</v>
      </c>
      <c r="V124" s="15">
        <v>100</v>
      </c>
      <c r="W124" s="15">
        <v>100</v>
      </c>
      <c r="X124" s="15">
        <v>100</v>
      </c>
      <c r="Y124" s="15">
        <v>100</v>
      </c>
    </row>
    <row r="125" spans="3:25" ht="15" customHeight="1" x14ac:dyDescent="0.3">
      <c r="C125" s="15" t="s">
        <v>214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1475</v>
      </c>
      <c r="K125" s="15">
        <v>0</v>
      </c>
      <c r="L125" s="15">
        <v>0</v>
      </c>
      <c r="M125" s="15">
        <v>0</v>
      </c>
      <c r="N125" s="15">
        <v>1000</v>
      </c>
      <c r="O125" s="15">
        <v>0</v>
      </c>
      <c r="P125" s="15">
        <v>106</v>
      </c>
      <c r="Q125" s="15">
        <v>0</v>
      </c>
      <c r="R125" s="15">
        <v>0</v>
      </c>
      <c r="S125" s="15">
        <v>0</v>
      </c>
      <c r="T125" s="15">
        <v>0</v>
      </c>
      <c r="U125" s="15">
        <v>543</v>
      </c>
      <c r="V125" s="15">
        <v>2000</v>
      </c>
      <c r="W125" s="15">
        <v>975</v>
      </c>
      <c r="X125" s="15">
        <v>1990</v>
      </c>
      <c r="Y125" s="15">
        <v>0</v>
      </c>
    </row>
    <row r="126" spans="3:25" ht="15" customHeight="1" x14ac:dyDescent="0.3">
      <c r="C126" s="15" t="s">
        <v>215</v>
      </c>
      <c r="D126" s="15">
        <v>100</v>
      </c>
      <c r="E126" s="15">
        <v>302.10000000000002</v>
      </c>
      <c r="F126" s="15">
        <v>4100.1499999999996</v>
      </c>
      <c r="G126" s="15">
        <v>1107.2</v>
      </c>
      <c r="H126" s="15">
        <v>23383.94</v>
      </c>
      <c r="I126" s="15">
        <v>10633.67</v>
      </c>
      <c r="J126" s="15">
        <v>17873.7</v>
      </c>
      <c r="K126" s="15">
        <v>14314.4</v>
      </c>
      <c r="L126" s="15">
        <v>2201.8000000000002</v>
      </c>
      <c r="M126" s="15">
        <v>9599.94</v>
      </c>
      <c r="N126" s="15">
        <v>9317.64</v>
      </c>
      <c r="O126" s="15">
        <v>7208.1</v>
      </c>
      <c r="P126" s="15">
        <v>141888.6</v>
      </c>
      <c r="Q126" s="15">
        <v>245.1</v>
      </c>
      <c r="R126" s="15">
        <v>15877.1</v>
      </c>
      <c r="S126" s="15">
        <v>93952.5</v>
      </c>
      <c r="T126" s="15">
        <v>54632.800000000003</v>
      </c>
      <c r="U126" s="15">
        <v>80271.55</v>
      </c>
      <c r="V126" s="15">
        <v>147087.32</v>
      </c>
      <c r="W126" s="15">
        <v>44466.7</v>
      </c>
      <c r="X126" s="15">
        <v>154472.97</v>
      </c>
      <c r="Y126" s="15">
        <v>62629.760000000002</v>
      </c>
    </row>
    <row r="127" spans="3:25" ht="15" customHeight="1" x14ac:dyDescent="0.3">
      <c r="C127" s="15" t="s">
        <v>216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3828</v>
      </c>
      <c r="Q127" s="15">
        <v>0</v>
      </c>
      <c r="R127" s="15">
        <v>200</v>
      </c>
      <c r="S127" s="15">
        <v>3048</v>
      </c>
      <c r="T127" s="15">
        <v>0</v>
      </c>
      <c r="U127" s="15">
        <v>0</v>
      </c>
      <c r="V127" s="15">
        <v>5671</v>
      </c>
      <c r="W127" s="15">
        <v>1730</v>
      </c>
      <c r="X127" s="15">
        <v>2517</v>
      </c>
      <c r="Y127" s="15">
        <v>0</v>
      </c>
    </row>
    <row r="128" spans="3:25" ht="15" customHeight="1" x14ac:dyDescent="0.3">
      <c r="C128" s="15" t="s">
        <v>217</v>
      </c>
      <c r="D128" s="15">
        <v>85399.83</v>
      </c>
      <c r="E128" s="15">
        <v>2719.5</v>
      </c>
      <c r="F128" s="15">
        <v>13555.04</v>
      </c>
      <c r="G128" s="15">
        <v>113806.69</v>
      </c>
      <c r="H128" s="15">
        <v>15879.64</v>
      </c>
      <c r="I128" s="15">
        <v>17728.099999999999</v>
      </c>
      <c r="J128" s="15">
        <v>17775.7</v>
      </c>
      <c r="K128" s="15">
        <v>9786.08</v>
      </c>
      <c r="L128" s="15">
        <v>10039.9</v>
      </c>
      <c r="M128" s="15">
        <v>10780.8</v>
      </c>
      <c r="N128" s="15">
        <v>23166.04</v>
      </c>
      <c r="O128" s="15">
        <v>2153.13</v>
      </c>
      <c r="P128" s="15">
        <v>1520.58</v>
      </c>
      <c r="Q128" s="15">
        <v>21108.1</v>
      </c>
      <c r="R128" s="15">
        <v>8063.85</v>
      </c>
      <c r="S128" s="15">
        <v>8172.12</v>
      </c>
      <c r="T128" s="15">
        <v>4440.66</v>
      </c>
      <c r="U128" s="15">
        <v>7721.16</v>
      </c>
      <c r="V128" s="15">
        <v>6018.44</v>
      </c>
      <c r="W128" s="15">
        <v>8040.5</v>
      </c>
      <c r="X128" s="15">
        <v>38283.760000000002</v>
      </c>
      <c r="Y128" s="15">
        <v>1366</v>
      </c>
    </row>
    <row r="129" spans="2:25" ht="15" customHeight="1" x14ac:dyDescent="0.3">
      <c r="C129" s="15" t="s">
        <v>218</v>
      </c>
      <c r="D129" s="15">
        <v>1026.52</v>
      </c>
      <c r="E129" s="15">
        <v>3745.4</v>
      </c>
      <c r="F129" s="15">
        <v>6874.1</v>
      </c>
      <c r="G129" s="15">
        <v>4051.39</v>
      </c>
      <c r="H129" s="15">
        <v>8249.85</v>
      </c>
      <c r="I129" s="15">
        <v>14562.88</v>
      </c>
      <c r="J129" s="15">
        <v>2887.98</v>
      </c>
      <c r="K129" s="15">
        <v>13727.89</v>
      </c>
      <c r="L129" s="15">
        <v>8555.01</v>
      </c>
      <c r="M129" s="15">
        <v>2154.2199999999998</v>
      </c>
      <c r="N129" s="15">
        <v>6828.09</v>
      </c>
      <c r="O129" s="15">
        <v>3862</v>
      </c>
      <c r="P129" s="15">
        <v>19557.400000000001</v>
      </c>
      <c r="Q129" s="15">
        <v>260.81</v>
      </c>
      <c r="R129" s="15">
        <v>2383</v>
      </c>
      <c r="S129" s="15">
        <v>47261.11</v>
      </c>
      <c r="T129" s="15">
        <v>2096</v>
      </c>
      <c r="U129" s="15">
        <v>58</v>
      </c>
      <c r="V129" s="15">
        <v>23109.56</v>
      </c>
      <c r="W129" s="15">
        <v>35701.68</v>
      </c>
      <c r="X129" s="15">
        <v>19752.78</v>
      </c>
      <c r="Y129" s="15">
        <v>25929.53</v>
      </c>
    </row>
    <row r="130" spans="2:25" ht="15" customHeight="1" x14ac:dyDescent="0.3">
      <c r="C130" s="15" t="s">
        <v>219</v>
      </c>
      <c r="D130" s="15">
        <v>2929380.51</v>
      </c>
      <c r="E130" s="15">
        <v>1000</v>
      </c>
      <c r="F130" s="15">
        <v>0</v>
      </c>
      <c r="G130" s="15">
        <v>0</v>
      </c>
      <c r="H130" s="15">
        <v>0</v>
      </c>
      <c r="I130" s="15">
        <v>800</v>
      </c>
      <c r="J130" s="15">
        <v>0</v>
      </c>
      <c r="K130" s="15">
        <v>12237.17</v>
      </c>
      <c r="L130" s="15">
        <v>0</v>
      </c>
      <c r="M130" s="15">
        <v>0</v>
      </c>
      <c r="N130" s="15">
        <v>1800</v>
      </c>
      <c r="O130" s="15">
        <v>1000</v>
      </c>
      <c r="P130" s="15">
        <v>800</v>
      </c>
      <c r="Q130" s="15">
        <v>0</v>
      </c>
      <c r="R130" s="15">
        <v>0</v>
      </c>
      <c r="S130" s="15">
        <v>800</v>
      </c>
      <c r="T130" s="15">
        <v>2600</v>
      </c>
      <c r="U130" s="15">
        <v>3300</v>
      </c>
      <c r="V130" s="15">
        <v>2000</v>
      </c>
      <c r="W130" s="15">
        <v>4000</v>
      </c>
      <c r="X130" s="15">
        <v>800</v>
      </c>
      <c r="Y130" s="15">
        <v>3600</v>
      </c>
    </row>
    <row r="131" spans="2:25" ht="15" customHeight="1" x14ac:dyDescent="0.3">
      <c r="C131" s="15" t="s">
        <v>220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3828</v>
      </c>
      <c r="Q131" s="15">
        <v>0</v>
      </c>
      <c r="R131" s="15">
        <v>200</v>
      </c>
      <c r="S131" s="15">
        <v>3048</v>
      </c>
      <c r="T131" s="15">
        <v>0</v>
      </c>
      <c r="U131" s="15">
        <v>0</v>
      </c>
      <c r="V131" s="15">
        <v>5671</v>
      </c>
      <c r="W131" s="15">
        <v>1730</v>
      </c>
      <c r="X131" s="15">
        <v>2517</v>
      </c>
      <c r="Y131" s="15">
        <v>0</v>
      </c>
    </row>
    <row r="132" spans="2:25" ht="15" customHeight="1" x14ac:dyDescent="0.3">
      <c r="C132" s="15" t="s">
        <v>221</v>
      </c>
      <c r="D132" s="15">
        <v>0</v>
      </c>
      <c r="E132" s="15">
        <v>0</v>
      </c>
      <c r="F132" s="15">
        <v>200</v>
      </c>
      <c r="G132" s="15">
        <v>1200</v>
      </c>
      <c r="H132" s="15">
        <v>0</v>
      </c>
      <c r="I132" s="15">
        <v>8600</v>
      </c>
      <c r="J132" s="15">
        <v>1680</v>
      </c>
      <c r="K132" s="15">
        <v>2975</v>
      </c>
      <c r="L132" s="15">
        <v>2400</v>
      </c>
      <c r="M132" s="15">
        <v>4750</v>
      </c>
      <c r="N132" s="15">
        <v>200</v>
      </c>
      <c r="O132" s="15">
        <v>8510</v>
      </c>
      <c r="P132" s="15">
        <v>4100</v>
      </c>
      <c r="Q132" s="15">
        <v>0</v>
      </c>
      <c r="R132" s="15">
        <v>2000</v>
      </c>
      <c r="S132" s="15">
        <v>10000</v>
      </c>
      <c r="T132" s="15">
        <v>4350</v>
      </c>
      <c r="U132" s="15">
        <v>0</v>
      </c>
      <c r="V132" s="15">
        <v>950</v>
      </c>
      <c r="W132" s="15">
        <v>3050</v>
      </c>
      <c r="X132" s="15">
        <v>9300</v>
      </c>
      <c r="Y132" s="15">
        <v>6000</v>
      </c>
    </row>
    <row r="133" spans="2:25" ht="15" customHeight="1" x14ac:dyDescent="0.3">
      <c r="C133" s="15" t="s">
        <v>222</v>
      </c>
      <c r="D133" s="15">
        <v>9571.5400000000009</v>
      </c>
      <c r="E133" s="15">
        <v>3352.29</v>
      </c>
      <c r="F133" s="15">
        <v>1571.58</v>
      </c>
      <c r="G133" s="15">
        <v>520.71</v>
      </c>
      <c r="H133" s="15">
        <v>1060.92</v>
      </c>
      <c r="I133" s="15">
        <v>2057.44</v>
      </c>
      <c r="J133" s="15">
        <v>210.26</v>
      </c>
      <c r="K133" s="15">
        <v>204.7</v>
      </c>
      <c r="L133" s="15">
        <v>204.7</v>
      </c>
      <c r="M133" s="15">
        <v>936.43</v>
      </c>
      <c r="N133" s="15">
        <v>0</v>
      </c>
      <c r="O133" s="15">
        <v>0</v>
      </c>
      <c r="P133" s="15">
        <v>1325.2</v>
      </c>
      <c r="Q133" s="15">
        <v>2742.91</v>
      </c>
      <c r="R133" s="15">
        <v>223.12</v>
      </c>
      <c r="S133" s="15">
        <v>209.4</v>
      </c>
      <c r="T133" s="15">
        <v>338.43</v>
      </c>
      <c r="U133" s="15">
        <v>319.66000000000003</v>
      </c>
      <c r="V133" s="15">
        <v>442.77</v>
      </c>
      <c r="W133" s="15">
        <v>111.31</v>
      </c>
      <c r="X133" s="15">
        <v>1042.5999999999999</v>
      </c>
      <c r="Y133" s="15">
        <v>680.46</v>
      </c>
    </row>
    <row r="134" spans="2:25" ht="15" customHeight="1" x14ac:dyDescent="0.3">
      <c r="C134" s="15" t="s">
        <v>223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</row>
    <row r="135" spans="2:25" ht="15" customHeight="1" x14ac:dyDescent="0.3">
      <c r="C135" s="15" t="s">
        <v>224</v>
      </c>
      <c r="D135" s="15">
        <v>695.18</v>
      </c>
      <c r="E135" s="15">
        <v>355</v>
      </c>
      <c r="F135" s="15">
        <v>9412.2000000000007</v>
      </c>
      <c r="G135" s="15">
        <v>2480.96</v>
      </c>
      <c r="H135" s="15">
        <v>14414.04</v>
      </c>
      <c r="I135" s="15">
        <v>6126.95</v>
      </c>
      <c r="J135" s="15">
        <v>18614.89</v>
      </c>
      <c r="K135" s="15">
        <v>39829.5</v>
      </c>
      <c r="L135" s="15">
        <v>5960.87</v>
      </c>
      <c r="M135" s="15">
        <v>10992.92</v>
      </c>
      <c r="N135" s="15">
        <v>3148.28</v>
      </c>
      <c r="O135" s="15">
        <v>0</v>
      </c>
      <c r="P135" s="15">
        <v>441.5</v>
      </c>
      <c r="Q135" s="15">
        <v>14.6</v>
      </c>
      <c r="R135" s="15">
        <v>0</v>
      </c>
      <c r="S135" s="15">
        <v>0</v>
      </c>
      <c r="T135" s="15">
        <v>0</v>
      </c>
      <c r="U135" s="15">
        <v>0</v>
      </c>
      <c r="V135" s="15">
        <v>60</v>
      </c>
      <c r="W135" s="15">
        <v>0</v>
      </c>
      <c r="X135" s="15">
        <v>0</v>
      </c>
      <c r="Y135" s="15">
        <v>0</v>
      </c>
    </row>
    <row r="136" spans="2:25" ht="15" customHeight="1" x14ac:dyDescent="0.3">
      <c r="B136" s="2"/>
      <c r="C136" s="15" t="s">
        <v>225</v>
      </c>
      <c r="D136" s="15">
        <v>9929.14</v>
      </c>
      <c r="E136" s="15">
        <v>73533.45</v>
      </c>
      <c r="F136" s="15">
        <v>71309.89</v>
      </c>
      <c r="G136" s="15">
        <v>42243.72</v>
      </c>
      <c r="H136" s="15">
        <v>107590.86</v>
      </c>
      <c r="I136" s="15">
        <v>77516.789999999994</v>
      </c>
      <c r="J136" s="15">
        <v>51035.88</v>
      </c>
      <c r="K136" s="15">
        <v>87915.46</v>
      </c>
      <c r="L136" s="15">
        <v>54801.59</v>
      </c>
      <c r="M136" s="15">
        <v>71424.2</v>
      </c>
      <c r="N136" s="15">
        <v>57071.82</v>
      </c>
      <c r="O136" s="15">
        <v>31770.05</v>
      </c>
      <c r="P136" s="15">
        <v>94174.98</v>
      </c>
      <c r="Q136" s="15">
        <v>20525.8</v>
      </c>
      <c r="R136" s="15">
        <v>18138.57</v>
      </c>
      <c r="S136" s="15">
        <v>123220.4</v>
      </c>
      <c r="T136" s="15">
        <v>61776.25</v>
      </c>
      <c r="U136" s="15">
        <v>29434.6</v>
      </c>
      <c r="V136" s="15">
        <v>71546.92</v>
      </c>
      <c r="W136" s="15">
        <v>48773.38</v>
      </c>
      <c r="X136" s="15">
        <v>51432.66</v>
      </c>
      <c r="Y136" s="15">
        <v>79758.12</v>
      </c>
    </row>
    <row r="137" spans="2:25" ht="15" customHeight="1" x14ac:dyDescent="0.3">
      <c r="B137" s="2"/>
      <c r="C137" s="15" t="s">
        <v>226</v>
      </c>
      <c r="D137" s="15">
        <v>0</v>
      </c>
      <c r="E137" s="15">
        <v>0</v>
      </c>
      <c r="F137" s="15">
        <v>30</v>
      </c>
      <c r="G137" s="15">
        <v>0</v>
      </c>
      <c r="H137" s="15">
        <v>10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85.4</v>
      </c>
      <c r="Q137" s="15">
        <v>0</v>
      </c>
      <c r="R137" s="15">
        <v>0</v>
      </c>
      <c r="S137" s="15">
        <v>104.5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</row>
    <row r="138" spans="2:25" ht="15" customHeight="1" x14ac:dyDescent="0.3">
      <c r="B138" s="2"/>
      <c r="C138" s="15" t="s">
        <v>227</v>
      </c>
      <c r="D138" s="15">
        <v>0</v>
      </c>
      <c r="E138" s="15">
        <v>0</v>
      </c>
      <c r="F138" s="15">
        <v>0</v>
      </c>
      <c r="G138" s="15">
        <v>0</v>
      </c>
      <c r="H138" s="15">
        <v>0.1</v>
      </c>
      <c r="I138" s="15">
        <v>0</v>
      </c>
      <c r="J138" s="15">
        <v>0</v>
      </c>
      <c r="K138" s="15">
        <v>15</v>
      </c>
      <c r="L138" s="15">
        <v>0</v>
      </c>
      <c r="M138" s="15">
        <v>51.01</v>
      </c>
      <c r="N138" s="15">
        <v>0</v>
      </c>
      <c r="O138" s="15">
        <v>4837</v>
      </c>
      <c r="P138" s="15">
        <v>139565.51999999999</v>
      </c>
      <c r="Q138" s="15">
        <v>0</v>
      </c>
      <c r="R138" s="15">
        <v>200</v>
      </c>
      <c r="S138" s="15">
        <v>105830.7</v>
      </c>
      <c r="T138" s="15">
        <v>13218.86</v>
      </c>
      <c r="U138" s="15">
        <v>0</v>
      </c>
      <c r="V138" s="15">
        <v>86282.75</v>
      </c>
      <c r="W138" s="15">
        <v>156399.9</v>
      </c>
      <c r="X138" s="15">
        <v>58844.09</v>
      </c>
      <c r="Y138" s="15">
        <v>20045.599999999999</v>
      </c>
    </row>
    <row r="139" spans="2:25" ht="15" customHeight="1" x14ac:dyDescent="0.3">
      <c r="C139" s="15" t="s">
        <v>228</v>
      </c>
      <c r="D139" s="15">
        <v>176.02</v>
      </c>
      <c r="E139" s="15">
        <v>2735.1</v>
      </c>
      <c r="F139" s="15">
        <v>2234</v>
      </c>
      <c r="G139" s="15">
        <v>1522.99</v>
      </c>
      <c r="H139" s="15">
        <v>4714.55</v>
      </c>
      <c r="I139" s="15">
        <v>11734.38</v>
      </c>
      <c r="J139" s="15">
        <v>2179.98</v>
      </c>
      <c r="K139" s="15">
        <v>7066.79</v>
      </c>
      <c r="L139" s="15">
        <v>4660.8500000000004</v>
      </c>
      <c r="M139" s="15">
        <v>1556.22</v>
      </c>
      <c r="N139" s="15">
        <v>2677.38</v>
      </c>
      <c r="O139" s="15">
        <v>3862</v>
      </c>
      <c r="P139" s="15">
        <v>19388.400000000001</v>
      </c>
      <c r="Q139" s="15">
        <v>260.81</v>
      </c>
      <c r="R139" s="15">
        <v>2383</v>
      </c>
      <c r="S139" s="15">
        <v>47191.11</v>
      </c>
      <c r="T139" s="15">
        <v>2096</v>
      </c>
      <c r="U139" s="15">
        <v>58</v>
      </c>
      <c r="V139" s="15">
        <v>21505.06</v>
      </c>
      <c r="W139" s="15">
        <v>33188.18</v>
      </c>
      <c r="X139" s="15">
        <v>18101.28</v>
      </c>
      <c r="Y139" s="15">
        <v>24764.53</v>
      </c>
    </row>
    <row r="140" spans="2:25" ht="15" customHeight="1" x14ac:dyDescent="0.3">
      <c r="C140" s="15" t="s">
        <v>229</v>
      </c>
      <c r="D140" s="15">
        <v>0</v>
      </c>
      <c r="E140" s="15">
        <v>0</v>
      </c>
      <c r="F140" s="15">
        <v>0</v>
      </c>
      <c r="G140" s="15">
        <v>0</v>
      </c>
      <c r="H140" s="15">
        <v>8</v>
      </c>
      <c r="I140" s="15">
        <v>16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17.7</v>
      </c>
      <c r="Q140" s="15">
        <v>0</v>
      </c>
      <c r="R140" s="15">
        <v>0</v>
      </c>
      <c r="S140" s="15">
        <v>8</v>
      </c>
      <c r="T140" s="15">
        <v>0</v>
      </c>
      <c r="U140" s="15">
        <v>0</v>
      </c>
      <c r="V140" s="15">
        <v>0</v>
      </c>
      <c r="W140" s="15">
        <v>16</v>
      </c>
      <c r="X140" s="15">
        <v>0</v>
      </c>
      <c r="Y140" s="15">
        <v>32</v>
      </c>
    </row>
    <row r="141" spans="2:25" ht="15" customHeight="1" x14ac:dyDescent="0.3">
      <c r="C141" s="15" t="s">
        <v>230</v>
      </c>
      <c r="D141" s="15">
        <v>281</v>
      </c>
      <c r="E141" s="15">
        <v>722.1</v>
      </c>
      <c r="F141" s="15">
        <v>5726.65</v>
      </c>
      <c r="G141" s="15">
        <v>3566.1</v>
      </c>
      <c r="H141" s="15">
        <v>41819.42</v>
      </c>
      <c r="I141" s="15">
        <v>15133.8</v>
      </c>
      <c r="J141" s="15">
        <v>51860.54</v>
      </c>
      <c r="K141" s="15">
        <v>32044.82</v>
      </c>
      <c r="L141" s="15">
        <v>3189.3</v>
      </c>
      <c r="M141" s="15">
        <v>13474.94</v>
      </c>
      <c r="N141" s="15">
        <v>11077.84</v>
      </c>
      <c r="O141" s="15">
        <v>7208.1</v>
      </c>
      <c r="P141" s="15">
        <v>146294.6</v>
      </c>
      <c r="Q141" s="15">
        <v>274.5</v>
      </c>
      <c r="R141" s="15">
        <v>15877.1</v>
      </c>
      <c r="S141" s="15">
        <v>93952.5</v>
      </c>
      <c r="T141" s="15">
        <v>54632.800000000003</v>
      </c>
      <c r="U141" s="15">
        <v>80612.55</v>
      </c>
      <c r="V141" s="15">
        <v>147529.32</v>
      </c>
      <c r="W141" s="15">
        <v>44466.7</v>
      </c>
      <c r="X141" s="15">
        <v>155172.97</v>
      </c>
      <c r="Y141" s="15">
        <v>62629.760000000002</v>
      </c>
    </row>
    <row r="142" spans="2:25" ht="15" customHeight="1" x14ac:dyDescent="0.3">
      <c r="C142" s="15" t="s">
        <v>231</v>
      </c>
      <c r="D142" s="15">
        <v>4328.46</v>
      </c>
      <c r="E142" s="15">
        <v>1292.73</v>
      </c>
      <c r="F142" s="15">
        <v>5874.78</v>
      </c>
      <c r="G142" s="15">
        <v>3150.75</v>
      </c>
      <c r="H142" s="15">
        <v>6745.98</v>
      </c>
      <c r="I142" s="15">
        <v>10248.09</v>
      </c>
      <c r="J142" s="15">
        <v>7990.98</v>
      </c>
      <c r="K142" s="15">
        <v>2326.2600000000002</v>
      </c>
      <c r="L142" s="15">
        <v>5455.43</v>
      </c>
      <c r="M142" s="15">
        <v>5707.25</v>
      </c>
      <c r="N142" s="15">
        <v>2385.59</v>
      </c>
      <c r="O142" s="15">
        <v>582.84</v>
      </c>
      <c r="P142" s="15">
        <v>1106.23</v>
      </c>
      <c r="Q142" s="15">
        <v>0</v>
      </c>
      <c r="R142" s="15">
        <v>2628.04</v>
      </c>
      <c r="S142" s="15">
        <v>4299.95</v>
      </c>
      <c r="T142" s="15">
        <v>1404.73</v>
      </c>
      <c r="U142" s="15">
        <v>356.42</v>
      </c>
      <c r="V142" s="15">
        <v>978.78</v>
      </c>
      <c r="W142" s="15">
        <v>3319.19</v>
      </c>
      <c r="X142" s="15">
        <v>732.3</v>
      </c>
      <c r="Y142" s="15">
        <v>2965.83</v>
      </c>
    </row>
    <row r="143" spans="2:25" ht="15" customHeight="1" x14ac:dyDescent="0.3">
      <c r="C143" s="15" t="s">
        <v>232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6.97</v>
      </c>
      <c r="M143" s="15">
        <v>0</v>
      </c>
      <c r="N143" s="15">
        <v>0</v>
      </c>
      <c r="O143" s="15">
        <v>0</v>
      </c>
      <c r="P143" s="15">
        <v>319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50</v>
      </c>
      <c r="W143" s="15">
        <v>4006</v>
      </c>
      <c r="X143" s="15">
        <v>0</v>
      </c>
      <c r="Y143" s="15">
        <v>0</v>
      </c>
    </row>
    <row r="144" spans="2:25" ht="15" customHeight="1" x14ac:dyDescent="0.3">
      <c r="C144" s="15" t="s">
        <v>233</v>
      </c>
      <c r="D144" s="15">
        <v>1148.5</v>
      </c>
      <c r="E144" s="15">
        <v>1155</v>
      </c>
      <c r="F144" s="15">
        <v>1493</v>
      </c>
      <c r="G144" s="15">
        <v>2976.2</v>
      </c>
      <c r="H144" s="15">
        <v>4348.9399999999996</v>
      </c>
      <c r="I144" s="15">
        <v>2000</v>
      </c>
      <c r="J144" s="15">
        <v>2317</v>
      </c>
      <c r="K144" s="15">
        <v>2996</v>
      </c>
      <c r="L144" s="15">
        <v>1624.1</v>
      </c>
      <c r="M144" s="15">
        <v>2189</v>
      </c>
      <c r="N144" s="15">
        <v>2404.87</v>
      </c>
      <c r="O144" s="15">
        <v>3300</v>
      </c>
      <c r="P144" s="15">
        <v>3965.5</v>
      </c>
      <c r="Q144" s="15">
        <v>3735</v>
      </c>
      <c r="R144" s="15">
        <v>2050</v>
      </c>
      <c r="S144" s="15">
        <v>4090</v>
      </c>
      <c r="T144" s="15">
        <v>3799</v>
      </c>
      <c r="U144" s="15">
        <v>2520</v>
      </c>
      <c r="V144" s="15">
        <v>4495</v>
      </c>
      <c r="W144" s="15">
        <v>2511</v>
      </c>
      <c r="X144" s="15">
        <v>9935</v>
      </c>
      <c r="Y144" s="15">
        <v>4899</v>
      </c>
    </row>
    <row r="145" spans="3:25" ht="15" customHeight="1" x14ac:dyDescent="0.3">
      <c r="C145" s="15" t="s">
        <v>234</v>
      </c>
      <c r="D145" s="15">
        <v>1820</v>
      </c>
      <c r="E145" s="15">
        <v>886.55</v>
      </c>
      <c r="F145" s="15">
        <v>853.84</v>
      </c>
      <c r="G145" s="15">
        <v>76</v>
      </c>
      <c r="H145" s="15">
        <v>898.5</v>
      </c>
      <c r="I145" s="15">
        <v>1231.33</v>
      </c>
      <c r="J145" s="15">
        <v>1722.5</v>
      </c>
      <c r="K145" s="15">
        <v>857</v>
      </c>
      <c r="L145" s="15">
        <v>407</v>
      </c>
      <c r="M145" s="15">
        <v>370</v>
      </c>
      <c r="N145" s="15">
        <v>114</v>
      </c>
      <c r="O145" s="15">
        <v>567.36</v>
      </c>
      <c r="P145" s="15">
        <v>258</v>
      </c>
      <c r="Q145" s="15">
        <v>168</v>
      </c>
      <c r="R145" s="15">
        <v>680.19</v>
      </c>
      <c r="S145" s="15">
        <v>159.05000000000001</v>
      </c>
      <c r="T145" s="15">
        <v>0</v>
      </c>
      <c r="U145" s="15">
        <v>371.1</v>
      </c>
      <c r="V145" s="15">
        <v>87.4</v>
      </c>
      <c r="W145" s="15">
        <v>295.63</v>
      </c>
      <c r="X145" s="15">
        <v>347.5</v>
      </c>
      <c r="Y145" s="15">
        <v>324</v>
      </c>
    </row>
    <row r="146" spans="3:25" ht="15" customHeight="1" x14ac:dyDescent="0.3">
      <c r="C146" s="15" t="s">
        <v>235</v>
      </c>
      <c r="D146" s="15">
        <v>118358.61</v>
      </c>
      <c r="E146" s="15">
        <v>5710.02</v>
      </c>
      <c r="F146" s="15">
        <v>12254.93</v>
      </c>
      <c r="G146" s="15">
        <v>2647.13</v>
      </c>
      <c r="H146" s="15">
        <v>2301.98</v>
      </c>
      <c r="I146" s="15">
        <v>6462.21</v>
      </c>
      <c r="J146" s="15">
        <v>11055.79</v>
      </c>
      <c r="K146" s="15">
        <v>1438.93</v>
      </c>
      <c r="L146" s="15">
        <v>6975.5</v>
      </c>
      <c r="M146" s="15">
        <v>1771.9</v>
      </c>
      <c r="N146" s="15">
        <v>1124.4000000000001</v>
      </c>
      <c r="O146" s="15">
        <v>1787.63</v>
      </c>
      <c r="P146" s="15">
        <v>3765.92</v>
      </c>
      <c r="Q146" s="15">
        <v>166345.78</v>
      </c>
      <c r="R146" s="15">
        <v>7861.23</v>
      </c>
      <c r="S146" s="15">
        <v>7790.97</v>
      </c>
      <c r="T146" s="15">
        <v>6154.89</v>
      </c>
      <c r="U146" s="15">
        <v>8750.9500000000007</v>
      </c>
      <c r="V146" s="15">
        <v>5910.4</v>
      </c>
      <c r="W146" s="15">
        <v>7693.32</v>
      </c>
      <c r="X146" s="15">
        <v>10692.35</v>
      </c>
      <c r="Y146" s="15">
        <v>6636.17</v>
      </c>
    </row>
    <row r="147" spans="3:25" ht="15" customHeight="1" x14ac:dyDescent="0.3">
      <c r="C147" s="15" t="s">
        <v>236</v>
      </c>
      <c r="D147" s="15">
        <v>77644.42</v>
      </c>
      <c r="E147" s="15">
        <v>1382.5</v>
      </c>
      <c r="F147" s="15">
        <v>1685.7</v>
      </c>
      <c r="G147" s="15">
        <v>74286.259999999995</v>
      </c>
      <c r="H147" s="15">
        <v>5417.43</v>
      </c>
      <c r="I147" s="15">
        <v>2220.9</v>
      </c>
      <c r="J147" s="15">
        <v>5984.3</v>
      </c>
      <c r="K147" s="15">
        <v>1143.0999999999999</v>
      </c>
      <c r="L147" s="15">
        <v>569.79999999999995</v>
      </c>
      <c r="M147" s="15">
        <v>2172</v>
      </c>
      <c r="N147" s="15">
        <v>13231.34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</row>
    <row r="148" spans="3:25" ht="15" customHeight="1" x14ac:dyDescent="0.3">
      <c r="C148" s="15" t="s">
        <v>237</v>
      </c>
      <c r="D148" s="15">
        <v>181</v>
      </c>
      <c r="E148" s="15">
        <v>420</v>
      </c>
      <c r="F148" s="15">
        <v>1626.5</v>
      </c>
      <c r="G148" s="15">
        <v>2458.9</v>
      </c>
      <c r="H148" s="15">
        <v>18435.48</v>
      </c>
      <c r="I148" s="15">
        <v>4500.13</v>
      </c>
      <c r="J148" s="15">
        <v>33986.839999999997</v>
      </c>
      <c r="K148" s="15">
        <v>17730.419999999998</v>
      </c>
      <c r="L148" s="15">
        <v>987.5</v>
      </c>
      <c r="M148" s="15">
        <v>3875</v>
      </c>
      <c r="N148" s="15">
        <v>1760.2</v>
      </c>
      <c r="O148" s="15">
        <v>0</v>
      </c>
      <c r="P148" s="15">
        <v>4406</v>
      </c>
      <c r="Q148" s="15">
        <v>29.4</v>
      </c>
      <c r="R148" s="15">
        <v>0</v>
      </c>
      <c r="S148" s="15">
        <v>0</v>
      </c>
      <c r="T148" s="15">
        <v>0</v>
      </c>
      <c r="U148" s="15">
        <v>341</v>
      </c>
      <c r="V148" s="15">
        <v>442</v>
      </c>
      <c r="W148" s="15">
        <v>0</v>
      </c>
      <c r="X148" s="15">
        <v>700</v>
      </c>
      <c r="Y148" s="15">
        <v>0</v>
      </c>
    </row>
    <row r="149" spans="3:25" ht="15" customHeight="1" x14ac:dyDescent="0.3">
      <c r="C149" s="15" t="s">
        <v>238</v>
      </c>
      <c r="D149" s="15">
        <v>5604.7</v>
      </c>
      <c r="E149" s="15">
        <v>75551.87</v>
      </c>
      <c r="F149" s="15">
        <v>81531.23</v>
      </c>
      <c r="G149" s="15">
        <v>29759.759999999998</v>
      </c>
      <c r="H149" s="15">
        <v>99846.01</v>
      </c>
      <c r="I149" s="15">
        <v>82418.42</v>
      </c>
      <c r="J149" s="15">
        <v>77014.33</v>
      </c>
      <c r="K149" s="15">
        <v>85402.1</v>
      </c>
      <c r="L149" s="15">
        <v>97142.62</v>
      </c>
      <c r="M149" s="15">
        <v>83234.05</v>
      </c>
      <c r="N149" s="15">
        <v>89528.26</v>
      </c>
      <c r="O149" s="15">
        <v>21365</v>
      </c>
      <c r="P149" s="15">
        <v>105559.01</v>
      </c>
      <c r="Q149" s="15">
        <v>18427</v>
      </c>
      <c r="R149" s="15">
        <v>22334.5</v>
      </c>
      <c r="S149" s="15">
        <v>104264</v>
      </c>
      <c r="T149" s="15">
        <v>87709.7</v>
      </c>
      <c r="U149" s="15">
        <v>37213.699999999997</v>
      </c>
      <c r="V149" s="15">
        <v>76249.55</v>
      </c>
      <c r="W149" s="15">
        <v>96288.76</v>
      </c>
      <c r="X149" s="15">
        <v>74202</v>
      </c>
      <c r="Y149" s="15">
        <v>87310.6</v>
      </c>
    </row>
    <row r="150" spans="3:25" ht="15" customHeight="1" x14ac:dyDescent="0.3">
      <c r="C150" s="15" t="s">
        <v>239</v>
      </c>
      <c r="D150" s="15">
        <v>850.5</v>
      </c>
      <c r="E150" s="15">
        <v>1010.3</v>
      </c>
      <c r="F150" s="15">
        <v>4640.1000000000004</v>
      </c>
      <c r="G150" s="15">
        <v>2528.4</v>
      </c>
      <c r="H150" s="15">
        <v>3535.3</v>
      </c>
      <c r="I150" s="15">
        <v>2828.5</v>
      </c>
      <c r="J150" s="15">
        <v>708</v>
      </c>
      <c r="K150" s="15">
        <v>6661.1</v>
      </c>
      <c r="L150" s="15">
        <v>3894.16</v>
      </c>
      <c r="M150" s="15">
        <v>598</v>
      </c>
      <c r="N150" s="15">
        <v>4150.71</v>
      </c>
      <c r="O150" s="15">
        <v>0</v>
      </c>
      <c r="P150" s="15">
        <v>169</v>
      </c>
      <c r="Q150" s="15">
        <v>0</v>
      </c>
      <c r="R150" s="15">
        <v>0</v>
      </c>
      <c r="S150" s="15">
        <v>70</v>
      </c>
      <c r="T150" s="15">
        <v>0</v>
      </c>
      <c r="U150" s="15">
        <v>0</v>
      </c>
      <c r="V150" s="15">
        <v>1604.5</v>
      </c>
      <c r="W150" s="15">
        <v>2513.5</v>
      </c>
      <c r="X150" s="15">
        <v>1651.5</v>
      </c>
      <c r="Y150" s="15">
        <v>1165</v>
      </c>
    </row>
    <row r="151" spans="3:25" ht="15" customHeight="1" x14ac:dyDescent="0.3">
      <c r="C151" s="15" t="s">
        <v>240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69.8</v>
      </c>
      <c r="J151" s="15">
        <v>0</v>
      </c>
      <c r="K151" s="15">
        <v>96.9</v>
      </c>
      <c r="L151" s="15">
        <v>0</v>
      </c>
      <c r="M151" s="15">
        <v>25</v>
      </c>
      <c r="N151" s="15">
        <v>0</v>
      </c>
      <c r="O151" s="15">
        <v>0</v>
      </c>
      <c r="P151" s="15">
        <v>2906.6</v>
      </c>
      <c r="Q151" s="15">
        <v>0</v>
      </c>
      <c r="R151" s="15">
        <v>0</v>
      </c>
      <c r="S151" s="15">
        <v>1333.9</v>
      </c>
      <c r="T151" s="15">
        <v>576</v>
      </c>
      <c r="U151" s="15">
        <v>0</v>
      </c>
      <c r="V151" s="15">
        <v>936</v>
      </c>
      <c r="W151" s="15">
        <v>2286.5700000000002</v>
      </c>
      <c r="X151" s="15">
        <v>2222.3000000000002</v>
      </c>
      <c r="Y151" s="15">
        <v>342.5</v>
      </c>
    </row>
    <row r="152" spans="3:25" ht="15" customHeight="1" x14ac:dyDescent="0.3">
      <c r="C152" s="15" t="s">
        <v>241</v>
      </c>
      <c r="D152" s="15">
        <v>1337.65</v>
      </c>
      <c r="E152" s="15">
        <v>452.77</v>
      </c>
      <c r="F152" s="15">
        <v>276.81</v>
      </c>
      <c r="G152" s="15">
        <v>576.96</v>
      </c>
      <c r="H152" s="15">
        <v>451.68</v>
      </c>
      <c r="I152" s="15">
        <v>573.36</v>
      </c>
      <c r="J152" s="15">
        <v>359.59</v>
      </c>
      <c r="K152" s="15">
        <v>0</v>
      </c>
      <c r="L152" s="15">
        <v>101.82</v>
      </c>
      <c r="M152" s="15">
        <v>759.19</v>
      </c>
      <c r="N152" s="15">
        <v>659.04</v>
      </c>
      <c r="O152" s="15">
        <v>522.02</v>
      </c>
      <c r="P152" s="15">
        <v>477.03</v>
      </c>
      <c r="Q152" s="15">
        <v>306.25</v>
      </c>
      <c r="R152" s="15">
        <v>882.37</v>
      </c>
      <c r="S152" s="15">
        <v>1953.54</v>
      </c>
      <c r="T152" s="15">
        <v>812.8</v>
      </c>
      <c r="U152" s="15">
        <v>1018.95</v>
      </c>
      <c r="V152" s="15">
        <v>948.31</v>
      </c>
      <c r="W152" s="15">
        <v>218.18</v>
      </c>
      <c r="X152" s="15">
        <v>347.44</v>
      </c>
      <c r="Y152" s="15">
        <v>960.84</v>
      </c>
    </row>
    <row r="153" spans="3:25" ht="15" customHeight="1" x14ac:dyDescent="0.3">
      <c r="C153" s="15" t="s">
        <v>242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69.8</v>
      </c>
      <c r="J153" s="15">
        <v>0</v>
      </c>
      <c r="K153" s="15">
        <v>96.9</v>
      </c>
      <c r="L153" s="15">
        <v>0</v>
      </c>
      <c r="M153" s="15">
        <v>25</v>
      </c>
      <c r="N153" s="15">
        <v>0</v>
      </c>
      <c r="O153" s="15">
        <v>0</v>
      </c>
      <c r="P153" s="15">
        <v>2906.6</v>
      </c>
      <c r="Q153" s="15">
        <v>0</v>
      </c>
      <c r="R153" s="15">
        <v>0</v>
      </c>
      <c r="S153" s="15">
        <v>1333.9</v>
      </c>
      <c r="T153" s="15">
        <v>576</v>
      </c>
      <c r="U153" s="15">
        <v>0</v>
      </c>
      <c r="V153" s="15">
        <v>936</v>
      </c>
      <c r="W153" s="15">
        <v>2286.5700000000002</v>
      </c>
      <c r="X153" s="15">
        <v>2222.3000000000002</v>
      </c>
      <c r="Y153" s="15">
        <v>342.5</v>
      </c>
    </row>
    <row r="154" spans="3:25" ht="15" customHeight="1" x14ac:dyDescent="0.3">
      <c r="C154" s="15" t="s">
        <v>243</v>
      </c>
      <c r="D154" s="15">
        <v>47480.3</v>
      </c>
      <c r="E154" s="15">
        <v>37642.79</v>
      </c>
      <c r="F154" s="15">
        <v>23782</v>
      </c>
      <c r="G154" s="15">
        <v>35306.199999999997</v>
      </c>
      <c r="H154" s="15">
        <v>20918</v>
      </c>
      <c r="I154" s="15">
        <v>28879</v>
      </c>
      <c r="J154" s="15">
        <v>34074</v>
      </c>
      <c r="K154" s="15">
        <v>28458</v>
      </c>
      <c r="L154" s="15">
        <v>32006.04</v>
      </c>
      <c r="M154" s="15">
        <v>32180</v>
      </c>
      <c r="N154" s="15">
        <v>27677.07</v>
      </c>
      <c r="O154" s="15">
        <v>42382</v>
      </c>
      <c r="P154" s="15">
        <v>15184</v>
      </c>
      <c r="Q154" s="15">
        <v>48145</v>
      </c>
      <c r="R154" s="15">
        <v>43343</v>
      </c>
      <c r="S154" s="15">
        <v>14578</v>
      </c>
      <c r="T154" s="15">
        <v>29752</v>
      </c>
      <c r="U154" s="15">
        <v>46788.5</v>
      </c>
      <c r="V154" s="15">
        <v>13338</v>
      </c>
      <c r="W154" s="15">
        <v>16213</v>
      </c>
      <c r="X154" s="15">
        <v>14382</v>
      </c>
      <c r="Y154" s="15">
        <v>33755</v>
      </c>
    </row>
    <row r="155" spans="3:25" ht="15" customHeight="1" x14ac:dyDescent="0.3">
      <c r="C155" s="15" t="s">
        <v>244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100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72.5</v>
      </c>
      <c r="T155" s="15">
        <v>0</v>
      </c>
      <c r="U155" s="15">
        <v>0</v>
      </c>
      <c r="V155" s="15">
        <v>0</v>
      </c>
      <c r="W155" s="15">
        <v>0</v>
      </c>
      <c r="X155" s="15">
        <v>70.3</v>
      </c>
      <c r="Y155" s="15">
        <v>35.79</v>
      </c>
    </row>
    <row r="156" spans="3:25" ht="15" customHeight="1" x14ac:dyDescent="0.3">
      <c r="C156" s="15" t="s">
        <v>245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1377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100</v>
      </c>
      <c r="W156" s="15">
        <v>40</v>
      </c>
      <c r="X156" s="15">
        <v>256</v>
      </c>
      <c r="Y156" s="15">
        <v>0</v>
      </c>
    </row>
    <row r="157" spans="3:25" ht="15" customHeight="1" x14ac:dyDescent="0.3">
      <c r="C157" s="15" t="s">
        <v>246</v>
      </c>
      <c r="D157" s="15">
        <v>0</v>
      </c>
      <c r="E157" s="15">
        <v>0</v>
      </c>
      <c r="F157" s="15">
        <v>0</v>
      </c>
      <c r="G157" s="15">
        <v>0</v>
      </c>
      <c r="H157" s="15">
        <v>75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20</v>
      </c>
      <c r="Q157" s="15">
        <v>0</v>
      </c>
      <c r="R157" s="15">
        <v>0</v>
      </c>
      <c r="S157" s="15">
        <v>0</v>
      </c>
      <c r="T157" s="15">
        <v>0</v>
      </c>
      <c r="U157" s="15">
        <v>433</v>
      </c>
      <c r="V157" s="15">
        <v>0</v>
      </c>
      <c r="W157" s="15">
        <v>25</v>
      </c>
      <c r="X157" s="15">
        <v>0</v>
      </c>
      <c r="Y157" s="15">
        <v>20</v>
      </c>
    </row>
    <row r="158" spans="3:25" ht="15" customHeight="1" x14ac:dyDescent="0.3">
      <c r="C158" s="15" t="s">
        <v>247</v>
      </c>
      <c r="D158" s="15">
        <v>0</v>
      </c>
      <c r="E158" s="15">
        <v>0</v>
      </c>
      <c r="F158" s="15">
        <v>0</v>
      </c>
      <c r="G158" s="15">
        <v>0</v>
      </c>
      <c r="H158" s="15">
        <v>8</v>
      </c>
      <c r="I158" s="15">
        <v>16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17.7</v>
      </c>
      <c r="Q158" s="15">
        <v>0</v>
      </c>
      <c r="R158" s="15">
        <v>0</v>
      </c>
      <c r="S158" s="15">
        <v>8</v>
      </c>
      <c r="T158" s="15">
        <v>0</v>
      </c>
      <c r="U158" s="15">
        <v>0</v>
      </c>
      <c r="V158" s="15">
        <v>0</v>
      </c>
      <c r="W158" s="15">
        <v>8</v>
      </c>
      <c r="X158" s="15">
        <v>0</v>
      </c>
      <c r="Y158" s="15">
        <v>32</v>
      </c>
    </row>
    <row r="159" spans="3:25" ht="15" customHeight="1" x14ac:dyDescent="0.3">
      <c r="C159" s="15" t="s">
        <v>248</v>
      </c>
      <c r="D159" s="15">
        <v>721110.48</v>
      </c>
      <c r="E159" s="15">
        <v>575966.4</v>
      </c>
      <c r="F159" s="15">
        <v>617298.02</v>
      </c>
      <c r="G159" s="15">
        <v>758371.22</v>
      </c>
      <c r="H159" s="15">
        <v>734395.53</v>
      </c>
      <c r="I159" s="15">
        <v>595747.27</v>
      </c>
      <c r="J159" s="15">
        <v>642527.65</v>
      </c>
      <c r="K159" s="15">
        <v>716338.72</v>
      </c>
      <c r="L159" s="15">
        <v>593268.93000000005</v>
      </c>
      <c r="M159" s="15">
        <v>560560.04</v>
      </c>
      <c r="N159" s="15">
        <v>568600.13</v>
      </c>
      <c r="O159" s="15">
        <v>354874.68</v>
      </c>
      <c r="P159" s="15">
        <v>753826.14</v>
      </c>
      <c r="Q159" s="15">
        <v>383742.49</v>
      </c>
      <c r="R159" s="15">
        <v>372533.68</v>
      </c>
      <c r="S159" s="15">
        <v>775735.88</v>
      </c>
      <c r="T159" s="15">
        <v>523600.44</v>
      </c>
      <c r="U159" s="15">
        <v>424937.6</v>
      </c>
      <c r="V159" s="15">
        <v>566975.14</v>
      </c>
      <c r="W159" s="15">
        <v>652760.6</v>
      </c>
      <c r="X159" s="15">
        <v>653566.39</v>
      </c>
      <c r="Y159" s="15">
        <v>514008.53</v>
      </c>
    </row>
    <row r="160" spans="3:25" ht="15" customHeight="1" x14ac:dyDescent="0.3">
      <c r="C160" s="15" t="s">
        <v>249</v>
      </c>
      <c r="D160" s="15">
        <v>218177.48</v>
      </c>
      <c r="E160" s="15">
        <v>81686.19</v>
      </c>
      <c r="F160" s="15">
        <v>101571.17</v>
      </c>
      <c r="G160" s="15">
        <v>77132.14</v>
      </c>
      <c r="H160" s="15">
        <v>80378.83</v>
      </c>
      <c r="I160" s="15">
        <v>60916.28</v>
      </c>
      <c r="J160" s="15">
        <v>79804.509999999995</v>
      </c>
      <c r="K160" s="15">
        <v>73947.13</v>
      </c>
      <c r="L160" s="15">
        <v>85280.85</v>
      </c>
      <c r="M160" s="15">
        <v>61777.95</v>
      </c>
      <c r="N160" s="15">
        <v>108649.78</v>
      </c>
      <c r="O160" s="15">
        <v>53701.23</v>
      </c>
      <c r="P160" s="15">
        <v>65513.96</v>
      </c>
      <c r="Q160" s="15">
        <v>196351.79</v>
      </c>
      <c r="R160" s="15">
        <v>50389</v>
      </c>
      <c r="S160" s="15">
        <v>55529.04</v>
      </c>
      <c r="T160" s="15">
        <v>75475.490000000005</v>
      </c>
      <c r="U160" s="15">
        <v>58574.04</v>
      </c>
      <c r="V160" s="15">
        <v>38083.26</v>
      </c>
      <c r="W160" s="15">
        <v>74533.16</v>
      </c>
      <c r="X160" s="15">
        <v>63192.89</v>
      </c>
      <c r="Y160" s="15">
        <v>50307.99</v>
      </c>
    </row>
    <row r="161" spans="1:25" ht="15" customHeight="1" x14ac:dyDescent="0.3">
      <c r="C161" s="15" t="s">
        <v>250</v>
      </c>
      <c r="D161" s="15">
        <v>9596.2000000000007</v>
      </c>
      <c r="E161" s="15">
        <v>16272.66</v>
      </c>
      <c r="F161" s="15">
        <v>11250.91</v>
      </c>
      <c r="G161" s="15">
        <v>12032.34</v>
      </c>
      <c r="H161" s="15">
        <v>12428.28</v>
      </c>
      <c r="I161" s="15">
        <v>20298.71</v>
      </c>
      <c r="J161" s="15">
        <v>10672.16</v>
      </c>
      <c r="K161" s="15">
        <v>14370.5</v>
      </c>
      <c r="L161" s="15">
        <v>25381.97</v>
      </c>
      <c r="M161" s="15">
        <v>8527.7999999999993</v>
      </c>
      <c r="N161" s="15">
        <v>23167.94</v>
      </c>
      <c r="O161" s="15">
        <v>13289.36</v>
      </c>
      <c r="P161" s="15">
        <v>18389.59</v>
      </c>
      <c r="Q161" s="15">
        <v>12821.1</v>
      </c>
      <c r="R161" s="15">
        <v>9889.67</v>
      </c>
      <c r="S161" s="15">
        <v>3352.28</v>
      </c>
      <c r="T161" s="15">
        <v>14850.6</v>
      </c>
      <c r="U161" s="15">
        <v>22089.439999999999</v>
      </c>
      <c r="V161" s="15">
        <v>8633.18</v>
      </c>
      <c r="W161" s="15">
        <v>17708.43</v>
      </c>
      <c r="X161" s="15">
        <v>7853.81</v>
      </c>
      <c r="Y161" s="15">
        <v>8107.45</v>
      </c>
    </row>
    <row r="162" spans="1:25" ht="15" customHeight="1" x14ac:dyDescent="0.3">
      <c r="C162" s="15" t="s">
        <v>251</v>
      </c>
      <c r="D162" s="15">
        <v>82460.38</v>
      </c>
      <c r="E162" s="15">
        <v>73796.78</v>
      </c>
      <c r="F162" s="15">
        <v>53920.95</v>
      </c>
      <c r="G162" s="15">
        <v>104332.96</v>
      </c>
      <c r="H162" s="15">
        <v>100750.51</v>
      </c>
      <c r="I162" s="15">
        <v>100866.94</v>
      </c>
      <c r="J162" s="15">
        <v>73863.08</v>
      </c>
      <c r="K162" s="15">
        <v>113096.23</v>
      </c>
      <c r="L162" s="15">
        <v>60135.85</v>
      </c>
      <c r="M162" s="15">
        <v>59960.24</v>
      </c>
      <c r="N162" s="15">
        <v>54088.4</v>
      </c>
      <c r="O162" s="15">
        <v>53781.3</v>
      </c>
      <c r="P162" s="15">
        <v>107886.39999999999</v>
      </c>
      <c r="Q162" s="15">
        <v>68164.84</v>
      </c>
      <c r="R162" s="15">
        <v>77620.08</v>
      </c>
      <c r="S162" s="15">
        <v>153930.85</v>
      </c>
      <c r="T162" s="15">
        <v>58172.14</v>
      </c>
      <c r="U162" s="15">
        <v>60180.9</v>
      </c>
      <c r="V162" s="15">
        <v>50326.65</v>
      </c>
      <c r="W162" s="15">
        <v>76808.899999999994</v>
      </c>
      <c r="X162" s="15">
        <v>93514.71</v>
      </c>
      <c r="Y162" s="15">
        <v>87781.7</v>
      </c>
    </row>
    <row r="163" spans="1:25" ht="15" customHeight="1" x14ac:dyDescent="0.3">
      <c r="A163" s="1"/>
      <c r="B163" s="1"/>
      <c r="C163" s="15" t="s">
        <v>252</v>
      </c>
      <c r="D163" s="15">
        <v>-2483072.63</v>
      </c>
      <c r="E163" s="15">
        <v>480658.5</v>
      </c>
      <c r="F163" s="15">
        <v>500839.21</v>
      </c>
      <c r="G163" s="15">
        <v>671470.51</v>
      </c>
      <c r="H163" s="15">
        <v>638743.53</v>
      </c>
      <c r="I163" s="15">
        <v>529172.52</v>
      </c>
      <c r="J163" s="15">
        <v>549932.22</v>
      </c>
      <c r="K163" s="15">
        <v>618366.42000000004</v>
      </c>
      <c r="L163" s="15">
        <v>494112.87</v>
      </c>
      <c r="M163" s="15">
        <v>495472.06</v>
      </c>
      <c r="N163" s="15">
        <v>442433.49</v>
      </c>
      <c r="O163" s="15">
        <v>287130.5</v>
      </c>
      <c r="P163" s="15">
        <v>674371.44</v>
      </c>
      <c r="Q163" s="15">
        <v>169747.17</v>
      </c>
      <c r="R163" s="15">
        <v>317222.45</v>
      </c>
      <c r="S163" s="15">
        <v>703888.47</v>
      </c>
      <c r="T163" s="15">
        <v>437470.99</v>
      </c>
      <c r="U163" s="15">
        <v>354506.48</v>
      </c>
      <c r="V163" s="15">
        <v>518866.06</v>
      </c>
      <c r="W163" s="15">
        <v>565902.46</v>
      </c>
      <c r="X163" s="15">
        <v>582644.24</v>
      </c>
      <c r="Y163" s="15">
        <v>453246.67</v>
      </c>
    </row>
    <row r="164" spans="1:25" ht="15" customHeight="1" x14ac:dyDescent="0.3">
      <c r="C164" s="15" t="s">
        <v>253</v>
      </c>
      <c r="D164" s="15">
        <v>4080.9</v>
      </c>
      <c r="E164" s="15">
        <v>699.47</v>
      </c>
      <c r="F164" s="15">
        <v>158.93</v>
      </c>
      <c r="G164" s="15">
        <v>92.5</v>
      </c>
      <c r="H164" s="15">
        <v>1226.18</v>
      </c>
      <c r="I164" s="15">
        <v>548.46</v>
      </c>
      <c r="J164" s="15">
        <v>791.99</v>
      </c>
      <c r="K164" s="15">
        <v>1754.18</v>
      </c>
      <c r="L164" s="15">
        <v>501.16</v>
      </c>
      <c r="M164" s="15">
        <v>1034.3800000000001</v>
      </c>
      <c r="N164" s="15">
        <v>1041.1500000000001</v>
      </c>
      <c r="O164" s="15">
        <v>88.86</v>
      </c>
      <c r="P164" s="15">
        <v>134.99</v>
      </c>
      <c r="Q164" s="15">
        <v>1065.33</v>
      </c>
      <c r="R164" s="15">
        <v>896.63</v>
      </c>
      <c r="S164" s="15">
        <v>761.43</v>
      </c>
      <c r="T164" s="15">
        <v>905.05</v>
      </c>
      <c r="U164" s="15">
        <v>82.71</v>
      </c>
      <c r="V164" s="15">
        <v>55.51</v>
      </c>
      <c r="W164" s="15">
        <v>344.31</v>
      </c>
      <c r="X164" s="15">
        <v>4.24</v>
      </c>
      <c r="Y164" s="15">
        <v>607.44000000000005</v>
      </c>
    </row>
    <row r="165" spans="1:25" ht="15" customHeight="1" x14ac:dyDescent="0.3">
      <c r="C165" s="15" t="s">
        <v>254</v>
      </c>
      <c r="D165" s="15">
        <v>47948.86</v>
      </c>
      <c r="E165" s="15">
        <v>0</v>
      </c>
      <c r="F165" s="15">
        <v>9968.4699999999993</v>
      </c>
      <c r="G165" s="15">
        <v>53302</v>
      </c>
      <c r="H165" s="15">
        <v>284.10000000000002</v>
      </c>
      <c r="I165" s="15">
        <v>1936.3</v>
      </c>
      <c r="J165" s="15">
        <v>271.60000000000002</v>
      </c>
      <c r="K165" s="15">
        <v>1735</v>
      </c>
      <c r="L165" s="15">
        <v>3090.1</v>
      </c>
      <c r="M165" s="15">
        <v>1290.4000000000001</v>
      </c>
      <c r="N165" s="15">
        <v>0</v>
      </c>
      <c r="O165" s="15">
        <v>702.4</v>
      </c>
      <c r="P165" s="15">
        <v>0</v>
      </c>
      <c r="Q165" s="15">
        <v>2637.6</v>
      </c>
      <c r="R165" s="15">
        <v>0</v>
      </c>
      <c r="S165" s="15">
        <v>4240.7</v>
      </c>
      <c r="T165" s="15">
        <v>27950.69</v>
      </c>
      <c r="U165" s="15">
        <v>2393.9</v>
      </c>
      <c r="V165" s="15">
        <v>6491.7</v>
      </c>
      <c r="W165" s="15">
        <v>4251.1000000000004</v>
      </c>
      <c r="X165" s="15">
        <v>19778.599999999999</v>
      </c>
      <c r="Y165" s="15">
        <v>0</v>
      </c>
    </row>
    <row r="166" spans="1:25" ht="15" customHeight="1" x14ac:dyDescent="0.3">
      <c r="C166" s="15" t="s">
        <v>255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1377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100</v>
      </c>
      <c r="W166" s="15">
        <v>40</v>
      </c>
      <c r="X166" s="15">
        <v>256</v>
      </c>
      <c r="Y166" s="15">
        <v>0</v>
      </c>
    </row>
    <row r="167" spans="1:25" ht="15" customHeight="1" x14ac:dyDescent="0.3">
      <c r="C167" s="15" t="s">
        <v>256</v>
      </c>
      <c r="D167" s="15">
        <v>431434.53</v>
      </c>
      <c r="E167" s="15">
        <v>303224.92</v>
      </c>
      <c r="F167" s="15">
        <v>336248.21</v>
      </c>
      <c r="G167" s="15">
        <v>363370.47</v>
      </c>
      <c r="H167" s="15">
        <v>296751.33</v>
      </c>
      <c r="I167" s="15">
        <v>227000.21</v>
      </c>
      <c r="J167" s="15">
        <v>282898.25</v>
      </c>
      <c r="K167" s="15">
        <v>260079.03</v>
      </c>
      <c r="L167" s="15">
        <v>307664.98</v>
      </c>
      <c r="M167" s="15">
        <v>256070.69</v>
      </c>
      <c r="N167" s="15">
        <v>288223.67</v>
      </c>
      <c r="O167" s="15">
        <v>169299.46</v>
      </c>
      <c r="P167" s="15">
        <v>54478.21</v>
      </c>
      <c r="Q167" s="15">
        <v>198291.15</v>
      </c>
      <c r="R167" s="15">
        <v>170833.39</v>
      </c>
      <c r="S167" s="15">
        <v>64285.58</v>
      </c>
      <c r="T167" s="15">
        <v>111286.3</v>
      </c>
      <c r="U167" s="15">
        <v>155392.53</v>
      </c>
      <c r="V167" s="15">
        <v>47805.48</v>
      </c>
      <c r="W167" s="15">
        <v>41270.6</v>
      </c>
      <c r="X167" s="15">
        <v>49339.38</v>
      </c>
      <c r="Y167" s="15">
        <v>90937.65</v>
      </c>
    </row>
    <row r="168" spans="1:25" ht="15" customHeight="1" x14ac:dyDescent="0.3">
      <c r="C168" s="15" t="s">
        <v>257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21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</row>
    <row r="169" spans="1:25" ht="15" customHeight="1" x14ac:dyDescent="0.3">
      <c r="C169" s="15" t="s">
        <v>258</v>
      </c>
      <c r="D169" s="15">
        <v>0</v>
      </c>
      <c r="E169" s="15">
        <v>350</v>
      </c>
      <c r="F169" s="15">
        <v>100</v>
      </c>
      <c r="G169" s="15">
        <v>0</v>
      </c>
      <c r="H169" s="15">
        <v>700</v>
      </c>
      <c r="I169" s="15">
        <v>500</v>
      </c>
      <c r="J169" s="15">
        <v>610</v>
      </c>
      <c r="K169" s="15">
        <v>0</v>
      </c>
      <c r="L169" s="15">
        <v>100</v>
      </c>
      <c r="M169" s="15">
        <v>0</v>
      </c>
      <c r="N169" s="15">
        <v>0</v>
      </c>
      <c r="O169" s="15">
        <v>1000</v>
      </c>
      <c r="P169" s="15">
        <v>1254</v>
      </c>
      <c r="Q169" s="15">
        <v>1070</v>
      </c>
      <c r="R169" s="15">
        <v>300</v>
      </c>
      <c r="S169" s="15">
        <v>2290</v>
      </c>
      <c r="T169" s="15">
        <v>1579</v>
      </c>
      <c r="U169" s="15">
        <v>300</v>
      </c>
      <c r="V169" s="15">
        <v>645</v>
      </c>
      <c r="W169" s="15">
        <v>965</v>
      </c>
      <c r="X169" s="15">
        <v>4989</v>
      </c>
      <c r="Y169" s="15">
        <v>660</v>
      </c>
    </row>
    <row r="170" spans="1:25" ht="15" customHeight="1" x14ac:dyDescent="0.3">
      <c r="C170" s="15" t="s">
        <v>259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8</v>
      </c>
      <c r="X170" s="15">
        <v>0</v>
      </c>
      <c r="Y170" s="15">
        <v>0</v>
      </c>
    </row>
    <row r="171" spans="1:25" ht="15" customHeight="1" x14ac:dyDescent="0.3">
      <c r="C171" s="15" t="s">
        <v>260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15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30</v>
      </c>
      <c r="W171" s="15">
        <v>0</v>
      </c>
      <c r="X171" s="15">
        <v>0</v>
      </c>
      <c r="Y171" s="15">
        <v>0</v>
      </c>
    </row>
    <row r="172" spans="1:25" ht="15" customHeight="1" x14ac:dyDescent="0.3">
      <c r="C172" s="15" t="s">
        <v>261</v>
      </c>
      <c r="D172" s="15">
        <v>7755.4</v>
      </c>
      <c r="E172" s="15">
        <v>1337</v>
      </c>
      <c r="F172" s="15">
        <v>11869.34</v>
      </c>
      <c r="G172" s="15">
        <v>39520.43</v>
      </c>
      <c r="H172" s="15">
        <v>10462.209999999999</v>
      </c>
      <c r="I172" s="15">
        <v>15507.2</v>
      </c>
      <c r="J172" s="15">
        <v>11791.4</v>
      </c>
      <c r="K172" s="15">
        <v>8642.98</v>
      </c>
      <c r="L172" s="15">
        <v>9470.1</v>
      </c>
      <c r="M172" s="15">
        <v>8608.7999999999993</v>
      </c>
      <c r="N172" s="15">
        <v>9934.7000000000007</v>
      </c>
      <c r="O172" s="15">
        <v>2153.13</v>
      </c>
      <c r="P172" s="15">
        <v>1520.58</v>
      </c>
      <c r="Q172" s="15">
        <v>21108.1</v>
      </c>
      <c r="R172" s="15">
        <v>8063.85</v>
      </c>
      <c r="S172" s="15">
        <v>8172.12</v>
      </c>
      <c r="T172" s="15">
        <v>4440.66</v>
      </c>
      <c r="U172" s="15">
        <v>7721.16</v>
      </c>
      <c r="V172" s="15">
        <v>6018.44</v>
      </c>
      <c r="W172" s="15">
        <v>8040.5</v>
      </c>
      <c r="X172" s="15">
        <v>38283.75</v>
      </c>
      <c r="Y172" s="15">
        <v>1366</v>
      </c>
    </row>
    <row r="173" spans="1:25" ht="15" customHeight="1" x14ac:dyDescent="0.3">
      <c r="A173" s="1"/>
      <c r="B173" s="1"/>
      <c r="C173" s="15" t="s">
        <v>262</v>
      </c>
      <c r="D173" s="15">
        <v>-2264895.15</v>
      </c>
      <c r="E173" s="15">
        <v>562344.68999999994</v>
      </c>
      <c r="F173" s="15">
        <v>602410.38</v>
      </c>
      <c r="G173" s="15">
        <v>748602.65</v>
      </c>
      <c r="H173" s="15">
        <v>719122.36</v>
      </c>
      <c r="I173" s="15">
        <v>590088.80000000005</v>
      </c>
      <c r="J173" s="15">
        <v>629736.73</v>
      </c>
      <c r="K173" s="15">
        <v>692313.55</v>
      </c>
      <c r="L173" s="15">
        <v>579393.72</v>
      </c>
      <c r="M173" s="15">
        <v>557250.01</v>
      </c>
      <c r="N173" s="15">
        <v>551083.27</v>
      </c>
      <c r="O173" s="15">
        <v>340831.73</v>
      </c>
      <c r="P173" s="15">
        <v>739885.4</v>
      </c>
      <c r="Q173" s="15">
        <v>366098.96</v>
      </c>
      <c r="R173" s="15">
        <v>367611.45</v>
      </c>
      <c r="S173" s="15">
        <v>759417.51</v>
      </c>
      <c r="T173" s="15">
        <v>512946.48</v>
      </c>
      <c r="U173" s="15">
        <v>413080.52</v>
      </c>
      <c r="V173" s="15">
        <v>556949.31999999995</v>
      </c>
      <c r="W173" s="15">
        <v>640435.62</v>
      </c>
      <c r="X173" s="15">
        <v>645837.13</v>
      </c>
      <c r="Y173" s="15">
        <v>503554.66</v>
      </c>
    </row>
    <row r="174" spans="1:25" ht="15" customHeight="1" x14ac:dyDescent="0.3">
      <c r="C174" s="15" t="s">
        <v>263</v>
      </c>
      <c r="D174" s="15">
        <v>664485.36</v>
      </c>
      <c r="E174" s="15">
        <v>563344.68999999994</v>
      </c>
      <c r="F174" s="15">
        <v>602410.38</v>
      </c>
      <c r="G174" s="15">
        <v>748602.65</v>
      </c>
      <c r="H174" s="15">
        <v>719122.36</v>
      </c>
      <c r="I174" s="15">
        <v>590888.80000000005</v>
      </c>
      <c r="J174" s="15">
        <v>629736.73</v>
      </c>
      <c r="K174" s="15">
        <v>704550.72</v>
      </c>
      <c r="L174" s="15">
        <v>579393.72</v>
      </c>
      <c r="M174" s="15">
        <v>557250.01</v>
      </c>
      <c r="N174" s="15">
        <v>552883.27</v>
      </c>
      <c r="O174" s="15">
        <v>341831.73</v>
      </c>
      <c r="P174" s="15">
        <v>740685.4</v>
      </c>
      <c r="Q174" s="15">
        <v>366098.96</v>
      </c>
      <c r="R174" s="15">
        <v>367611.45</v>
      </c>
      <c r="S174" s="15">
        <v>760217.51</v>
      </c>
      <c r="T174" s="15">
        <v>515546.48</v>
      </c>
      <c r="U174" s="15">
        <v>416380.52</v>
      </c>
      <c r="V174" s="15">
        <v>558949.31999999995</v>
      </c>
      <c r="W174" s="15">
        <v>644435.62</v>
      </c>
      <c r="X174" s="15">
        <v>646637.13</v>
      </c>
      <c r="Y174" s="15">
        <v>507154.66</v>
      </c>
    </row>
    <row r="175" spans="1:25" ht="15" customHeight="1" x14ac:dyDescent="0.3">
      <c r="C175" s="15" t="s">
        <v>264</v>
      </c>
      <c r="D175" s="15">
        <v>5604.7</v>
      </c>
      <c r="E175" s="15">
        <v>75551.87</v>
      </c>
      <c r="F175" s="15">
        <v>81531.23</v>
      </c>
      <c r="G175" s="15">
        <v>29759.759999999998</v>
      </c>
      <c r="H175" s="15">
        <v>99846.01</v>
      </c>
      <c r="I175" s="15">
        <v>82418.42</v>
      </c>
      <c r="J175" s="15">
        <v>78489.33</v>
      </c>
      <c r="K175" s="15">
        <v>85402.1</v>
      </c>
      <c r="L175" s="15">
        <v>97142.62</v>
      </c>
      <c r="M175" s="15">
        <v>83234.05</v>
      </c>
      <c r="N175" s="15">
        <v>90528.26</v>
      </c>
      <c r="O175" s="15">
        <v>21365</v>
      </c>
      <c r="P175" s="15">
        <v>105665.01</v>
      </c>
      <c r="Q175" s="15">
        <v>18427</v>
      </c>
      <c r="R175" s="15">
        <v>22334.5</v>
      </c>
      <c r="S175" s="15">
        <v>104264</v>
      </c>
      <c r="T175" s="15">
        <v>87709.7</v>
      </c>
      <c r="U175" s="15">
        <v>37756.699999999997</v>
      </c>
      <c r="V175" s="15">
        <v>78249.55</v>
      </c>
      <c r="W175" s="15">
        <v>97263.76</v>
      </c>
      <c r="X175" s="15">
        <v>76192</v>
      </c>
      <c r="Y175" s="15">
        <v>87310.6</v>
      </c>
    </row>
    <row r="176" spans="1:25" ht="15" customHeight="1" x14ac:dyDescent="0.3">
      <c r="C176" s="15" t="s">
        <v>265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</row>
    <row r="177" spans="1:25" ht="15" customHeight="1" x14ac:dyDescent="0.3">
      <c r="C177" s="15" t="s">
        <v>266</v>
      </c>
      <c r="D177" s="15">
        <v>14</v>
      </c>
      <c r="E177" s="15">
        <v>0</v>
      </c>
      <c r="F177" s="15">
        <v>0</v>
      </c>
      <c r="G177" s="15">
        <v>0</v>
      </c>
      <c r="H177" s="15">
        <v>0</v>
      </c>
      <c r="I177" s="15">
        <v>100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72.5</v>
      </c>
      <c r="T177" s="15">
        <v>0</v>
      </c>
      <c r="U177" s="15">
        <v>0</v>
      </c>
      <c r="V177" s="15">
        <v>0</v>
      </c>
      <c r="W177" s="15">
        <v>0</v>
      </c>
      <c r="X177" s="15">
        <v>70.3</v>
      </c>
      <c r="Y177" s="15">
        <v>35.79</v>
      </c>
    </row>
    <row r="178" spans="1:25" ht="15" customHeight="1" x14ac:dyDescent="0.3">
      <c r="C178" s="15" t="s">
        <v>267</v>
      </c>
      <c r="D178" s="15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</row>
    <row r="179" spans="1:25" ht="15" customHeight="1" x14ac:dyDescent="0.3">
      <c r="C179" s="15" t="s">
        <v>268</v>
      </c>
      <c r="D179" s="15">
        <v>5418.55</v>
      </c>
      <c r="E179" s="15">
        <v>1152.24</v>
      </c>
      <c r="F179" s="15">
        <v>435.74</v>
      </c>
      <c r="G179" s="15">
        <v>669.46</v>
      </c>
      <c r="H179" s="15">
        <v>1677.86</v>
      </c>
      <c r="I179" s="15">
        <v>1121.82</v>
      </c>
      <c r="J179" s="15">
        <v>1151.58</v>
      </c>
      <c r="K179" s="15">
        <v>1754.18</v>
      </c>
      <c r="L179" s="15">
        <v>602.98</v>
      </c>
      <c r="M179" s="15">
        <v>1793.57</v>
      </c>
      <c r="N179" s="15">
        <v>1700.19</v>
      </c>
      <c r="O179" s="15">
        <v>610.88</v>
      </c>
      <c r="P179" s="15">
        <v>612.02</v>
      </c>
      <c r="Q179" s="15">
        <v>1371.58</v>
      </c>
      <c r="R179" s="15">
        <v>1779</v>
      </c>
      <c r="S179" s="15">
        <v>2714.97</v>
      </c>
      <c r="T179" s="15">
        <v>1717.85</v>
      </c>
      <c r="U179" s="15">
        <v>1101.6600000000001</v>
      </c>
      <c r="V179" s="15">
        <v>1003.82</v>
      </c>
      <c r="W179" s="15">
        <v>562.49</v>
      </c>
      <c r="X179" s="15">
        <v>351.68</v>
      </c>
      <c r="Y179" s="15">
        <v>1568.28</v>
      </c>
    </row>
    <row r="180" spans="1:25" ht="15" customHeight="1" x14ac:dyDescent="0.3">
      <c r="C180" s="15" t="s">
        <v>269</v>
      </c>
      <c r="D180" s="15">
        <v>349</v>
      </c>
      <c r="E180" s="15">
        <v>1340.81</v>
      </c>
      <c r="F180" s="15">
        <v>1856.7</v>
      </c>
      <c r="G180" s="15">
        <v>1229.3</v>
      </c>
      <c r="H180" s="15">
        <v>20948.38</v>
      </c>
      <c r="I180" s="15">
        <v>10423.93</v>
      </c>
      <c r="J180" s="15">
        <v>23885.32</v>
      </c>
      <c r="K180" s="15">
        <v>35435.54</v>
      </c>
      <c r="L180" s="15">
        <v>5219.62</v>
      </c>
      <c r="M180" s="15">
        <v>9819.01</v>
      </c>
      <c r="N180" s="15">
        <v>2371.6</v>
      </c>
      <c r="O180" s="15">
        <v>4526</v>
      </c>
      <c r="P180" s="15">
        <v>51588.72</v>
      </c>
      <c r="Q180" s="15">
        <v>618.5</v>
      </c>
      <c r="R180" s="15">
        <v>7031</v>
      </c>
      <c r="S180" s="15">
        <v>34469</v>
      </c>
      <c r="T180" s="15">
        <v>62122.19</v>
      </c>
      <c r="U180" s="15">
        <v>606</v>
      </c>
      <c r="V180" s="15">
        <v>22893.55</v>
      </c>
      <c r="W180" s="15">
        <v>109073.39</v>
      </c>
      <c r="X180" s="15">
        <v>51756.68</v>
      </c>
      <c r="Y180" s="15">
        <v>11293</v>
      </c>
    </row>
    <row r="181" spans="1:25" ht="15" customHeight="1" x14ac:dyDescent="0.3">
      <c r="C181" s="15" t="s">
        <v>270</v>
      </c>
      <c r="D181" s="15">
        <v>36708.449999999997</v>
      </c>
      <c r="E181" s="15">
        <v>0</v>
      </c>
      <c r="F181" s="15">
        <v>4908.6000000000004</v>
      </c>
      <c r="G181" s="15">
        <v>41930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488.1</v>
      </c>
      <c r="T181" s="15">
        <v>16957.560000000001</v>
      </c>
      <c r="U181" s="15">
        <v>0</v>
      </c>
      <c r="V181" s="15">
        <v>0</v>
      </c>
      <c r="W181" s="15">
        <v>380</v>
      </c>
      <c r="X181" s="15">
        <v>4376</v>
      </c>
      <c r="Y181" s="15">
        <v>0</v>
      </c>
    </row>
    <row r="182" spans="1:25" ht="15" customHeight="1" x14ac:dyDescent="0.3">
      <c r="C182" s="15" t="s">
        <v>271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30</v>
      </c>
      <c r="W182" s="15">
        <v>0</v>
      </c>
      <c r="X182" s="15">
        <v>0</v>
      </c>
      <c r="Y182" s="15">
        <v>0</v>
      </c>
    </row>
    <row r="183" spans="1:25" ht="15" customHeight="1" x14ac:dyDescent="0.3">
      <c r="C183" s="15" t="s">
        <v>272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1432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140</v>
      </c>
      <c r="W183" s="15">
        <v>40</v>
      </c>
      <c r="X183" s="15">
        <v>296</v>
      </c>
      <c r="Y183" s="15">
        <v>0</v>
      </c>
    </row>
    <row r="184" spans="1:25" ht="15" customHeight="1" x14ac:dyDescent="0.3">
      <c r="C184" s="15" t="s">
        <v>273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15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</row>
    <row r="185" spans="1:25" ht="15" customHeight="1" x14ac:dyDescent="0.3">
      <c r="C185" s="15" t="s">
        <v>274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1432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140</v>
      </c>
      <c r="W185" s="15">
        <v>40</v>
      </c>
      <c r="X185" s="15">
        <v>296</v>
      </c>
      <c r="Y185" s="15">
        <v>0</v>
      </c>
    </row>
    <row r="186" spans="1:25" ht="15" customHeight="1" x14ac:dyDescent="0.3">
      <c r="A186" s="1"/>
      <c r="B186" s="1"/>
      <c r="C186" s="15" t="s">
        <v>275</v>
      </c>
      <c r="D186" s="15">
        <v>66424.03</v>
      </c>
      <c r="E186" s="15">
        <v>57824.06</v>
      </c>
      <c r="F186" s="15">
        <v>59172.66</v>
      </c>
      <c r="G186" s="15">
        <v>51542.48</v>
      </c>
      <c r="H186" s="15">
        <v>52518.09</v>
      </c>
      <c r="I186" s="15">
        <v>23379.02</v>
      </c>
      <c r="J186" s="15">
        <v>41551.64</v>
      </c>
      <c r="K186" s="15">
        <v>49662.77</v>
      </c>
      <c r="L186" s="15">
        <v>35665.82</v>
      </c>
      <c r="M186" s="15">
        <v>40743.440000000002</v>
      </c>
      <c r="N186" s="15">
        <v>69944.83</v>
      </c>
      <c r="O186" s="15">
        <v>30834.57</v>
      </c>
      <c r="P186" s="15">
        <v>35465.75</v>
      </c>
      <c r="Q186" s="15">
        <v>14226.29</v>
      </c>
      <c r="R186" s="15">
        <v>24349.71</v>
      </c>
      <c r="S186" s="15">
        <v>33905.5</v>
      </c>
      <c r="T186" s="15">
        <v>43845.55</v>
      </c>
      <c r="U186" s="15">
        <v>22350.73</v>
      </c>
      <c r="V186" s="15">
        <v>19276.22</v>
      </c>
      <c r="W186" s="15">
        <v>38442.019999999997</v>
      </c>
      <c r="X186" s="15">
        <v>39438.239999999998</v>
      </c>
      <c r="Y186" s="15">
        <v>27183.33</v>
      </c>
    </row>
    <row r="187" spans="1:25" ht="15" customHeight="1" x14ac:dyDescent="0.3">
      <c r="C187" s="15" t="s">
        <v>276</v>
      </c>
      <c r="D187" s="15">
        <v>5762.7</v>
      </c>
      <c r="E187" s="15">
        <v>51909.18</v>
      </c>
      <c r="F187" s="15">
        <v>66757.2</v>
      </c>
      <c r="G187" s="15">
        <v>30791.61</v>
      </c>
      <c r="H187" s="15">
        <v>79361.460000000006</v>
      </c>
      <c r="I187" s="15">
        <v>63406.92</v>
      </c>
      <c r="J187" s="15">
        <v>60728.3</v>
      </c>
      <c r="K187" s="15">
        <v>58707.9</v>
      </c>
      <c r="L187" s="15">
        <v>74727.45</v>
      </c>
      <c r="M187" s="15">
        <v>64056.4</v>
      </c>
      <c r="N187" s="15">
        <v>67704.759999999995</v>
      </c>
      <c r="O187" s="15">
        <v>21532</v>
      </c>
      <c r="P187" s="15">
        <v>58139.51</v>
      </c>
      <c r="Q187" s="15">
        <v>18849.3</v>
      </c>
      <c r="R187" s="15">
        <v>22502.5</v>
      </c>
      <c r="S187" s="15">
        <v>61329</v>
      </c>
      <c r="T187" s="15">
        <v>60033.7</v>
      </c>
      <c r="U187" s="15">
        <v>32909.699999999997</v>
      </c>
      <c r="V187" s="15">
        <v>48408.05</v>
      </c>
      <c r="W187" s="15">
        <v>59423.3</v>
      </c>
      <c r="X187" s="15">
        <v>46322</v>
      </c>
      <c r="Y187" s="15">
        <v>64979.6</v>
      </c>
    </row>
    <row r="188" spans="1:25" ht="15" customHeight="1" x14ac:dyDescent="0.3">
      <c r="C188" s="15" t="s">
        <v>277</v>
      </c>
      <c r="D188" s="15">
        <v>1171.5</v>
      </c>
      <c r="E188" s="15">
        <v>610</v>
      </c>
      <c r="F188" s="15">
        <v>1303</v>
      </c>
      <c r="G188" s="15">
        <v>1844.2</v>
      </c>
      <c r="H188" s="15">
        <v>2926.94</v>
      </c>
      <c r="I188" s="15">
        <v>1500</v>
      </c>
      <c r="J188" s="15">
        <v>1713</v>
      </c>
      <c r="K188" s="15">
        <v>2573</v>
      </c>
      <c r="L188" s="15">
        <v>1361.1</v>
      </c>
      <c r="M188" s="15">
        <v>1238.0999999999999</v>
      </c>
      <c r="N188" s="15">
        <v>2456.0700000000002</v>
      </c>
      <c r="O188" s="15">
        <v>1400</v>
      </c>
      <c r="P188" s="15">
        <v>2124</v>
      </c>
      <c r="Q188" s="15">
        <v>2351</v>
      </c>
      <c r="R188" s="15">
        <v>1550</v>
      </c>
      <c r="S188" s="15">
        <v>1400</v>
      </c>
      <c r="T188" s="15">
        <v>2120</v>
      </c>
      <c r="U188" s="15">
        <v>1820</v>
      </c>
      <c r="V188" s="15">
        <v>2950</v>
      </c>
      <c r="W188" s="15">
        <v>1000</v>
      </c>
      <c r="X188" s="15">
        <v>4741</v>
      </c>
      <c r="Y188" s="15">
        <v>2683</v>
      </c>
    </row>
    <row r="189" spans="1:25" ht="15" customHeight="1" x14ac:dyDescent="0.3">
      <c r="C189" s="15" t="s">
        <v>278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5">
        <v>100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72.5</v>
      </c>
      <c r="T189" s="15">
        <v>0</v>
      </c>
      <c r="U189" s="15">
        <v>0</v>
      </c>
      <c r="V189" s="15">
        <v>0</v>
      </c>
      <c r="W189" s="15">
        <v>0</v>
      </c>
      <c r="X189" s="15">
        <v>70.3</v>
      </c>
      <c r="Y189" s="15">
        <v>42.89</v>
      </c>
    </row>
    <row r="190" spans="1:25" ht="15" customHeight="1" x14ac:dyDescent="0.3">
      <c r="C190" s="15" t="s">
        <v>279</v>
      </c>
      <c r="D190" s="15">
        <v>0</v>
      </c>
      <c r="E190" s="15">
        <v>0</v>
      </c>
      <c r="F190" s="15">
        <v>49.95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</row>
    <row r="191" spans="1:25" ht="15" customHeight="1" x14ac:dyDescent="0.3">
      <c r="C191" s="15" t="s">
        <v>280</v>
      </c>
      <c r="D191" s="15">
        <v>0</v>
      </c>
      <c r="E191" s="15">
        <v>0</v>
      </c>
      <c r="F191" s="15">
        <v>0</v>
      </c>
      <c r="G191" s="15">
        <v>0</v>
      </c>
      <c r="H191" s="15">
        <v>8</v>
      </c>
      <c r="I191" s="15">
        <v>16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18.7</v>
      </c>
      <c r="Q191" s="15">
        <v>0</v>
      </c>
      <c r="R191" s="15">
        <v>0</v>
      </c>
      <c r="S191" s="15">
        <v>8</v>
      </c>
      <c r="T191" s="15">
        <v>0</v>
      </c>
      <c r="U191" s="15">
        <v>0</v>
      </c>
      <c r="V191" s="15">
        <v>8</v>
      </c>
      <c r="W191" s="15">
        <v>16</v>
      </c>
      <c r="X191" s="15">
        <v>0</v>
      </c>
      <c r="Y191" s="15">
        <v>32</v>
      </c>
    </row>
    <row r="192" spans="1:25" ht="15" customHeight="1" x14ac:dyDescent="0.3">
      <c r="C192" s="15" t="s">
        <v>281</v>
      </c>
      <c r="D192" s="15">
        <v>100</v>
      </c>
      <c r="E192" s="15">
        <v>140</v>
      </c>
      <c r="F192" s="15">
        <v>100</v>
      </c>
      <c r="G192" s="15">
        <v>50</v>
      </c>
      <c r="H192" s="15">
        <v>0</v>
      </c>
      <c r="I192" s="15">
        <v>0</v>
      </c>
      <c r="J192" s="15">
        <v>0</v>
      </c>
      <c r="K192" s="15">
        <v>114</v>
      </c>
      <c r="L192" s="15">
        <v>429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100</v>
      </c>
      <c r="V192" s="15">
        <v>0</v>
      </c>
      <c r="W192" s="15">
        <v>0</v>
      </c>
      <c r="X192" s="15">
        <v>117</v>
      </c>
      <c r="Y192" s="15">
        <v>0</v>
      </c>
    </row>
    <row r="193" spans="3:25" ht="15" customHeight="1" x14ac:dyDescent="0.3">
      <c r="C193" s="15" t="s">
        <v>282</v>
      </c>
      <c r="D193" s="15">
        <v>10978.82</v>
      </c>
      <c r="E193" s="15">
        <v>82766.84</v>
      </c>
      <c r="F193" s="15">
        <v>78091.55</v>
      </c>
      <c r="G193" s="15">
        <v>46368.52</v>
      </c>
      <c r="H193" s="15">
        <v>119483.78</v>
      </c>
      <c r="I193" s="15">
        <v>85988.64</v>
      </c>
      <c r="J193" s="15">
        <v>60567.51</v>
      </c>
      <c r="K193" s="15">
        <v>98681.47</v>
      </c>
      <c r="L193" s="15">
        <v>65789.740000000005</v>
      </c>
      <c r="M193" s="15">
        <v>81198.69</v>
      </c>
      <c r="N193" s="15">
        <v>65025.34</v>
      </c>
      <c r="O193" s="15">
        <v>32739.85</v>
      </c>
      <c r="P193" s="15">
        <v>106818.5</v>
      </c>
      <c r="Q193" s="15">
        <v>22901.42</v>
      </c>
      <c r="R193" s="15">
        <v>19743.7</v>
      </c>
      <c r="S193" s="15">
        <v>132259.94</v>
      </c>
      <c r="T193" s="15">
        <v>66896.240000000005</v>
      </c>
      <c r="U193" s="15">
        <v>33008.5</v>
      </c>
      <c r="V193" s="15">
        <v>81461.649999999994</v>
      </c>
      <c r="W193" s="15">
        <v>53632.44</v>
      </c>
      <c r="X193" s="15">
        <v>56843.15</v>
      </c>
      <c r="Y193" s="15">
        <v>84086.32</v>
      </c>
    </row>
    <row r="194" spans="3:25" ht="15" customHeight="1" x14ac:dyDescent="0.3">
      <c r="C194" s="15" t="s">
        <v>283</v>
      </c>
      <c r="D194" s="15">
        <v>0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21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</row>
    <row r="195" spans="3:25" ht="15" customHeight="1" x14ac:dyDescent="0.3">
      <c r="C195" s="15" t="s">
        <v>284</v>
      </c>
      <c r="D195" s="15">
        <v>0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3847</v>
      </c>
      <c r="Q195" s="15">
        <v>0</v>
      </c>
      <c r="R195" s="15">
        <v>200</v>
      </c>
      <c r="S195" s="15">
        <v>3048</v>
      </c>
      <c r="T195" s="15">
        <v>0</v>
      </c>
      <c r="U195" s="15">
        <v>0</v>
      </c>
      <c r="V195" s="15">
        <v>5771</v>
      </c>
      <c r="W195" s="15">
        <v>1741</v>
      </c>
      <c r="X195" s="15">
        <v>2527</v>
      </c>
      <c r="Y195" s="15">
        <v>0</v>
      </c>
    </row>
    <row r="196" spans="3:25" ht="15" customHeight="1" x14ac:dyDescent="0.3">
      <c r="C196" s="15" t="s">
        <v>285</v>
      </c>
      <c r="D196" s="15">
        <v>0</v>
      </c>
      <c r="E196" s="15">
        <v>0</v>
      </c>
      <c r="F196" s="15">
        <v>0</v>
      </c>
      <c r="G196" s="15">
        <v>0</v>
      </c>
      <c r="H196" s="15">
        <v>8</v>
      </c>
      <c r="I196" s="15">
        <v>16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18.7</v>
      </c>
      <c r="Q196" s="15">
        <v>0</v>
      </c>
      <c r="R196" s="15">
        <v>0</v>
      </c>
      <c r="S196" s="15">
        <v>8</v>
      </c>
      <c r="T196" s="15">
        <v>0</v>
      </c>
      <c r="U196" s="15">
        <v>0</v>
      </c>
      <c r="V196" s="15">
        <v>8</v>
      </c>
      <c r="W196" s="15">
        <v>8</v>
      </c>
      <c r="X196" s="15">
        <v>0</v>
      </c>
      <c r="Y196" s="15">
        <v>32</v>
      </c>
    </row>
    <row r="197" spans="3:25" ht="15" customHeight="1" x14ac:dyDescent="0.3">
      <c r="C197" s="15" t="s">
        <v>286</v>
      </c>
      <c r="D197" s="15">
        <v>597.17999999999995</v>
      </c>
      <c r="E197" s="15">
        <v>360</v>
      </c>
      <c r="F197" s="15">
        <v>8465.2000000000007</v>
      </c>
      <c r="G197" s="15">
        <v>2684.96</v>
      </c>
      <c r="H197" s="15">
        <v>14312.44</v>
      </c>
      <c r="I197" s="15">
        <v>5456.55</v>
      </c>
      <c r="J197" s="15">
        <v>17998.990000000002</v>
      </c>
      <c r="K197" s="15">
        <v>37256.6</v>
      </c>
      <c r="L197" s="15">
        <v>5491.67</v>
      </c>
      <c r="M197" s="15">
        <v>11089.92</v>
      </c>
      <c r="N197" s="15">
        <v>3220.58</v>
      </c>
      <c r="O197" s="15">
        <v>0</v>
      </c>
      <c r="P197" s="15">
        <v>489.5</v>
      </c>
      <c r="Q197" s="15">
        <v>14.6</v>
      </c>
      <c r="R197" s="15">
        <v>0</v>
      </c>
      <c r="S197" s="15">
        <v>0</v>
      </c>
      <c r="T197" s="15">
        <v>0</v>
      </c>
      <c r="U197" s="15">
        <v>0</v>
      </c>
      <c r="V197" s="15">
        <v>60</v>
      </c>
      <c r="W197" s="15">
        <v>0</v>
      </c>
      <c r="X197" s="15">
        <v>0</v>
      </c>
      <c r="Y197" s="15">
        <v>0</v>
      </c>
    </row>
    <row r="198" spans="3:25" ht="15" customHeight="1" x14ac:dyDescent="0.3">
      <c r="C198" s="15" t="s">
        <v>287</v>
      </c>
      <c r="D198" s="15">
        <v>631710.78</v>
      </c>
      <c r="E198" s="15">
        <v>512916.79</v>
      </c>
      <c r="F198" s="15">
        <v>556554.02</v>
      </c>
      <c r="G198" s="15">
        <v>699079.59</v>
      </c>
      <c r="H198" s="15">
        <v>659988.68999999994</v>
      </c>
      <c r="I198" s="15">
        <v>536702.66</v>
      </c>
      <c r="J198" s="15">
        <v>585243.01</v>
      </c>
      <c r="K198" s="15">
        <v>640701.63</v>
      </c>
      <c r="L198" s="15">
        <v>530908.92000000004</v>
      </c>
      <c r="M198" s="15">
        <v>510108.18</v>
      </c>
      <c r="N198" s="15">
        <v>506504.37</v>
      </c>
      <c r="O198" s="15">
        <v>288992.14</v>
      </c>
      <c r="P198" s="15">
        <v>655689.06999999995</v>
      </c>
      <c r="Q198" s="15">
        <v>327165.52</v>
      </c>
      <c r="R198" s="15">
        <v>321366.7</v>
      </c>
      <c r="S198" s="15">
        <v>666066.03</v>
      </c>
      <c r="T198" s="15">
        <v>439039.39</v>
      </c>
      <c r="U198" s="15">
        <v>363637.05</v>
      </c>
      <c r="V198" s="15">
        <v>498765.15</v>
      </c>
      <c r="W198" s="15">
        <v>566452.87</v>
      </c>
      <c r="X198" s="15">
        <v>560862.9</v>
      </c>
      <c r="Y198" s="15">
        <v>442861.82</v>
      </c>
    </row>
    <row r="199" spans="3:25" ht="15" customHeight="1" x14ac:dyDescent="0.3">
      <c r="C199" s="15" t="s">
        <v>288</v>
      </c>
      <c r="D199" s="15">
        <v>679.62</v>
      </c>
      <c r="E199" s="15">
        <v>176.59</v>
      </c>
      <c r="F199" s="15">
        <v>86</v>
      </c>
      <c r="G199" s="15">
        <v>4.9000000000000004</v>
      </c>
      <c r="H199" s="15">
        <v>65.14</v>
      </c>
      <c r="I199" s="15">
        <v>0</v>
      </c>
      <c r="J199" s="15">
        <v>189.02</v>
      </c>
      <c r="K199" s="15">
        <v>0</v>
      </c>
      <c r="L199" s="15">
        <v>0</v>
      </c>
      <c r="M199" s="15">
        <v>528.96</v>
      </c>
      <c r="N199" s="15">
        <v>338.55</v>
      </c>
      <c r="O199" s="15">
        <v>297.93</v>
      </c>
      <c r="P199" s="15">
        <v>7.38</v>
      </c>
      <c r="Q199" s="15">
        <v>45.26</v>
      </c>
      <c r="R199" s="15">
        <v>292.51</v>
      </c>
      <c r="S199" s="15">
        <v>1135.8599999999999</v>
      </c>
      <c r="T199" s="15">
        <v>29.61</v>
      </c>
      <c r="U199" s="15">
        <v>243.88</v>
      </c>
      <c r="V199" s="15">
        <v>404.6</v>
      </c>
      <c r="W199" s="15">
        <v>128.78</v>
      </c>
      <c r="X199" s="15">
        <v>406.56</v>
      </c>
      <c r="Y199" s="15">
        <v>366.03</v>
      </c>
    </row>
    <row r="200" spans="3:25" ht="15" customHeight="1" x14ac:dyDescent="0.3">
      <c r="C200" s="15" t="s">
        <v>289</v>
      </c>
      <c r="D200" s="15">
        <v>3718.07</v>
      </c>
      <c r="E200" s="15">
        <v>221.82</v>
      </c>
      <c r="F200" s="15">
        <v>1.49</v>
      </c>
      <c r="G200" s="15">
        <v>282.86</v>
      </c>
      <c r="H200" s="15">
        <v>755.11</v>
      </c>
      <c r="I200" s="15">
        <v>496.65</v>
      </c>
      <c r="J200" s="15">
        <v>1021.26</v>
      </c>
      <c r="K200" s="15">
        <v>925.92</v>
      </c>
      <c r="L200" s="15">
        <v>57.09</v>
      </c>
      <c r="M200" s="15">
        <v>539.29999999999995</v>
      </c>
      <c r="N200" s="15">
        <v>240.34</v>
      </c>
      <c r="O200" s="15">
        <v>103.96</v>
      </c>
      <c r="P200" s="15">
        <v>125.93</v>
      </c>
      <c r="Q200" s="15">
        <v>769.94</v>
      </c>
      <c r="R200" s="15">
        <v>59.57</v>
      </c>
      <c r="S200" s="15">
        <v>56.11</v>
      </c>
      <c r="T200" s="15">
        <v>109.33</v>
      </c>
      <c r="U200" s="15">
        <v>6.42</v>
      </c>
      <c r="V200" s="15">
        <v>119.03</v>
      </c>
      <c r="W200" s="15">
        <v>501.78</v>
      </c>
      <c r="X200" s="15">
        <v>56.75</v>
      </c>
      <c r="Y200" s="15">
        <v>589.41999999999996</v>
      </c>
    </row>
    <row r="201" spans="3:25" ht="15" customHeight="1" x14ac:dyDescent="0.3">
      <c r="C201" s="15" t="s">
        <v>290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69.8</v>
      </c>
      <c r="J201" s="15">
        <v>0</v>
      </c>
      <c r="K201" s="15">
        <v>99.4</v>
      </c>
      <c r="L201" s="15">
        <v>0</v>
      </c>
      <c r="M201" s="15">
        <v>25</v>
      </c>
      <c r="N201" s="15">
        <v>0</v>
      </c>
      <c r="O201" s="15">
        <v>0</v>
      </c>
      <c r="P201" s="15">
        <v>2962.6</v>
      </c>
      <c r="Q201" s="15">
        <v>0</v>
      </c>
      <c r="R201" s="15">
        <v>0</v>
      </c>
      <c r="S201" s="15">
        <v>1333.9</v>
      </c>
      <c r="T201" s="15">
        <v>576</v>
      </c>
      <c r="U201" s="15">
        <v>0</v>
      </c>
      <c r="V201" s="15">
        <v>936</v>
      </c>
      <c r="W201" s="15">
        <v>2324.0700000000002</v>
      </c>
      <c r="X201" s="15">
        <v>2269.4</v>
      </c>
      <c r="Y201" s="15">
        <v>342.5</v>
      </c>
    </row>
    <row r="202" spans="3:25" ht="15" customHeight="1" x14ac:dyDescent="0.3">
      <c r="C202" s="15" t="s">
        <v>291</v>
      </c>
      <c r="D202" s="15">
        <v>0</v>
      </c>
      <c r="E202" s="15">
        <v>0</v>
      </c>
      <c r="F202" s="15">
        <v>0</v>
      </c>
      <c r="G202" s="15">
        <v>0</v>
      </c>
      <c r="H202" s="15">
        <v>300</v>
      </c>
      <c r="I202" s="15">
        <v>200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1000</v>
      </c>
      <c r="P202" s="15">
        <v>1264</v>
      </c>
      <c r="Q202" s="15">
        <v>1080</v>
      </c>
      <c r="R202" s="15">
        <v>200</v>
      </c>
      <c r="S202" s="15">
        <v>2290</v>
      </c>
      <c r="T202" s="15">
        <v>1587</v>
      </c>
      <c r="U202" s="15">
        <v>300</v>
      </c>
      <c r="V202" s="15">
        <v>645</v>
      </c>
      <c r="W202" s="15">
        <v>965</v>
      </c>
      <c r="X202" s="15">
        <v>4809</v>
      </c>
      <c r="Y202" s="15">
        <v>660</v>
      </c>
    </row>
    <row r="203" spans="3:25" ht="15" customHeight="1" x14ac:dyDescent="0.3">
      <c r="C203" s="15" t="s">
        <v>292</v>
      </c>
      <c r="D203" s="15">
        <v>0</v>
      </c>
      <c r="E203" s="15">
        <v>0</v>
      </c>
      <c r="F203" s="15">
        <v>0</v>
      </c>
      <c r="G203" s="15">
        <v>0</v>
      </c>
      <c r="H203" s="15">
        <v>75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31</v>
      </c>
      <c r="Q203" s="15">
        <v>4.6500000000000004</v>
      </c>
      <c r="R203" s="15">
        <v>0</v>
      </c>
      <c r="S203" s="15">
        <v>0</v>
      </c>
      <c r="T203" s="15">
        <v>0</v>
      </c>
      <c r="U203" s="15">
        <v>447</v>
      </c>
      <c r="V203" s="15">
        <v>0</v>
      </c>
      <c r="W203" s="15">
        <v>0</v>
      </c>
      <c r="X203" s="15">
        <v>0</v>
      </c>
      <c r="Y203" s="15">
        <v>20</v>
      </c>
    </row>
    <row r="204" spans="3:25" ht="15" customHeight="1" x14ac:dyDescent="0.3">
      <c r="C204" s="15" t="s">
        <v>293</v>
      </c>
      <c r="D204" s="15">
        <v>681598.64</v>
      </c>
      <c r="E204" s="15">
        <v>541383.12</v>
      </c>
      <c r="F204" s="15">
        <v>589750.84</v>
      </c>
      <c r="G204" s="15">
        <v>728357.18</v>
      </c>
      <c r="H204" s="15">
        <v>696070.64</v>
      </c>
      <c r="I204" s="15">
        <v>560451.02</v>
      </c>
      <c r="J204" s="15">
        <v>617590.54</v>
      </c>
      <c r="K204" s="15">
        <v>675669.63</v>
      </c>
      <c r="L204" s="15">
        <v>561661.52</v>
      </c>
      <c r="M204" s="15">
        <v>530066.66</v>
      </c>
      <c r="N204" s="15">
        <v>538732.26</v>
      </c>
      <c r="O204" s="15">
        <v>308976.69</v>
      </c>
      <c r="P204" s="15">
        <v>691047.87</v>
      </c>
      <c r="Q204" s="15">
        <v>349040.93</v>
      </c>
      <c r="R204" s="15">
        <v>333527.23</v>
      </c>
      <c r="S204" s="15">
        <v>704572.46</v>
      </c>
      <c r="T204" s="15">
        <v>460329.61</v>
      </c>
      <c r="U204" s="15">
        <v>383068.91</v>
      </c>
      <c r="V204" s="15">
        <v>522205.61</v>
      </c>
      <c r="W204" s="15">
        <v>593167.75</v>
      </c>
      <c r="X204" s="15">
        <v>585832.69999999995</v>
      </c>
      <c r="Y204" s="15">
        <v>464170.27</v>
      </c>
    </row>
    <row r="205" spans="3:25" ht="15" customHeight="1" x14ac:dyDescent="0.3">
      <c r="C205" s="15" t="s">
        <v>294</v>
      </c>
      <c r="D205" s="15">
        <v>31967.66</v>
      </c>
      <c r="E205" s="15">
        <v>0</v>
      </c>
      <c r="F205" s="15">
        <v>9358.7000000000007</v>
      </c>
      <c r="G205" s="15">
        <v>34463.599999999999</v>
      </c>
      <c r="H205" s="15">
        <v>290</v>
      </c>
      <c r="I205" s="15">
        <v>1938.3</v>
      </c>
      <c r="J205" s="15">
        <v>285.8</v>
      </c>
      <c r="K205" s="15">
        <v>1735</v>
      </c>
      <c r="L205" s="15">
        <v>2904.1</v>
      </c>
      <c r="M205" s="15">
        <v>1290.4000000000001</v>
      </c>
      <c r="N205" s="15">
        <v>0</v>
      </c>
      <c r="O205" s="15">
        <v>710.4</v>
      </c>
      <c r="P205" s="15">
        <v>0</v>
      </c>
      <c r="Q205" s="15">
        <v>2937.6</v>
      </c>
      <c r="R205" s="15">
        <v>0</v>
      </c>
      <c r="S205" s="15">
        <v>4298.7</v>
      </c>
      <c r="T205" s="15">
        <v>14255.41</v>
      </c>
      <c r="U205" s="15">
        <v>2416.5</v>
      </c>
      <c r="V205" s="15">
        <v>6239.8</v>
      </c>
      <c r="W205" s="15">
        <v>4292.6000000000004</v>
      </c>
      <c r="X205" s="15">
        <v>19241.2</v>
      </c>
      <c r="Y205" s="15">
        <v>0</v>
      </c>
    </row>
    <row r="206" spans="3:25" ht="15" customHeight="1" x14ac:dyDescent="0.3">
      <c r="C206" s="15" t="s">
        <v>295</v>
      </c>
      <c r="D206" s="15">
        <v>4683.3599999999997</v>
      </c>
      <c r="E206" s="15">
        <v>2075.58</v>
      </c>
      <c r="F206" s="15">
        <v>5780.58</v>
      </c>
      <c r="G206" s="15">
        <v>3036.89</v>
      </c>
      <c r="H206" s="15">
        <v>8446.0499999999993</v>
      </c>
      <c r="I206" s="15">
        <v>10769.98</v>
      </c>
      <c r="J206" s="15">
        <v>9005.5499999999993</v>
      </c>
      <c r="K206" s="15">
        <v>3679.21</v>
      </c>
      <c r="L206" s="15">
        <v>6063.3</v>
      </c>
      <c r="M206" s="15">
        <v>6713.88</v>
      </c>
      <c r="N206" s="15">
        <v>4227.33</v>
      </c>
      <c r="O206" s="15">
        <v>2688.57</v>
      </c>
      <c r="P206" s="15">
        <v>1476.17</v>
      </c>
      <c r="Q206" s="15">
        <v>0</v>
      </c>
      <c r="R206" s="15">
        <v>2069.7600000000002</v>
      </c>
      <c r="S206" s="15">
        <v>5403.19</v>
      </c>
      <c r="T206" s="15">
        <v>2675.97</v>
      </c>
      <c r="U206" s="15">
        <v>471.31</v>
      </c>
      <c r="V206" s="15">
        <v>1352.72</v>
      </c>
      <c r="W206" s="15">
        <v>2932.42</v>
      </c>
      <c r="X206" s="15">
        <v>1302.79</v>
      </c>
      <c r="Y206" s="15">
        <v>3584.62</v>
      </c>
    </row>
    <row r="207" spans="3:25" ht="15" customHeight="1" x14ac:dyDescent="0.3">
      <c r="C207" s="15" t="s">
        <v>296</v>
      </c>
      <c r="D207" s="15">
        <v>946.18</v>
      </c>
      <c r="E207" s="15">
        <v>1720.81</v>
      </c>
      <c r="F207" s="15">
        <v>10573.4</v>
      </c>
      <c r="G207" s="15">
        <v>4031.26</v>
      </c>
      <c r="H207" s="15">
        <v>36150.019999999997</v>
      </c>
      <c r="I207" s="15">
        <v>16052.98</v>
      </c>
      <c r="J207" s="15">
        <v>42464.13</v>
      </c>
      <c r="K207" s="15">
        <v>74329.649999999994</v>
      </c>
      <c r="L207" s="15">
        <v>11197.29</v>
      </c>
      <c r="M207" s="15">
        <v>21349.87</v>
      </c>
      <c r="N207" s="15">
        <v>5666.68</v>
      </c>
      <c r="O207" s="15">
        <v>4696</v>
      </c>
      <c r="P207" s="15">
        <v>53179.72</v>
      </c>
      <c r="Q207" s="15">
        <v>650.6</v>
      </c>
      <c r="R207" s="15">
        <v>7201</v>
      </c>
      <c r="S207" s="15">
        <v>35370</v>
      </c>
      <c r="T207" s="15">
        <v>63959.06</v>
      </c>
      <c r="U207" s="15">
        <v>606</v>
      </c>
      <c r="V207" s="15">
        <v>24968.15</v>
      </c>
      <c r="W207" s="15">
        <v>111658.87</v>
      </c>
      <c r="X207" s="15">
        <v>52031.83</v>
      </c>
      <c r="Y207" s="15">
        <v>11395</v>
      </c>
    </row>
    <row r="208" spans="3:25" ht="15" customHeight="1" x14ac:dyDescent="0.3">
      <c r="C208" s="15" t="s">
        <v>297</v>
      </c>
      <c r="D208" s="15">
        <v>83539.520000000004</v>
      </c>
      <c r="E208" s="15">
        <v>74116.88</v>
      </c>
      <c r="F208" s="15">
        <v>54737.83</v>
      </c>
      <c r="G208" s="15">
        <v>104426.54</v>
      </c>
      <c r="H208" s="15">
        <v>89625.14</v>
      </c>
      <c r="I208" s="15">
        <v>101319.64</v>
      </c>
      <c r="J208" s="15">
        <v>74392.179999999993</v>
      </c>
      <c r="K208" s="15">
        <v>114791.87</v>
      </c>
      <c r="L208" s="15">
        <v>59644.61</v>
      </c>
      <c r="M208" s="15">
        <v>60972.51</v>
      </c>
      <c r="N208" s="15">
        <v>53962.92</v>
      </c>
      <c r="O208" s="15">
        <v>53252.800000000003</v>
      </c>
      <c r="P208" s="15">
        <v>110450.81</v>
      </c>
      <c r="Q208" s="15">
        <v>68832.429999999993</v>
      </c>
      <c r="R208" s="15">
        <v>77701.08</v>
      </c>
      <c r="S208" s="15">
        <v>154857.65</v>
      </c>
      <c r="T208" s="15">
        <v>59037.64</v>
      </c>
      <c r="U208" s="15">
        <v>59392.5</v>
      </c>
      <c r="V208" s="15">
        <v>52203.5</v>
      </c>
      <c r="W208" s="15">
        <v>78493</v>
      </c>
      <c r="X208" s="15">
        <v>95414.21</v>
      </c>
      <c r="Y208" s="15">
        <v>87261.34</v>
      </c>
    </row>
    <row r="209" spans="3:25" ht="15" customHeight="1" x14ac:dyDescent="0.3">
      <c r="C209" s="15" t="s">
        <v>298</v>
      </c>
      <c r="D209" s="15">
        <v>0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</row>
    <row r="210" spans="3:25" ht="15" customHeight="1" x14ac:dyDescent="0.3">
      <c r="C210" s="15" t="s">
        <v>299</v>
      </c>
      <c r="D210" s="15">
        <v>0</v>
      </c>
      <c r="E210" s="15">
        <v>0</v>
      </c>
      <c r="F210" s="15">
        <v>30</v>
      </c>
      <c r="G210" s="15">
        <v>0</v>
      </c>
      <c r="H210" s="15">
        <v>10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168.8</v>
      </c>
      <c r="Q210" s="15">
        <v>0</v>
      </c>
      <c r="R210" s="15">
        <v>0</v>
      </c>
      <c r="S210" s="15">
        <v>107.5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</row>
    <row r="211" spans="3:25" ht="15" customHeight="1" x14ac:dyDescent="0.3">
      <c r="C211" s="15" t="s">
        <v>300</v>
      </c>
      <c r="D211" s="15">
        <v>1102.52</v>
      </c>
      <c r="E211" s="15">
        <v>4036.3</v>
      </c>
      <c r="F211" s="15">
        <v>7009.7</v>
      </c>
      <c r="G211" s="15">
        <v>4298.8900000000003</v>
      </c>
      <c r="H211" s="15">
        <v>8698.1200000000008</v>
      </c>
      <c r="I211" s="15">
        <v>15022.48</v>
      </c>
      <c r="J211" s="15">
        <v>2783.39</v>
      </c>
      <c r="K211" s="15">
        <v>14123.39</v>
      </c>
      <c r="L211" s="15">
        <v>8945.41</v>
      </c>
      <c r="M211" s="15">
        <v>2262.2199999999998</v>
      </c>
      <c r="N211" s="15">
        <v>7189.29</v>
      </c>
      <c r="O211" s="15">
        <v>3962</v>
      </c>
      <c r="P211" s="15">
        <v>19915.2</v>
      </c>
      <c r="Q211" s="15">
        <v>271.31</v>
      </c>
      <c r="R211" s="15">
        <v>2488</v>
      </c>
      <c r="S211" s="15">
        <v>48666.63</v>
      </c>
      <c r="T211" s="15">
        <v>2198</v>
      </c>
      <c r="U211" s="15">
        <v>97</v>
      </c>
      <c r="V211" s="15">
        <v>24556.36</v>
      </c>
      <c r="W211" s="15">
        <v>36520.75</v>
      </c>
      <c r="X211" s="15">
        <v>20419.28</v>
      </c>
      <c r="Y211" s="15">
        <v>26127.53</v>
      </c>
    </row>
    <row r="212" spans="3:25" ht="15" customHeight="1" x14ac:dyDescent="0.3">
      <c r="C212" s="15" t="s">
        <v>301</v>
      </c>
      <c r="D212" s="15">
        <v>453153.5</v>
      </c>
      <c r="E212" s="15">
        <v>321352.15000000002</v>
      </c>
      <c r="F212" s="15">
        <v>341043.69</v>
      </c>
      <c r="G212" s="15">
        <v>380601.55</v>
      </c>
      <c r="H212" s="15">
        <v>298988.52</v>
      </c>
      <c r="I212" s="15">
        <v>236993.88</v>
      </c>
      <c r="J212" s="15">
        <v>299257.46000000002</v>
      </c>
      <c r="K212" s="15">
        <v>265465.56</v>
      </c>
      <c r="L212" s="15">
        <v>322826.07</v>
      </c>
      <c r="M212" s="15">
        <v>270009.52</v>
      </c>
      <c r="N212" s="15">
        <v>300707.96999999997</v>
      </c>
      <c r="O212" s="15">
        <v>173250.6</v>
      </c>
      <c r="P212" s="15">
        <v>55698.51</v>
      </c>
      <c r="Q212" s="15">
        <v>208140.37</v>
      </c>
      <c r="R212" s="15">
        <v>175834.97</v>
      </c>
      <c r="S212" s="15">
        <v>65022.07</v>
      </c>
      <c r="T212" s="15">
        <v>114659.5</v>
      </c>
      <c r="U212" s="15">
        <v>163361</v>
      </c>
      <c r="V212" s="15">
        <v>48636.98</v>
      </c>
      <c r="W212" s="15">
        <v>40972.1</v>
      </c>
      <c r="X212" s="15">
        <v>51826.9</v>
      </c>
      <c r="Y212" s="15">
        <v>92749.32</v>
      </c>
    </row>
    <row r="213" spans="3:25" ht="15" customHeight="1" x14ac:dyDescent="0.3">
      <c r="C213" s="15" t="s">
        <v>302</v>
      </c>
      <c r="D213" s="15">
        <v>0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</row>
    <row r="214" spans="3:25" ht="15" customHeight="1" x14ac:dyDescent="0.3">
      <c r="C214" s="15" t="s">
        <v>303</v>
      </c>
      <c r="D214" s="15">
        <v>14</v>
      </c>
      <c r="E214" s="15">
        <v>0</v>
      </c>
      <c r="F214" s="15">
        <v>0</v>
      </c>
      <c r="G214" s="15">
        <v>0</v>
      </c>
      <c r="H214" s="15">
        <v>0</v>
      </c>
      <c r="I214" s="15">
        <v>100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72.5</v>
      </c>
      <c r="T214" s="15">
        <v>0</v>
      </c>
      <c r="U214" s="15">
        <v>0</v>
      </c>
      <c r="V214" s="15">
        <v>0</v>
      </c>
      <c r="W214" s="15">
        <v>0</v>
      </c>
      <c r="X214" s="15">
        <v>70.3</v>
      </c>
      <c r="Y214" s="15">
        <v>42.89</v>
      </c>
    </row>
    <row r="215" spans="3:25" ht="15" customHeight="1" x14ac:dyDescent="0.3">
      <c r="C215" s="15" t="s">
        <v>304</v>
      </c>
      <c r="D215" s="15">
        <v>86583.54</v>
      </c>
      <c r="E215" s="15">
        <v>2748.9</v>
      </c>
      <c r="F215" s="15">
        <v>13793.94</v>
      </c>
      <c r="G215" s="15">
        <v>116440.75</v>
      </c>
      <c r="H215" s="15">
        <v>16026.09</v>
      </c>
      <c r="I215" s="15">
        <v>19127.8</v>
      </c>
      <c r="J215" s="15">
        <v>18388.2</v>
      </c>
      <c r="K215" s="15">
        <v>9975.18</v>
      </c>
      <c r="L215" s="15">
        <v>10160.4</v>
      </c>
      <c r="M215" s="15">
        <v>10952.9</v>
      </c>
      <c r="N215" s="15">
        <v>23996.3</v>
      </c>
      <c r="O215" s="15">
        <v>2207.0500000000002</v>
      </c>
      <c r="P215" s="15">
        <v>1526.04</v>
      </c>
      <c r="Q215" s="15">
        <v>21756.2</v>
      </c>
      <c r="R215" s="15">
        <v>8256.9</v>
      </c>
      <c r="S215" s="15">
        <v>8559.35</v>
      </c>
      <c r="T215" s="15">
        <v>4558.76</v>
      </c>
      <c r="U215" s="15">
        <v>7823.76</v>
      </c>
      <c r="V215" s="15">
        <v>6081.32</v>
      </c>
      <c r="W215" s="15">
        <v>8089</v>
      </c>
      <c r="X215" s="15">
        <v>38930.26</v>
      </c>
      <c r="Y215" s="15">
        <v>1374.4</v>
      </c>
    </row>
    <row r="216" spans="3:25" ht="15" customHeight="1" x14ac:dyDescent="0.3">
      <c r="C216" s="15" t="s">
        <v>305</v>
      </c>
      <c r="D216" s="15">
        <v>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3847</v>
      </c>
      <c r="Q216" s="15">
        <v>0</v>
      </c>
      <c r="R216" s="15">
        <v>200</v>
      </c>
      <c r="S216" s="15">
        <v>3048</v>
      </c>
      <c r="T216" s="15">
        <v>0</v>
      </c>
      <c r="U216" s="15">
        <v>0</v>
      </c>
      <c r="V216" s="15">
        <v>5771</v>
      </c>
      <c r="W216" s="15">
        <v>1741</v>
      </c>
      <c r="X216" s="15">
        <v>2527</v>
      </c>
      <c r="Y216" s="15">
        <v>0</v>
      </c>
    </row>
    <row r="217" spans="3:25" ht="15" customHeight="1" x14ac:dyDescent="0.3">
      <c r="C217" s="15" t="s">
        <v>306</v>
      </c>
      <c r="D217" s="15">
        <v>100</v>
      </c>
      <c r="E217" s="15">
        <v>302.10000000000002</v>
      </c>
      <c r="F217" s="15">
        <v>4194.1499999999996</v>
      </c>
      <c r="G217" s="15">
        <v>1158.7</v>
      </c>
      <c r="H217" s="15">
        <v>23621.94</v>
      </c>
      <c r="I217" s="15">
        <v>11105.91</v>
      </c>
      <c r="J217" s="15">
        <v>18124.7</v>
      </c>
      <c r="K217" s="15">
        <v>14962.4</v>
      </c>
      <c r="L217" s="15">
        <v>2216.8000000000002</v>
      </c>
      <c r="M217" s="15">
        <v>10023.790000000001</v>
      </c>
      <c r="N217" s="15">
        <v>9370.24</v>
      </c>
      <c r="O217" s="15">
        <v>7615.6</v>
      </c>
      <c r="P217" s="15">
        <v>141632.94</v>
      </c>
      <c r="Q217" s="15">
        <v>252.1</v>
      </c>
      <c r="R217" s="15">
        <v>16510.099999999999</v>
      </c>
      <c r="S217" s="15">
        <v>96786.5</v>
      </c>
      <c r="T217" s="15">
        <v>55462.6</v>
      </c>
      <c r="U217" s="15">
        <v>80271.55</v>
      </c>
      <c r="V217" s="15">
        <v>149433.01999999999</v>
      </c>
      <c r="W217" s="15">
        <v>45421.38</v>
      </c>
      <c r="X217" s="15">
        <v>155388.29</v>
      </c>
      <c r="Y217" s="15">
        <v>64113.120000000003</v>
      </c>
    </row>
    <row r="218" spans="3:25" ht="15" customHeight="1" x14ac:dyDescent="0.3">
      <c r="C218" s="15" t="s">
        <v>307</v>
      </c>
      <c r="D218" s="15">
        <v>259.02</v>
      </c>
      <c r="E218" s="15">
        <v>2992.1</v>
      </c>
      <c r="F218" s="15">
        <v>2318</v>
      </c>
      <c r="G218" s="15">
        <v>1684.49</v>
      </c>
      <c r="H218" s="15">
        <v>4919.1499999999996</v>
      </c>
      <c r="I218" s="15">
        <v>12131.28</v>
      </c>
      <c r="J218" s="15">
        <v>2241.98</v>
      </c>
      <c r="K218" s="15">
        <v>7317.29</v>
      </c>
      <c r="L218" s="15">
        <v>5178.75</v>
      </c>
      <c r="M218" s="15">
        <v>1655.22</v>
      </c>
      <c r="N218" s="15">
        <v>2850.38</v>
      </c>
      <c r="O218" s="15">
        <v>3962</v>
      </c>
      <c r="P218" s="15">
        <v>19746.2</v>
      </c>
      <c r="Q218" s="15">
        <v>271.31</v>
      </c>
      <c r="R218" s="15">
        <v>2488</v>
      </c>
      <c r="S218" s="15">
        <v>48596.63</v>
      </c>
      <c r="T218" s="15">
        <v>2198</v>
      </c>
      <c r="U218" s="15">
        <v>97</v>
      </c>
      <c r="V218" s="15">
        <v>22886.86</v>
      </c>
      <c r="W218" s="15">
        <v>33975.75</v>
      </c>
      <c r="X218" s="15">
        <v>18746.78</v>
      </c>
      <c r="Y218" s="15">
        <v>24932.53</v>
      </c>
    </row>
    <row r="219" spans="3:25" ht="15" customHeight="1" x14ac:dyDescent="0.3">
      <c r="C219" s="15" t="s">
        <v>308</v>
      </c>
      <c r="D219" s="15">
        <v>677200.95</v>
      </c>
      <c r="E219" s="15">
        <v>540984.71</v>
      </c>
      <c r="F219" s="15">
        <v>589663.35</v>
      </c>
      <c r="G219" s="15">
        <v>728069.42</v>
      </c>
      <c r="H219" s="15">
        <v>695250.39</v>
      </c>
      <c r="I219" s="15">
        <v>559954.37</v>
      </c>
      <c r="J219" s="15">
        <v>616380.26</v>
      </c>
      <c r="K219" s="15">
        <v>674743.71</v>
      </c>
      <c r="L219" s="15">
        <v>561604.43000000005</v>
      </c>
      <c r="M219" s="15">
        <v>528998.40000000002</v>
      </c>
      <c r="N219" s="15">
        <v>538153.37</v>
      </c>
      <c r="O219" s="15">
        <v>308574.8</v>
      </c>
      <c r="P219" s="15">
        <v>690914.56</v>
      </c>
      <c r="Q219" s="15">
        <v>348225.73</v>
      </c>
      <c r="R219" s="15">
        <v>333175.15000000002</v>
      </c>
      <c r="S219" s="15">
        <v>703380.49</v>
      </c>
      <c r="T219" s="15">
        <v>460190.67</v>
      </c>
      <c r="U219" s="15">
        <v>382818.61</v>
      </c>
      <c r="V219" s="15">
        <v>521681.98</v>
      </c>
      <c r="W219" s="15">
        <v>592537.18999999994</v>
      </c>
      <c r="X219" s="15">
        <v>585369.39</v>
      </c>
      <c r="Y219" s="15">
        <v>463214.82</v>
      </c>
    </row>
    <row r="220" spans="3:25" ht="15" customHeight="1" x14ac:dyDescent="0.3">
      <c r="C220" s="15" t="s">
        <v>309</v>
      </c>
      <c r="D220" s="15">
        <v>-2003429.41</v>
      </c>
      <c r="E220" s="15">
        <v>432067.69</v>
      </c>
      <c r="F220" s="15">
        <v>469109.34</v>
      </c>
      <c r="G220" s="15">
        <v>626568.06000000006</v>
      </c>
      <c r="H220" s="15">
        <v>582971.56999999995</v>
      </c>
      <c r="I220" s="15">
        <v>476254.1</v>
      </c>
      <c r="J220" s="15">
        <v>512964.49</v>
      </c>
      <c r="K220" s="15">
        <v>566559.77</v>
      </c>
      <c r="L220" s="15">
        <v>461134.37</v>
      </c>
      <c r="M220" s="15">
        <v>447689.24</v>
      </c>
      <c r="N220" s="15">
        <v>413993.98</v>
      </c>
      <c r="O220" s="15">
        <v>242977.96</v>
      </c>
      <c r="P220" s="15">
        <v>601237.59</v>
      </c>
      <c r="Q220" s="15">
        <v>164876.79</v>
      </c>
      <c r="R220" s="15">
        <v>278272.09000000003</v>
      </c>
      <c r="S220" s="15">
        <v>617625.29</v>
      </c>
      <c r="T220" s="15">
        <v>374663.43</v>
      </c>
      <c r="U220" s="15">
        <v>313295.06</v>
      </c>
      <c r="V220" s="15">
        <v>465289.91</v>
      </c>
      <c r="W220" s="15">
        <v>501988.46</v>
      </c>
      <c r="X220" s="15">
        <v>504595.23</v>
      </c>
      <c r="Y220" s="15">
        <v>400275.56</v>
      </c>
    </row>
    <row r="221" spans="3:25" ht="15" customHeight="1" x14ac:dyDescent="0.3">
      <c r="C221" s="15" t="s">
        <v>310</v>
      </c>
      <c r="D221" s="15">
        <v>1171.5</v>
      </c>
      <c r="E221" s="15">
        <v>610</v>
      </c>
      <c r="F221" s="15">
        <v>1303</v>
      </c>
      <c r="G221" s="15">
        <v>1844.2</v>
      </c>
      <c r="H221" s="15">
        <v>3226.94</v>
      </c>
      <c r="I221" s="15">
        <v>1700</v>
      </c>
      <c r="J221" s="15">
        <v>1713</v>
      </c>
      <c r="K221" s="15">
        <v>2573</v>
      </c>
      <c r="L221" s="15">
        <v>1361.1</v>
      </c>
      <c r="M221" s="15">
        <v>1238.0999999999999</v>
      </c>
      <c r="N221" s="15">
        <v>2456.0700000000002</v>
      </c>
      <c r="O221" s="15">
        <v>2400</v>
      </c>
      <c r="P221" s="15">
        <v>3388</v>
      </c>
      <c r="Q221" s="15">
        <v>3431</v>
      </c>
      <c r="R221" s="15">
        <v>1750</v>
      </c>
      <c r="S221" s="15">
        <v>3690</v>
      </c>
      <c r="T221" s="15">
        <v>3707</v>
      </c>
      <c r="U221" s="15">
        <v>2120</v>
      </c>
      <c r="V221" s="15">
        <v>3595</v>
      </c>
      <c r="W221" s="15">
        <v>1965</v>
      </c>
      <c r="X221" s="15">
        <v>9550</v>
      </c>
      <c r="Y221" s="15">
        <v>3343</v>
      </c>
    </row>
    <row r="222" spans="3:25" ht="15" customHeight="1" x14ac:dyDescent="0.3">
      <c r="C222" s="15" t="s">
        <v>311</v>
      </c>
      <c r="D222" s="15">
        <v>21764</v>
      </c>
      <c r="E222" s="15">
        <v>29018</v>
      </c>
      <c r="F222" s="15">
        <v>40338</v>
      </c>
      <c r="G222" s="15">
        <v>34307</v>
      </c>
      <c r="H222" s="15">
        <v>46743</v>
      </c>
      <c r="I222" s="15">
        <v>48235</v>
      </c>
      <c r="J222" s="15">
        <v>74013</v>
      </c>
      <c r="K222" s="15">
        <v>69367</v>
      </c>
      <c r="L222" s="15">
        <v>34142</v>
      </c>
      <c r="M222" s="15">
        <v>45717</v>
      </c>
      <c r="N222" s="15">
        <v>31910</v>
      </c>
      <c r="O222" s="15">
        <v>100</v>
      </c>
      <c r="P222" s="15">
        <v>100</v>
      </c>
      <c r="Q222" s="15">
        <v>100</v>
      </c>
      <c r="R222" s="15">
        <v>100</v>
      </c>
      <c r="S222" s="15">
        <v>100</v>
      </c>
      <c r="T222" s="15">
        <v>100</v>
      </c>
      <c r="U222" s="15">
        <v>100</v>
      </c>
      <c r="V222" s="15">
        <v>100</v>
      </c>
      <c r="W222" s="15">
        <v>100</v>
      </c>
      <c r="X222" s="15">
        <v>100</v>
      </c>
      <c r="Y222" s="15">
        <v>100</v>
      </c>
    </row>
    <row r="223" spans="3:25" ht="15" customHeight="1" x14ac:dyDescent="0.3">
      <c r="C223" s="15" t="s">
        <v>312</v>
      </c>
      <c r="D223" s="15">
        <v>7829.4</v>
      </c>
      <c r="E223" s="15">
        <v>1337</v>
      </c>
      <c r="F223" s="15">
        <v>12091.94</v>
      </c>
      <c r="G223" s="15">
        <v>40308.29</v>
      </c>
      <c r="H223" s="15">
        <v>10543.56</v>
      </c>
      <c r="I223" s="15">
        <v>16867.2</v>
      </c>
      <c r="J223" s="15">
        <v>12313</v>
      </c>
      <c r="K223" s="15">
        <v>8819.8799999999992</v>
      </c>
      <c r="L223" s="15">
        <v>9578</v>
      </c>
      <c r="M223" s="15">
        <v>8739</v>
      </c>
      <c r="N223" s="15">
        <v>10143.9</v>
      </c>
      <c r="O223" s="15">
        <v>2207.0500000000002</v>
      </c>
      <c r="P223" s="15">
        <v>1526.04</v>
      </c>
      <c r="Q223" s="15">
        <v>21756.2</v>
      </c>
      <c r="R223" s="15">
        <v>8256.91</v>
      </c>
      <c r="S223" s="15">
        <v>8559.35</v>
      </c>
      <c r="T223" s="15">
        <v>4558.76</v>
      </c>
      <c r="U223" s="15">
        <v>7823.76</v>
      </c>
      <c r="V223" s="15">
        <v>6081.32</v>
      </c>
      <c r="W223" s="15">
        <v>8089</v>
      </c>
      <c r="X223" s="15">
        <v>38930.25</v>
      </c>
      <c r="Y223" s="15">
        <v>1374.4</v>
      </c>
    </row>
    <row r="224" spans="3:25" ht="15" customHeight="1" x14ac:dyDescent="0.3">
      <c r="C224" s="15" t="s">
        <v>313</v>
      </c>
      <c r="D224" s="15">
        <v>-1696735.52</v>
      </c>
      <c r="E224" s="15">
        <v>512916.79</v>
      </c>
      <c r="F224" s="15">
        <v>556554.02</v>
      </c>
      <c r="G224" s="15">
        <v>699079.59</v>
      </c>
      <c r="H224" s="15">
        <v>659988.68999999994</v>
      </c>
      <c r="I224" s="15">
        <v>536702.66</v>
      </c>
      <c r="J224" s="15">
        <v>585243.01</v>
      </c>
      <c r="K224" s="15">
        <v>632664.46</v>
      </c>
      <c r="L224" s="15">
        <v>530908.92000000004</v>
      </c>
      <c r="M224" s="15">
        <v>510108.18</v>
      </c>
      <c r="N224" s="15">
        <v>506504.37</v>
      </c>
      <c r="O224" s="15">
        <v>288992.14</v>
      </c>
      <c r="P224" s="15">
        <v>655689.06999999995</v>
      </c>
      <c r="Q224" s="15">
        <v>327165.52</v>
      </c>
      <c r="R224" s="15">
        <v>321366.7</v>
      </c>
      <c r="S224" s="15">
        <v>666066.03</v>
      </c>
      <c r="T224" s="15">
        <v>439039.39</v>
      </c>
      <c r="U224" s="15">
        <v>363637.05</v>
      </c>
      <c r="V224" s="15">
        <v>498765.15</v>
      </c>
      <c r="W224" s="15">
        <v>566452.87</v>
      </c>
      <c r="X224" s="15">
        <v>560862.9</v>
      </c>
      <c r="Y224" s="15">
        <v>442861.82</v>
      </c>
    </row>
    <row r="225" spans="3:25" ht="15" customHeight="1" x14ac:dyDescent="0.3">
      <c r="C225" s="15" t="s">
        <v>314</v>
      </c>
      <c r="D225" s="15">
        <v>843.5</v>
      </c>
      <c r="E225" s="15">
        <v>1044.2</v>
      </c>
      <c r="F225" s="15">
        <v>4691.7</v>
      </c>
      <c r="G225" s="15">
        <v>2614.4</v>
      </c>
      <c r="H225" s="15">
        <v>3778.97</v>
      </c>
      <c r="I225" s="15">
        <v>2891.2</v>
      </c>
      <c r="J225" s="15">
        <v>541.41</v>
      </c>
      <c r="K225" s="15">
        <v>6806.1</v>
      </c>
      <c r="L225" s="15">
        <v>3766.66</v>
      </c>
      <c r="M225" s="15">
        <v>607</v>
      </c>
      <c r="N225" s="15">
        <v>4338.91</v>
      </c>
      <c r="O225" s="15">
        <v>0</v>
      </c>
      <c r="P225" s="15">
        <v>169</v>
      </c>
      <c r="Q225" s="15">
        <v>0</v>
      </c>
      <c r="R225" s="15">
        <v>0</v>
      </c>
      <c r="S225" s="15">
        <v>70</v>
      </c>
      <c r="T225" s="15">
        <v>0</v>
      </c>
      <c r="U225" s="15">
        <v>0</v>
      </c>
      <c r="V225" s="15">
        <v>1669.5</v>
      </c>
      <c r="W225" s="15">
        <v>2545</v>
      </c>
      <c r="X225" s="15">
        <v>1672.5</v>
      </c>
      <c r="Y225" s="15">
        <v>1195</v>
      </c>
    </row>
    <row r="226" spans="3:25" ht="15" customHeight="1" x14ac:dyDescent="0.3">
      <c r="C226" s="15" t="s">
        <v>315</v>
      </c>
      <c r="D226" s="15">
        <v>231</v>
      </c>
      <c r="E226" s="15">
        <v>735.1</v>
      </c>
      <c r="F226" s="15">
        <v>5806.15</v>
      </c>
      <c r="G226" s="15">
        <v>3676.5</v>
      </c>
      <c r="H226" s="15">
        <v>42596.22</v>
      </c>
      <c r="I226" s="15">
        <v>16043.99</v>
      </c>
      <c r="J226" s="15">
        <v>52446.34</v>
      </c>
      <c r="K226" s="15">
        <v>33254.300000000003</v>
      </c>
      <c r="L226" s="15">
        <v>3205.3</v>
      </c>
      <c r="M226" s="15">
        <v>14212.29</v>
      </c>
      <c r="N226" s="15">
        <v>11130.04</v>
      </c>
      <c r="O226" s="15">
        <v>7615.6</v>
      </c>
      <c r="P226" s="15">
        <v>146049.44</v>
      </c>
      <c r="Q226" s="15">
        <v>287.5</v>
      </c>
      <c r="R226" s="15">
        <v>16510.099999999999</v>
      </c>
      <c r="S226" s="15">
        <v>96786.5</v>
      </c>
      <c r="T226" s="15">
        <v>55462.6</v>
      </c>
      <c r="U226" s="15">
        <v>80612.55</v>
      </c>
      <c r="V226" s="15">
        <v>149875.01999999999</v>
      </c>
      <c r="W226" s="15">
        <v>45421.38</v>
      </c>
      <c r="X226" s="15">
        <v>156088.29</v>
      </c>
      <c r="Y226" s="15">
        <v>64113.120000000003</v>
      </c>
    </row>
    <row r="227" spans="3:25" ht="15" customHeight="1" x14ac:dyDescent="0.3">
      <c r="C227" s="15" t="s">
        <v>316</v>
      </c>
      <c r="D227" s="15">
        <v>5762.7</v>
      </c>
      <c r="E227" s="15">
        <v>51909.18</v>
      </c>
      <c r="F227" s="15">
        <v>66757.2</v>
      </c>
      <c r="G227" s="15">
        <v>30791.61</v>
      </c>
      <c r="H227" s="15">
        <v>79361.460000000006</v>
      </c>
      <c r="I227" s="15">
        <v>63406.92</v>
      </c>
      <c r="J227" s="15">
        <v>59253.3</v>
      </c>
      <c r="K227" s="15">
        <v>58707.9</v>
      </c>
      <c r="L227" s="15">
        <v>74727.45</v>
      </c>
      <c r="M227" s="15">
        <v>64056.4</v>
      </c>
      <c r="N227" s="15">
        <v>66704.759999999995</v>
      </c>
      <c r="O227" s="15">
        <v>21532</v>
      </c>
      <c r="P227" s="15">
        <v>58033.51</v>
      </c>
      <c r="Q227" s="15">
        <v>18849.3</v>
      </c>
      <c r="R227" s="15">
        <v>22502.5</v>
      </c>
      <c r="S227" s="15">
        <v>61329</v>
      </c>
      <c r="T227" s="15">
        <v>60033.7</v>
      </c>
      <c r="U227" s="15">
        <v>32376.7</v>
      </c>
      <c r="V227" s="15">
        <v>46408.05</v>
      </c>
      <c r="W227" s="15">
        <v>59423.3</v>
      </c>
      <c r="X227" s="15">
        <v>44332</v>
      </c>
      <c r="Y227" s="15">
        <v>64979.6</v>
      </c>
    </row>
    <row r="228" spans="3:25" ht="15" customHeight="1" x14ac:dyDescent="0.3">
      <c r="C228" s="15" t="s">
        <v>317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30</v>
      </c>
      <c r="W228" s="15">
        <v>0</v>
      </c>
      <c r="X228" s="15">
        <v>0</v>
      </c>
      <c r="Y228" s="15">
        <v>0</v>
      </c>
    </row>
    <row r="229" spans="3:25" ht="15" customHeight="1" x14ac:dyDescent="0.3">
      <c r="C229" s="15" t="s">
        <v>318</v>
      </c>
      <c r="D229" s="15">
        <v>9522.08</v>
      </c>
      <c r="E229" s="15">
        <v>3337.71</v>
      </c>
      <c r="F229" s="15">
        <v>1545.04</v>
      </c>
      <c r="G229" s="15">
        <v>520.71</v>
      </c>
      <c r="H229" s="15">
        <v>1053.06</v>
      </c>
      <c r="I229" s="15">
        <v>2052.7399999999998</v>
      </c>
      <c r="J229" s="15">
        <v>210.26</v>
      </c>
      <c r="K229" s="15">
        <v>204.7</v>
      </c>
      <c r="L229" s="15">
        <v>204.7</v>
      </c>
      <c r="M229" s="15">
        <v>936.43</v>
      </c>
      <c r="N229" s="15">
        <v>0</v>
      </c>
      <c r="O229" s="15">
        <v>0</v>
      </c>
      <c r="P229" s="15">
        <v>1325.2</v>
      </c>
      <c r="Q229" s="15">
        <v>2725.39</v>
      </c>
      <c r="R229" s="15">
        <v>218.42</v>
      </c>
      <c r="S229" s="15">
        <v>209.4</v>
      </c>
      <c r="T229" s="15">
        <v>338.43</v>
      </c>
      <c r="U229" s="15">
        <v>314.95999999999998</v>
      </c>
      <c r="V229" s="15">
        <v>342.77</v>
      </c>
      <c r="W229" s="15">
        <v>111.31</v>
      </c>
      <c r="X229" s="15">
        <v>1166.3800000000001</v>
      </c>
      <c r="Y229" s="15">
        <v>675.76</v>
      </c>
    </row>
    <row r="230" spans="3:25" ht="15" customHeight="1" x14ac:dyDescent="0.3">
      <c r="C230" s="15" t="s">
        <v>319</v>
      </c>
      <c r="D230" s="15">
        <v>10761.19</v>
      </c>
      <c r="E230" s="15">
        <v>16616.68</v>
      </c>
      <c r="F230" s="15">
        <v>12029.31</v>
      </c>
      <c r="G230" s="15">
        <v>15068.72</v>
      </c>
      <c r="H230" s="15">
        <v>13418.05</v>
      </c>
      <c r="I230" s="15">
        <v>22105.82</v>
      </c>
      <c r="J230" s="15">
        <v>11015.07</v>
      </c>
      <c r="K230" s="15">
        <v>11617.26</v>
      </c>
      <c r="L230" s="15">
        <v>23587.85</v>
      </c>
      <c r="M230" s="15">
        <v>12857.52</v>
      </c>
      <c r="N230" s="15">
        <v>16682.14</v>
      </c>
      <c r="O230" s="15">
        <v>11648.3</v>
      </c>
      <c r="P230" s="15">
        <v>15358.35</v>
      </c>
      <c r="Q230" s="15">
        <v>11442.13</v>
      </c>
      <c r="R230" s="15">
        <v>12301.2</v>
      </c>
      <c r="S230" s="15">
        <v>3724.36</v>
      </c>
      <c r="T230" s="15">
        <v>15510.41</v>
      </c>
      <c r="U230" s="15">
        <v>25387.31</v>
      </c>
      <c r="V230" s="15">
        <v>8409.24</v>
      </c>
      <c r="W230" s="15">
        <v>15431.78</v>
      </c>
      <c r="X230" s="15">
        <v>7172.89</v>
      </c>
      <c r="Y230" s="15">
        <v>9169.82</v>
      </c>
    </row>
    <row r="231" spans="3:25" ht="15" customHeight="1" x14ac:dyDescent="0.3">
      <c r="C231" s="15" t="s">
        <v>320</v>
      </c>
      <c r="D231" s="15">
        <v>1650</v>
      </c>
      <c r="E231" s="15">
        <v>848.55</v>
      </c>
      <c r="F231" s="15">
        <v>808.24</v>
      </c>
      <c r="G231" s="15">
        <v>76</v>
      </c>
      <c r="H231" s="15">
        <v>786</v>
      </c>
      <c r="I231" s="15">
        <v>1158.93</v>
      </c>
      <c r="J231" s="15">
        <v>1553.95</v>
      </c>
      <c r="K231" s="15">
        <v>857</v>
      </c>
      <c r="L231" s="15">
        <v>407</v>
      </c>
      <c r="M231" s="15">
        <v>370</v>
      </c>
      <c r="N231" s="15">
        <v>114</v>
      </c>
      <c r="O231" s="15">
        <v>582.5</v>
      </c>
      <c r="P231" s="15">
        <v>258</v>
      </c>
      <c r="Q231" s="15">
        <v>168</v>
      </c>
      <c r="R231" s="15">
        <v>636.89</v>
      </c>
      <c r="S231" s="15">
        <v>159.05000000000001</v>
      </c>
      <c r="T231" s="15">
        <v>0</v>
      </c>
      <c r="U231" s="15">
        <v>371.1</v>
      </c>
      <c r="V231" s="15">
        <v>87.4</v>
      </c>
      <c r="W231" s="15">
        <v>257.5</v>
      </c>
      <c r="X231" s="15">
        <v>347.5</v>
      </c>
      <c r="Y231" s="15">
        <v>324</v>
      </c>
    </row>
    <row r="232" spans="3:25" ht="15" customHeight="1" x14ac:dyDescent="0.3">
      <c r="C232" s="15" t="s">
        <v>321</v>
      </c>
      <c r="D232" s="15">
        <v>0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6.97</v>
      </c>
      <c r="M232" s="15">
        <v>0</v>
      </c>
      <c r="N232" s="15">
        <v>0</v>
      </c>
      <c r="O232" s="15">
        <v>0</v>
      </c>
      <c r="P232" s="15">
        <v>319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80</v>
      </c>
      <c r="W232" s="15">
        <v>4193</v>
      </c>
      <c r="X232" s="15">
        <v>0</v>
      </c>
      <c r="Y232" s="15">
        <v>0</v>
      </c>
    </row>
    <row r="233" spans="3:25" ht="15" customHeight="1" x14ac:dyDescent="0.3">
      <c r="C233" s="15" t="s">
        <v>322</v>
      </c>
      <c r="D233" s="15">
        <v>10978.82</v>
      </c>
      <c r="E233" s="15">
        <v>82766.84</v>
      </c>
      <c r="F233" s="15">
        <v>78091.55</v>
      </c>
      <c r="G233" s="15">
        <v>46368.52</v>
      </c>
      <c r="H233" s="15">
        <v>119408.78</v>
      </c>
      <c r="I233" s="15">
        <v>85988.64</v>
      </c>
      <c r="J233" s="15">
        <v>60567.51</v>
      </c>
      <c r="K233" s="15">
        <v>98681.47</v>
      </c>
      <c r="L233" s="15">
        <v>65789.740000000005</v>
      </c>
      <c r="M233" s="15">
        <v>81198.69</v>
      </c>
      <c r="N233" s="15">
        <v>65025.34</v>
      </c>
      <c r="O233" s="15">
        <v>32739.85</v>
      </c>
      <c r="P233" s="15">
        <v>106787.5</v>
      </c>
      <c r="Q233" s="15">
        <v>22896.77</v>
      </c>
      <c r="R233" s="15">
        <v>19743.7</v>
      </c>
      <c r="S233" s="15">
        <v>132259.94</v>
      </c>
      <c r="T233" s="15">
        <v>66896.240000000005</v>
      </c>
      <c r="U233" s="15">
        <v>32561.5</v>
      </c>
      <c r="V233" s="15">
        <v>81461.649999999994</v>
      </c>
      <c r="W233" s="15">
        <v>53632.44</v>
      </c>
      <c r="X233" s="15">
        <v>56843.15</v>
      </c>
      <c r="Y233" s="15">
        <v>84066.32</v>
      </c>
    </row>
    <row r="234" spans="3:25" ht="15" customHeight="1" x14ac:dyDescent="0.3">
      <c r="C234" s="15" t="s">
        <v>323</v>
      </c>
      <c r="D234" s="15">
        <v>3038.4</v>
      </c>
      <c r="E234" s="15">
        <v>0</v>
      </c>
      <c r="F234" s="15">
        <v>5105.7</v>
      </c>
      <c r="G234" s="15">
        <v>1373.6</v>
      </c>
      <c r="H234" s="15">
        <v>290</v>
      </c>
      <c r="I234" s="15">
        <v>1938.3</v>
      </c>
      <c r="J234" s="15">
        <v>285.8</v>
      </c>
      <c r="K234" s="15">
        <v>1735</v>
      </c>
      <c r="L234" s="15">
        <v>2904.1</v>
      </c>
      <c r="M234" s="15">
        <v>1290.4000000000001</v>
      </c>
      <c r="N234" s="15">
        <v>0</v>
      </c>
      <c r="O234" s="15">
        <v>710.4</v>
      </c>
      <c r="P234" s="15">
        <v>0</v>
      </c>
      <c r="Q234" s="15">
        <v>2937.6</v>
      </c>
      <c r="R234" s="15">
        <v>0</v>
      </c>
      <c r="S234" s="15">
        <v>3810.6</v>
      </c>
      <c r="T234" s="15">
        <v>10375.450000000001</v>
      </c>
      <c r="U234" s="15">
        <v>2416.5</v>
      </c>
      <c r="V234" s="15">
        <v>6239.8</v>
      </c>
      <c r="W234" s="15">
        <v>3892.6</v>
      </c>
      <c r="X234" s="15">
        <v>14853.2</v>
      </c>
      <c r="Y234" s="15">
        <v>0</v>
      </c>
    </row>
    <row r="235" spans="3:25" ht="15" customHeight="1" x14ac:dyDescent="0.3">
      <c r="C235" s="15" t="s">
        <v>324</v>
      </c>
      <c r="D235" s="15">
        <v>0</v>
      </c>
      <c r="E235" s="15">
        <v>0</v>
      </c>
      <c r="F235" s="15">
        <v>0</v>
      </c>
      <c r="G235" s="15">
        <v>0</v>
      </c>
      <c r="H235" s="15">
        <v>0</v>
      </c>
      <c r="I235" s="15">
        <v>69.8</v>
      </c>
      <c r="J235" s="15">
        <v>0</v>
      </c>
      <c r="K235" s="15">
        <v>99.4</v>
      </c>
      <c r="L235" s="15">
        <v>0</v>
      </c>
      <c r="M235" s="15">
        <v>25</v>
      </c>
      <c r="N235" s="15">
        <v>0</v>
      </c>
      <c r="O235" s="15">
        <v>0</v>
      </c>
      <c r="P235" s="15">
        <v>2962.6</v>
      </c>
      <c r="Q235" s="15">
        <v>0</v>
      </c>
      <c r="R235" s="15">
        <v>0</v>
      </c>
      <c r="S235" s="15">
        <v>1333.9</v>
      </c>
      <c r="T235" s="15">
        <v>576</v>
      </c>
      <c r="U235" s="15">
        <v>0</v>
      </c>
      <c r="V235" s="15">
        <v>936</v>
      </c>
      <c r="W235" s="15">
        <v>2324.0700000000002</v>
      </c>
      <c r="X235" s="15">
        <v>2269.4</v>
      </c>
      <c r="Y235" s="15">
        <v>342.5</v>
      </c>
    </row>
    <row r="236" spans="3:25" ht="15" customHeight="1" x14ac:dyDescent="0.3">
      <c r="C236" s="15" t="s">
        <v>325</v>
      </c>
      <c r="D236" s="15">
        <v>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1475</v>
      </c>
      <c r="K236" s="15">
        <v>0</v>
      </c>
      <c r="L236" s="15">
        <v>0</v>
      </c>
      <c r="M236" s="15">
        <v>0</v>
      </c>
      <c r="N236" s="15">
        <v>1000</v>
      </c>
      <c r="O236" s="15">
        <v>0</v>
      </c>
      <c r="P236" s="15">
        <v>106</v>
      </c>
      <c r="Q236" s="15">
        <v>0</v>
      </c>
      <c r="R236" s="15">
        <v>0</v>
      </c>
      <c r="S236" s="15">
        <v>0</v>
      </c>
      <c r="T236" s="15">
        <v>0</v>
      </c>
      <c r="U236" s="15">
        <v>533</v>
      </c>
      <c r="V236" s="15">
        <v>2000</v>
      </c>
      <c r="W236" s="15">
        <v>0</v>
      </c>
      <c r="X236" s="15">
        <v>1990</v>
      </c>
      <c r="Y236" s="15">
        <v>0</v>
      </c>
    </row>
    <row r="237" spans="3:25" ht="15" customHeight="1" x14ac:dyDescent="0.3">
      <c r="C237" s="15" t="s">
        <v>326</v>
      </c>
      <c r="D237" s="15">
        <v>0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8</v>
      </c>
      <c r="X237" s="15">
        <v>0</v>
      </c>
      <c r="Y237" s="15">
        <v>0</v>
      </c>
    </row>
    <row r="238" spans="3:25" ht="15" customHeight="1" x14ac:dyDescent="0.3">
      <c r="C238" s="15" t="s">
        <v>327</v>
      </c>
      <c r="D238" s="15">
        <v>0</v>
      </c>
      <c r="E238" s="15">
        <v>0</v>
      </c>
      <c r="F238" s="15">
        <v>0</v>
      </c>
      <c r="G238" s="15">
        <v>0</v>
      </c>
      <c r="H238" s="15">
        <v>0</v>
      </c>
      <c r="I238" s="15">
        <v>15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30</v>
      </c>
      <c r="W238" s="15">
        <v>0</v>
      </c>
      <c r="X238" s="15">
        <v>0</v>
      </c>
      <c r="Y238" s="15">
        <v>0</v>
      </c>
    </row>
    <row r="239" spans="3:25" ht="15" customHeight="1" x14ac:dyDescent="0.3">
      <c r="C239" s="15" t="s">
        <v>328</v>
      </c>
      <c r="D239" s="15">
        <v>0</v>
      </c>
      <c r="E239" s="15">
        <v>0</v>
      </c>
      <c r="F239" s="15">
        <v>49.95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</row>
    <row r="240" spans="3:25" ht="15" customHeight="1" x14ac:dyDescent="0.3">
      <c r="C240" s="15" t="s">
        <v>329</v>
      </c>
      <c r="D240" s="15">
        <v>349</v>
      </c>
      <c r="E240" s="15">
        <v>1360.81</v>
      </c>
      <c r="F240" s="15">
        <v>2108.1999999999998</v>
      </c>
      <c r="G240" s="15">
        <v>1346.3</v>
      </c>
      <c r="H240" s="15">
        <v>21837.58</v>
      </c>
      <c r="I240" s="15">
        <v>10596.43</v>
      </c>
      <c r="J240" s="15">
        <v>24465.14</v>
      </c>
      <c r="K240" s="15">
        <v>37073.050000000003</v>
      </c>
      <c r="L240" s="15">
        <v>5705.62</v>
      </c>
      <c r="M240" s="15">
        <v>10259.950000000001</v>
      </c>
      <c r="N240" s="15">
        <v>2446.1</v>
      </c>
      <c r="O240" s="15">
        <v>4696</v>
      </c>
      <c r="P240" s="15">
        <v>52690.22</v>
      </c>
      <c r="Q240" s="15">
        <v>636</v>
      </c>
      <c r="R240" s="15">
        <v>7201</v>
      </c>
      <c r="S240" s="15">
        <v>35370</v>
      </c>
      <c r="T240" s="15">
        <v>63959.06</v>
      </c>
      <c r="U240" s="15">
        <v>606</v>
      </c>
      <c r="V240" s="15">
        <v>24908.15</v>
      </c>
      <c r="W240" s="15">
        <v>111658.87</v>
      </c>
      <c r="X240" s="15">
        <v>52031.83</v>
      </c>
      <c r="Y240" s="15">
        <v>11395</v>
      </c>
    </row>
    <row r="241" spans="3:25" ht="15" customHeight="1" x14ac:dyDescent="0.3">
      <c r="C241" s="15" t="s">
        <v>330</v>
      </c>
      <c r="D241" s="15">
        <v>4397.6899999999996</v>
      </c>
      <c r="E241" s="15">
        <v>398.41</v>
      </c>
      <c r="F241" s="15">
        <v>87.49</v>
      </c>
      <c r="G241" s="15">
        <v>287.76</v>
      </c>
      <c r="H241" s="15">
        <v>820.25</v>
      </c>
      <c r="I241" s="15">
        <v>496.65</v>
      </c>
      <c r="J241" s="15">
        <v>1210.28</v>
      </c>
      <c r="K241" s="15">
        <v>925.92</v>
      </c>
      <c r="L241" s="15">
        <v>57.09</v>
      </c>
      <c r="M241" s="15">
        <v>1068.26</v>
      </c>
      <c r="N241" s="15">
        <v>578.89</v>
      </c>
      <c r="O241" s="15">
        <v>401.89</v>
      </c>
      <c r="P241" s="15">
        <v>133.31</v>
      </c>
      <c r="Q241" s="15">
        <v>815.2</v>
      </c>
      <c r="R241" s="15">
        <v>352.08</v>
      </c>
      <c r="S241" s="15">
        <v>1191.97</v>
      </c>
      <c r="T241" s="15">
        <v>138.94</v>
      </c>
      <c r="U241" s="15">
        <v>250.3</v>
      </c>
      <c r="V241" s="15">
        <v>523.63</v>
      </c>
      <c r="W241" s="15">
        <v>630.55999999999995</v>
      </c>
      <c r="X241" s="15">
        <v>463.31</v>
      </c>
      <c r="Y241" s="15">
        <v>955.45</v>
      </c>
    </row>
    <row r="242" spans="3:25" ht="15" customHeight="1" x14ac:dyDescent="0.3">
      <c r="C242" s="15" t="s">
        <v>331</v>
      </c>
      <c r="D242" s="15">
        <v>131</v>
      </c>
      <c r="E242" s="15">
        <v>433</v>
      </c>
      <c r="F242" s="15">
        <v>1612</v>
      </c>
      <c r="G242" s="15">
        <v>2517.8000000000002</v>
      </c>
      <c r="H242" s="15">
        <v>18974.28</v>
      </c>
      <c r="I242" s="15">
        <v>4938.08</v>
      </c>
      <c r="J242" s="15">
        <v>34321.64</v>
      </c>
      <c r="K242" s="15">
        <v>18291.900000000001</v>
      </c>
      <c r="L242" s="15">
        <v>988.5</v>
      </c>
      <c r="M242" s="15">
        <v>4188.5</v>
      </c>
      <c r="N242" s="15">
        <v>1759.8</v>
      </c>
      <c r="O242" s="15">
        <v>0</v>
      </c>
      <c r="P242" s="15">
        <v>4416.5</v>
      </c>
      <c r="Q242" s="15">
        <v>35.4</v>
      </c>
      <c r="R242" s="15">
        <v>0</v>
      </c>
      <c r="S242" s="15">
        <v>0</v>
      </c>
      <c r="T242" s="15">
        <v>0</v>
      </c>
      <c r="U242" s="15">
        <v>341</v>
      </c>
      <c r="V242" s="15">
        <v>442</v>
      </c>
      <c r="W242" s="15">
        <v>0</v>
      </c>
      <c r="X242" s="15">
        <v>700</v>
      </c>
      <c r="Y242" s="15">
        <v>0</v>
      </c>
    </row>
    <row r="243" spans="3:25" ht="15" customHeight="1" x14ac:dyDescent="0.3">
      <c r="C243" s="15" t="s">
        <v>332</v>
      </c>
      <c r="D243" s="15">
        <v>306693.89</v>
      </c>
      <c r="E243" s="15">
        <v>80849.100000000006</v>
      </c>
      <c r="F243" s="15">
        <v>87444.68</v>
      </c>
      <c r="G243" s="15">
        <v>72511.53</v>
      </c>
      <c r="H243" s="15">
        <v>77017.119999999995</v>
      </c>
      <c r="I243" s="15">
        <v>60448.56</v>
      </c>
      <c r="J243" s="15">
        <v>72278.52</v>
      </c>
      <c r="K243" s="15">
        <v>66104.69</v>
      </c>
      <c r="L243" s="15">
        <v>69774.55</v>
      </c>
      <c r="M243" s="15">
        <v>62418.94</v>
      </c>
      <c r="N243" s="15">
        <v>92510.39</v>
      </c>
      <c r="O243" s="15">
        <v>46014.18</v>
      </c>
      <c r="P243" s="15">
        <v>54451.48</v>
      </c>
      <c r="Q243" s="15">
        <v>162288.73000000001</v>
      </c>
      <c r="R243" s="15">
        <v>43094.61</v>
      </c>
      <c r="S243" s="15">
        <v>48440.74</v>
      </c>
      <c r="T243" s="15">
        <v>64375.96</v>
      </c>
      <c r="U243" s="15">
        <v>50341.99</v>
      </c>
      <c r="V243" s="15">
        <v>33475.24</v>
      </c>
      <c r="W243" s="15">
        <v>64464.41</v>
      </c>
      <c r="X243" s="15">
        <v>56267.67</v>
      </c>
      <c r="Y243" s="15">
        <v>42586.26</v>
      </c>
    </row>
    <row r="244" spans="3:25" ht="15" customHeight="1" x14ac:dyDescent="0.3">
      <c r="C244" s="15" t="s">
        <v>333</v>
      </c>
      <c r="D244" s="15">
        <v>0</v>
      </c>
      <c r="E244" s="15">
        <v>0</v>
      </c>
      <c r="F244" s="15">
        <v>200</v>
      </c>
      <c r="G244" s="15">
        <v>1000</v>
      </c>
      <c r="H244" s="15">
        <v>0</v>
      </c>
      <c r="I244" s="15">
        <v>1000</v>
      </c>
      <c r="J244" s="15">
        <v>1800</v>
      </c>
      <c r="K244" s="15">
        <v>0</v>
      </c>
      <c r="L244" s="15">
        <v>0</v>
      </c>
      <c r="M244" s="15">
        <v>1000</v>
      </c>
      <c r="N244" s="15">
        <v>200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</row>
    <row r="245" spans="3:25" ht="15" customHeight="1" x14ac:dyDescent="0.3">
      <c r="C245" s="15" t="s">
        <v>334</v>
      </c>
      <c r="D245" s="15">
        <v>0</v>
      </c>
      <c r="E245" s="15">
        <v>0</v>
      </c>
      <c r="F245" s="15">
        <v>0</v>
      </c>
      <c r="G245" s="15">
        <v>0</v>
      </c>
      <c r="H245" s="15">
        <v>0.1</v>
      </c>
      <c r="I245" s="15">
        <v>0</v>
      </c>
      <c r="J245" s="15">
        <v>0</v>
      </c>
      <c r="K245" s="15">
        <v>15</v>
      </c>
      <c r="L245" s="15">
        <v>0</v>
      </c>
      <c r="M245" s="15">
        <v>60.5</v>
      </c>
      <c r="N245" s="15">
        <v>0</v>
      </c>
      <c r="O245" s="15">
        <v>5626</v>
      </c>
      <c r="P245" s="15">
        <v>126742.73</v>
      </c>
      <c r="Q245" s="15">
        <v>0</v>
      </c>
      <c r="R245" s="15">
        <v>350</v>
      </c>
      <c r="S245" s="15">
        <v>87811.7</v>
      </c>
      <c r="T245" s="15">
        <v>14846.76</v>
      </c>
      <c r="U245" s="15">
        <v>0</v>
      </c>
      <c r="V245" s="15">
        <v>68603.75</v>
      </c>
      <c r="W245" s="15">
        <v>143497.18</v>
      </c>
      <c r="X245" s="15">
        <v>33075.089999999997</v>
      </c>
      <c r="Y245" s="15">
        <v>27043.8</v>
      </c>
    </row>
    <row r="246" spans="3:25" ht="15" customHeight="1" x14ac:dyDescent="0.3">
      <c r="C246" s="15" t="s">
        <v>335</v>
      </c>
      <c r="D246" s="15">
        <v>2328446.2999999998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8037.17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</row>
    <row r="247" spans="3:25" ht="15" customHeight="1" x14ac:dyDescent="0.3">
      <c r="C247" s="15" t="s">
        <v>336</v>
      </c>
      <c r="D247" s="15">
        <v>224825.31</v>
      </c>
      <c r="E247" s="15">
        <v>4332.78</v>
      </c>
      <c r="F247" s="15">
        <v>10462.129999999999</v>
      </c>
      <c r="G247" s="15">
        <v>2863.44</v>
      </c>
      <c r="H247" s="15">
        <v>2634.93</v>
      </c>
      <c r="I247" s="15">
        <v>4193.74</v>
      </c>
      <c r="J247" s="15">
        <v>10706.26</v>
      </c>
      <c r="K247" s="15">
        <v>1145.45</v>
      </c>
      <c r="L247" s="15">
        <v>4457.58</v>
      </c>
      <c r="M247" s="15">
        <v>2104.1</v>
      </c>
      <c r="N247" s="15">
        <v>1656.09</v>
      </c>
      <c r="O247" s="15">
        <v>842.74</v>
      </c>
      <c r="P247" s="15">
        <v>2151.21</v>
      </c>
      <c r="Q247" s="15">
        <v>136620.31</v>
      </c>
      <c r="R247" s="15">
        <v>4373.9399999999996</v>
      </c>
      <c r="S247" s="15">
        <v>5407.69</v>
      </c>
      <c r="T247" s="15">
        <v>2344.0300000000002</v>
      </c>
      <c r="U247" s="15">
        <v>2132.64</v>
      </c>
      <c r="V247" s="15">
        <v>4437.0600000000004</v>
      </c>
      <c r="W247" s="15">
        <v>7658.19</v>
      </c>
      <c r="X247" s="15">
        <v>8353.75</v>
      </c>
      <c r="Y247" s="15">
        <v>2648.49</v>
      </c>
    </row>
    <row r="248" spans="3:25" ht="15" customHeight="1" x14ac:dyDescent="0.3">
      <c r="C248" s="15" t="s">
        <v>337</v>
      </c>
      <c r="D248" s="15">
        <v>78754.14</v>
      </c>
      <c r="E248" s="15">
        <v>1411.9</v>
      </c>
      <c r="F248" s="15">
        <v>1702</v>
      </c>
      <c r="G248" s="15">
        <v>76132.460000000006</v>
      </c>
      <c r="H248" s="15">
        <v>5482.53</v>
      </c>
      <c r="I248" s="15">
        <v>2260.6</v>
      </c>
      <c r="J248" s="15">
        <v>6075.2</v>
      </c>
      <c r="K248" s="15">
        <v>1155.3</v>
      </c>
      <c r="L248" s="15">
        <v>582.4</v>
      </c>
      <c r="M248" s="15">
        <v>2213.9</v>
      </c>
      <c r="N248" s="15">
        <v>13852.4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</row>
    <row r="249" spans="3:25" ht="15" customHeight="1" x14ac:dyDescent="0.3">
      <c r="C249" s="15" t="s">
        <v>338</v>
      </c>
      <c r="D249" s="15">
        <v>28929.25</v>
      </c>
      <c r="E249" s="15">
        <v>0</v>
      </c>
      <c r="F249" s="15">
        <v>4253</v>
      </c>
      <c r="G249" s="15">
        <v>33090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488.1</v>
      </c>
      <c r="T249" s="15">
        <v>3879.96</v>
      </c>
      <c r="U249" s="15">
        <v>0</v>
      </c>
      <c r="V249" s="15">
        <v>0</v>
      </c>
      <c r="W249" s="15">
        <v>400</v>
      </c>
      <c r="X249" s="15">
        <v>4388</v>
      </c>
      <c r="Y249" s="15">
        <v>0</v>
      </c>
    </row>
  </sheetData>
  <mergeCells count="6">
    <mergeCell ref="A3:N3"/>
    <mergeCell ref="A4:N4"/>
    <mergeCell ref="A6:A7"/>
    <mergeCell ref="B6:B7"/>
    <mergeCell ref="C6:C7"/>
    <mergeCell ref="D6:Y6"/>
  </mergeCells>
  <pageMargins left="0.43" right="0.27" top="0.32" bottom="0.32" header="0.31" footer="0.3"/>
  <pageSetup paperSize="9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40E6-1822-4EB1-84D4-26BF9C03F0E2}">
  <sheetPr>
    <pageSetUpPr fitToPage="1"/>
  </sheetPr>
  <dimension ref="A1:Y251"/>
  <sheetViews>
    <sheetView zoomScaleNormal="100" workbookViewId="0">
      <pane xSplit="2" ySplit="7" topLeftCell="C47" activePane="bottomRight" state="frozen"/>
      <selection pane="topRight" activeCell="C1" sqref="C1"/>
      <selection pane="bottomLeft" activeCell="A8" sqref="A8"/>
      <selection pane="bottomRight" activeCell="B71" sqref="B71"/>
    </sheetView>
  </sheetViews>
  <sheetFormatPr defaultRowHeight="14.4" x14ac:dyDescent="0.3"/>
  <cols>
    <col min="1" max="1" width="4.33203125" customWidth="1"/>
    <col min="2" max="2" width="29.88671875" customWidth="1"/>
    <col min="3" max="3" width="12.5546875" style="17" customWidth="1"/>
    <col min="4" max="14" width="10.44140625" style="17" customWidth="1"/>
    <col min="20" max="20" width="10" bestFit="1" customWidth="1"/>
    <col min="21" max="21" width="10.5546875" customWidth="1"/>
  </cols>
  <sheetData>
    <row r="1" spans="1:25" x14ac:dyDescent="0.3">
      <c r="A1" s="3" t="s">
        <v>0</v>
      </c>
      <c r="B1" s="4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25" ht="16.8" x14ac:dyDescent="0.3">
      <c r="A2" s="5"/>
      <c r="B2" s="5"/>
      <c r="C2" s="11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25" x14ac:dyDescent="0.3">
      <c r="A3" s="74" t="str">
        <f>Dulieu!A3</f>
        <v>CÂN ĐỐI NGUỒN VỐN VÀ SỬ DỤNG VỐN NĂM 2026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</row>
    <row r="4" spans="1:25" x14ac:dyDescent="0.3">
      <c r="A4" s="75" t="str">
        <f>Dulieu!A4</f>
        <v>(Thực hiện đến  21/04/2026)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</row>
    <row r="5" spans="1:25" x14ac:dyDescent="0.3">
      <c r="A5" s="4"/>
      <c r="B5" s="4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2" t="s">
        <v>1</v>
      </c>
    </row>
    <row r="6" spans="1:25" s="32" customFormat="1" ht="12" x14ac:dyDescent="0.25">
      <c r="A6" s="76" t="s">
        <v>2</v>
      </c>
      <c r="B6" s="76" t="s">
        <v>3</v>
      </c>
      <c r="C6" s="77" t="s">
        <v>4</v>
      </c>
      <c r="D6" s="77" t="s">
        <v>5</v>
      </c>
      <c r="E6" s="77"/>
      <c r="F6" s="77"/>
      <c r="G6" s="77"/>
      <c r="H6" s="77"/>
      <c r="I6" s="77"/>
      <c r="J6" s="77"/>
      <c r="K6" s="77"/>
      <c r="L6" s="77"/>
      <c r="M6" s="77"/>
      <c r="N6" s="77"/>
      <c r="O6" s="71" t="s">
        <v>5</v>
      </c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s="32" customFormat="1" ht="12" x14ac:dyDescent="0.25">
      <c r="A7" s="76"/>
      <c r="B7" s="76"/>
      <c r="C7" s="77"/>
      <c r="D7" s="33" t="s">
        <v>6</v>
      </c>
      <c r="E7" s="33" t="s">
        <v>82</v>
      </c>
      <c r="F7" s="33" t="s">
        <v>75</v>
      </c>
      <c r="G7" s="33" t="s">
        <v>78</v>
      </c>
      <c r="H7" s="33" t="s">
        <v>76</v>
      </c>
      <c r="I7" s="33" t="s">
        <v>80</v>
      </c>
      <c r="J7" s="33" t="s">
        <v>7</v>
      </c>
      <c r="K7" s="33" t="s">
        <v>81</v>
      </c>
      <c r="L7" s="33" t="s">
        <v>77</v>
      </c>
      <c r="M7" s="33" t="s">
        <v>79</v>
      </c>
      <c r="N7" s="33" t="s">
        <v>83</v>
      </c>
      <c r="O7" s="33" t="s">
        <v>99</v>
      </c>
      <c r="P7" s="33" t="s">
        <v>100</v>
      </c>
      <c r="Q7" s="33" t="s">
        <v>101</v>
      </c>
      <c r="R7" s="33" t="s">
        <v>102</v>
      </c>
      <c r="S7" s="33" t="s">
        <v>103</v>
      </c>
      <c r="T7" s="33" t="s">
        <v>104</v>
      </c>
      <c r="U7" s="33" t="s">
        <v>105</v>
      </c>
      <c r="V7" s="33" t="s">
        <v>106</v>
      </c>
      <c r="W7" s="33" t="s">
        <v>107</v>
      </c>
      <c r="X7" s="33" t="s">
        <v>108</v>
      </c>
      <c r="Y7" s="33" t="s">
        <v>109</v>
      </c>
    </row>
    <row r="8" spans="1:25" s="37" customFormat="1" ht="12" x14ac:dyDescent="0.25">
      <c r="A8" s="34" t="s">
        <v>8</v>
      </c>
      <c r="B8" s="35" t="s">
        <v>9</v>
      </c>
      <c r="C8" s="36">
        <f t="shared" ref="C8:C16" si="0">SUM(D8:Y8)</f>
        <v>13197494.82</v>
      </c>
      <c r="D8" s="36">
        <f>+D50+D172</f>
        <v>726161.14999999991</v>
      </c>
      <c r="E8" s="36">
        <f>+Dulieu!E8</f>
        <v>578007.1</v>
      </c>
      <c r="F8" s="36">
        <f>+Dulieu!F8</f>
        <v>622980.35000000009</v>
      </c>
      <c r="G8" s="36">
        <f>+Dulieu!G8</f>
        <v>754002.38</v>
      </c>
      <c r="H8" s="36">
        <f>+Dulieu!H8</f>
        <v>735337.13</v>
      </c>
      <c r="I8" s="36">
        <f>+Dulieu!I8</f>
        <v>606133.68999999994</v>
      </c>
      <c r="J8" s="36">
        <f>+Dulieu!J8</f>
        <v>644805.77</v>
      </c>
      <c r="K8" s="36">
        <f>+Dulieu!K8</f>
        <v>715752.69</v>
      </c>
      <c r="L8" s="36">
        <f>+Dulieu!L8</f>
        <v>598856.16</v>
      </c>
      <c r="M8" s="36">
        <f>+Dulieu!M8</f>
        <v>565175.00000000012</v>
      </c>
      <c r="N8" s="36">
        <f>+Dulieu!N8</f>
        <v>569495.84</v>
      </c>
      <c r="O8" s="36">
        <f>+Dulieu!O8</f>
        <v>363541.92</v>
      </c>
      <c r="P8" s="36">
        <f>+Dulieu!P8</f>
        <v>768147.74999999988</v>
      </c>
      <c r="Q8" s="36">
        <f>+Dulieu!Q8</f>
        <v>386445.04999999993</v>
      </c>
      <c r="R8" s="36">
        <f>+Dulieu!R8</f>
        <v>378120.93</v>
      </c>
      <c r="S8" s="36">
        <f>+Dulieu!S8</f>
        <v>788449.36</v>
      </c>
      <c r="T8" s="36">
        <f>+Dulieu!T8</f>
        <v>533509.77</v>
      </c>
      <c r="U8" s="36">
        <f>+Dulieu!U8</f>
        <v>430525.55999999994</v>
      </c>
      <c r="V8" s="36">
        <f>+Dulieu!V8</f>
        <v>589120.66999999993</v>
      </c>
      <c r="W8" s="36">
        <f>+Dulieu!W8</f>
        <v>669609.41</v>
      </c>
      <c r="X8" s="36">
        <f>+Dulieu!X8</f>
        <v>654776.88</v>
      </c>
      <c r="Y8" s="36">
        <f>+Dulieu!Y8</f>
        <v>518540.25999999995</v>
      </c>
    </row>
    <row r="9" spans="1:25" s="41" customFormat="1" ht="12" x14ac:dyDescent="0.25">
      <c r="A9" s="38"/>
      <c r="B9" s="39" t="s">
        <v>91</v>
      </c>
      <c r="C9" s="40">
        <f t="shared" si="0"/>
        <v>136748.85999999999</v>
      </c>
      <c r="D9" s="40">
        <f>+D51+D173</f>
        <v>5050.67</v>
      </c>
      <c r="E9" s="40">
        <f t="shared" ref="E9:Y9" si="1">+E51+E173</f>
        <v>2040.6999999999998</v>
      </c>
      <c r="F9" s="40">
        <f t="shared" si="1"/>
        <v>5682.33</v>
      </c>
      <c r="G9" s="40">
        <f t="shared" si="1"/>
        <v>-4368.8399999999992</v>
      </c>
      <c r="H9" s="40">
        <f t="shared" si="1"/>
        <v>941.59999999999991</v>
      </c>
      <c r="I9" s="40">
        <f t="shared" si="1"/>
        <v>10386.419999999998</v>
      </c>
      <c r="J9" s="40">
        <f t="shared" si="1"/>
        <v>2278.1200000000003</v>
      </c>
      <c r="K9" s="40">
        <f t="shared" si="1"/>
        <v>-586.03000000000009</v>
      </c>
      <c r="L9" s="40">
        <f t="shared" si="1"/>
        <v>5587.23</v>
      </c>
      <c r="M9" s="40">
        <f t="shared" si="1"/>
        <v>4614.9599999999991</v>
      </c>
      <c r="N9" s="40">
        <f t="shared" si="1"/>
        <v>895.71</v>
      </c>
      <c r="O9" s="40">
        <f t="shared" si="1"/>
        <v>8667.2400000000016</v>
      </c>
      <c r="P9" s="40">
        <f t="shared" si="1"/>
        <v>14321.609999999999</v>
      </c>
      <c r="Q9" s="40">
        <f t="shared" si="1"/>
        <v>2702.5600000000004</v>
      </c>
      <c r="R9" s="40">
        <f t="shared" si="1"/>
        <v>5587.25</v>
      </c>
      <c r="S9" s="40">
        <f t="shared" si="1"/>
        <v>12713.48</v>
      </c>
      <c r="T9" s="40">
        <f t="shared" si="1"/>
        <v>9909.33</v>
      </c>
      <c r="U9" s="40">
        <f t="shared" si="1"/>
        <v>5587.9599999999991</v>
      </c>
      <c r="V9" s="40">
        <f t="shared" si="1"/>
        <v>22145.530000000002</v>
      </c>
      <c r="W9" s="40">
        <f t="shared" si="1"/>
        <v>16848.809999999998</v>
      </c>
      <c r="X9" s="40">
        <f t="shared" si="1"/>
        <v>1210.49</v>
      </c>
      <c r="Y9" s="40">
        <f t="shared" si="1"/>
        <v>4531.7299999999996</v>
      </c>
    </row>
    <row r="10" spans="1:25" s="41" customFormat="1" ht="12" x14ac:dyDescent="0.25">
      <c r="A10" s="38"/>
      <c r="B10" s="39" t="s">
        <v>92</v>
      </c>
      <c r="C10" s="40">
        <f t="shared" si="0"/>
        <v>1080222.7400000002</v>
      </c>
      <c r="D10" s="40">
        <f>+D52+D174</f>
        <v>44562.51</v>
      </c>
      <c r="E10" s="40">
        <f t="shared" ref="E10:Y10" si="2">+E52+E174</f>
        <v>36623.980000000003</v>
      </c>
      <c r="F10" s="40">
        <f t="shared" si="2"/>
        <v>33229.51</v>
      </c>
      <c r="G10" s="40">
        <f t="shared" si="2"/>
        <v>25645.200000000001</v>
      </c>
      <c r="H10" s="40">
        <f t="shared" si="2"/>
        <v>39266.49</v>
      </c>
      <c r="I10" s="40">
        <f t="shared" si="2"/>
        <v>45682.67</v>
      </c>
      <c r="J10" s="40">
        <f t="shared" si="2"/>
        <v>27215.23</v>
      </c>
      <c r="K10" s="40">
        <f t="shared" si="2"/>
        <v>40083.06</v>
      </c>
      <c r="L10" s="40">
        <f t="shared" si="2"/>
        <v>37194.640000000007</v>
      </c>
      <c r="M10" s="40">
        <f t="shared" si="2"/>
        <v>35108.340000000004</v>
      </c>
      <c r="N10" s="40">
        <f t="shared" si="2"/>
        <v>30763.579999999998</v>
      </c>
      <c r="O10" s="40">
        <f t="shared" si="2"/>
        <v>54565.23</v>
      </c>
      <c r="P10" s="40">
        <f t="shared" si="2"/>
        <v>77099.87999999999</v>
      </c>
      <c r="Q10" s="40">
        <f t="shared" si="2"/>
        <v>37404.120000000003</v>
      </c>
      <c r="R10" s="40">
        <f t="shared" si="2"/>
        <v>44593.7</v>
      </c>
      <c r="S10" s="40">
        <f t="shared" si="2"/>
        <v>83876.900000000009</v>
      </c>
      <c r="T10" s="40">
        <f t="shared" si="2"/>
        <v>73180.160000000003</v>
      </c>
      <c r="U10" s="40">
        <f t="shared" si="2"/>
        <v>47456.65</v>
      </c>
      <c r="V10" s="40">
        <f t="shared" si="2"/>
        <v>66915.06</v>
      </c>
      <c r="W10" s="40">
        <f t="shared" si="2"/>
        <v>76441.66</v>
      </c>
      <c r="X10" s="40">
        <f t="shared" si="2"/>
        <v>68944.180000000008</v>
      </c>
      <c r="Y10" s="40">
        <f t="shared" si="2"/>
        <v>54369.989999999991</v>
      </c>
    </row>
    <row r="11" spans="1:25" s="37" customFormat="1" ht="12" x14ac:dyDescent="0.25">
      <c r="A11" s="34" t="s">
        <v>10</v>
      </c>
      <c r="B11" s="35" t="s">
        <v>11</v>
      </c>
      <c r="C11" s="36">
        <f t="shared" si="0"/>
        <v>12720840.82</v>
      </c>
      <c r="D11" s="36">
        <f>+D8-D36</f>
        <v>704397.14999999991</v>
      </c>
      <c r="E11" s="36">
        <f t="shared" ref="E11:N11" si="3">+E8-E36</f>
        <v>548989.1</v>
      </c>
      <c r="F11" s="36">
        <f t="shared" si="3"/>
        <v>582642.35000000009</v>
      </c>
      <c r="G11" s="36">
        <f t="shared" si="3"/>
        <v>719695.38</v>
      </c>
      <c r="H11" s="36">
        <f t="shared" si="3"/>
        <v>688594.13</v>
      </c>
      <c r="I11" s="36">
        <f t="shared" si="3"/>
        <v>557898.68999999994</v>
      </c>
      <c r="J11" s="36">
        <f t="shared" si="3"/>
        <v>570792.77</v>
      </c>
      <c r="K11" s="36">
        <f t="shared" si="3"/>
        <v>646385.68999999994</v>
      </c>
      <c r="L11" s="36">
        <f t="shared" si="3"/>
        <v>564714.16</v>
      </c>
      <c r="M11" s="36">
        <f t="shared" si="3"/>
        <v>519458.00000000012</v>
      </c>
      <c r="N11" s="36">
        <f t="shared" si="3"/>
        <v>537585.84</v>
      </c>
      <c r="O11" s="36">
        <f t="shared" ref="O11:Y11" si="4">+O8-O36</f>
        <v>363441.91999999998</v>
      </c>
      <c r="P11" s="36">
        <f t="shared" si="4"/>
        <v>768047.74999999988</v>
      </c>
      <c r="Q11" s="36">
        <f t="shared" si="4"/>
        <v>386345.04999999993</v>
      </c>
      <c r="R11" s="36">
        <f t="shared" si="4"/>
        <v>378020.93</v>
      </c>
      <c r="S11" s="36">
        <f t="shared" si="4"/>
        <v>788349.36</v>
      </c>
      <c r="T11" s="36">
        <f t="shared" si="4"/>
        <v>533409.77</v>
      </c>
      <c r="U11" s="36">
        <f t="shared" si="4"/>
        <v>430425.55999999994</v>
      </c>
      <c r="V11" s="36">
        <f t="shared" si="4"/>
        <v>589020.66999999993</v>
      </c>
      <c r="W11" s="36">
        <f t="shared" si="4"/>
        <v>669509.41</v>
      </c>
      <c r="X11" s="36">
        <f t="shared" si="4"/>
        <v>654676.88</v>
      </c>
      <c r="Y11" s="36">
        <f t="shared" si="4"/>
        <v>518440.25999999995</v>
      </c>
    </row>
    <row r="12" spans="1:25" s="41" customFormat="1" ht="12" x14ac:dyDescent="0.25">
      <c r="A12" s="38"/>
      <c r="B12" s="39" t="s">
        <v>91</v>
      </c>
      <c r="C12" s="40">
        <f t="shared" si="0"/>
        <v>136748.85999999999</v>
      </c>
      <c r="D12" s="40">
        <f t="shared" ref="D12:N13" si="5">+D9-D37</f>
        <v>5050.67</v>
      </c>
      <c r="E12" s="40">
        <f t="shared" si="5"/>
        <v>2040.6999999999998</v>
      </c>
      <c r="F12" s="40">
        <f t="shared" si="5"/>
        <v>5682.33</v>
      </c>
      <c r="G12" s="40">
        <f t="shared" si="5"/>
        <v>-4368.8399999999992</v>
      </c>
      <c r="H12" s="40">
        <f t="shared" si="5"/>
        <v>941.59999999999991</v>
      </c>
      <c r="I12" s="40">
        <f t="shared" si="5"/>
        <v>10386.419999999998</v>
      </c>
      <c r="J12" s="40">
        <f t="shared" si="5"/>
        <v>2278.1200000000003</v>
      </c>
      <c r="K12" s="40">
        <f t="shared" si="5"/>
        <v>-586.03000000000009</v>
      </c>
      <c r="L12" s="40">
        <f t="shared" si="5"/>
        <v>5587.23</v>
      </c>
      <c r="M12" s="40">
        <f t="shared" si="5"/>
        <v>4614.9599999999991</v>
      </c>
      <c r="N12" s="40">
        <f t="shared" si="5"/>
        <v>895.71</v>
      </c>
      <c r="O12" s="40">
        <f t="shared" ref="O12:Y12" si="6">+O9-O37</f>
        <v>8667.2400000000016</v>
      </c>
      <c r="P12" s="40">
        <f t="shared" si="6"/>
        <v>14321.609999999999</v>
      </c>
      <c r="Q12" s="40">
        <f t="shared" si="6"/>
        <v>2702.5600000000004</v>
      </c>
      <c r="R12" s="40">
        <f t="shared" si="6"/>
        <v>5587.25</v>
      </c>
      <c r="S12" s="40">
        <f t="shared" si="6"/>
        <v>12713.48</v>
      </c>
      <c r="T12" s="40">
        <f t="shared" si="6"/>
        <v>9909.33</v>
      </c>
      <c r="U12" s="40">
        <f t="shared" si="6"/>
        <v>5587.9599999999991</v>
      </c>
      <c r="V12" s="40">
        <f t="shared" si="6"/>
        <v>22145.530000000002</v>
      </c>
      <c r="W12" s="40">
        <f t="shared" si="6"/>
        <v>16848.809999999998</v>
      </c>
      <c r="X12" s="40">
        <f t="shared" si="6"/>
        <v>1210.49</v>
      </c>
      <c r="Y12" s="40">
        <f t="shared" si="6"/>
        <v>4531.7299999999996</v>
      </c>
    </row>
    <row r="13" spans="1:25" s="41" customFormat="1" ht="12" x14ac:dyDescent="0.25">
      <c r="A13" s="38"/>
      <c r="B13" s="39" t="s">
        <v>92</v>
      </c>
      <c r="C13" s="40" t="e">
        <f t="shared" si="0"/>
        <v>#N/A</v>
      </c>
      <c r="D13" s="40" t="e">
        <f t="shared" si="5"/>
        <v>#N/A</v>
      </c>
      <c r="E13" s="40" t="e">
        <f t="shared" si="5"/>
        <v>#N/A</v>
      </c>
      <c r="F13" s="40" t="e">
        <f t="shared" si="5"/>
        <v>#N/A</v>
      </c>
      <c r="G13" s="40" t="e">
        <f t="shared" si="5"/>
        <v>#N/A</v>
      </c>
      <c r="H13" s="40" t="e">
        <f t="shared" si="5"/>
        <v>#N/A</v>
      </c>
      <c r="I13" s="40" t="e">
        <f t="shared" si="5"/>
        <v>#N/A</v>
      </c>
      <c r="J13" s="40" t="e">
        <f t="shared" si="5"/>
        <v>#N/A</v>
      </c>
      <c r="K13" s="40" t="e">
        <f t="shared" si="5"/>
        <v>#N/A</v>
      </c>
      <c r="L13" s="40" t="e">
        <f t="shared" si="5"/>
        <v>#N/A</v>
      </c>
      <c r="M13" s="40" t="e">
        <f t="shared" si="5"/>
        <v>#N/A</v>
      </c>
      <c r="N13" s="40" t="e">
        <f t="shared" si="5"/>
        <v>#N/A</v>
      </c>
      <c r="O13" s="40" t="e">
        <f t="shared" ref="O13:Y13" si="7">+O10-O38</f>
        <v>#N/A</v>
      </c>
      <c r="P13" s="40" t="e">
        <f t="shared" si="7"/>
        <v>#N/A</v>
      </c>
      <c r="Q13" s="40" t="e">
        <f t="shared" si="7"/>
        <v>#N/A</v>
      </c>
      <c r="R13" s="40" t="e">
        <f t="shared" si="7"/>
        <v>#N/A</v>
      </c>
      <c r="S13" s="40" t="e">
        <f t="shared" si="7"/>
        <v>#N/A</v>
      </c>
      <c r="T13" s="40" t="e">
        <f t="shared" si="7"/>
        <v>#N/A</v>
      </c>
      <c r="U13" s="40" t="e">
        <f t="shared" si="7"/>
        <v>#N/A</v>
      </c>
      <c r="V13" s="40" t="e">
        <f t="shared" si="7"/>
        <v>#N/A</v>
      </c>
      <c r="W13" s="40" t="e">
        <f t="shared" si="7"/>
        <v>#N/A</v>
      </c>
      <c r="X13" s="40" t="e">
        <f t="shared" si="7"/>
        <v>#N/A</v>
      </c>
      <c r="Y13" s="40" t="e">
        <f t="shared" si="7"/>
        <v>#N/A</v>
      </c>
    </row>
    <row r="14" spans="1:25" s="32" customFormat="1" ht="12" x14ac:dyDescent="0.25">
      <c r="A14" s="42">
        <v>1</v>
      </c>
      <c r="B14" s="43" t="s">
        <v>12</v>
      </c>
      <c r="C14" s="44">
        <f t="shared" si="0"/>
        <v>10979678.469999999</v>
      </c>
      <c r="D14" s="44">
        <f>+D11-D18</f>
        <v>489563.7699999999</v>
      </c>
      <c r="E14" s="44">
        <f t="shared" ref="E14:N14" si="8">+E11-E18</f>
        <v>469546.76999999996</v>
      </c>
      <c r="F14" s="44">
        <f t="shared" si="8"/>
        <v>487046.9200000001</v>
      </c>
      <c r="G14" s="44">
        <f t="shared" si="8"/>
        <v>645936.26</v>
      </c>
      <c r="H14" s="44">
        <f t="shared" si="8"/>
        <v>612890.85</v>
      </c>
      <c r="I14" s="44">
        <f t="shared" si="8"/>
        <v>499502.70999999996</v>
      </c>
      <c r="J14" s="44">
        <f t="shared" si="8"/>
        <v>495184.62</v>
      </c>
      <c r="K14" s="44">
        <f t="shared" si="8"/>
        <v>573163.01</v>
      </c>
      <c r="L14" s="44">
        <f t="shared" si="8"/>
        <v>483167</v>
      </c>
      <c r="M14" s="44">
        <f t="shared" si="8"/>
        <v>459407.7900000001</v>
      </c>
      <c r="N14" s="44">
        <f t="shared" si="8"/>
        <v>425533.00999999995</v>
      </c>
      <c r="O14" s="44">
        <f t="shared" ref="O14:Y14" si="9">+O11-O18</f>
        <v>312173.43</v>
      </c>
      <c r="P14" s="44">
        <f t="shared" si="9"/>
        <v>701621.80999999982</v>
      </c>
      <c r="Q14" s="44">
        <f t="shared" si="9"/>
        <v>189495.98999999993</v>
      </c>
      <c r="R14" s="44">
        <f t="shared" si="9"/>
        <v>331079.58999999997</v>
      </c>
      <c r="S14" s="44">
        <f t="shared" si="9"/>
        <v>737375.02</v>
      </c>
      <c r="T14" s="44">
        <f t="shared" si="9"/>
        <v>464025.01</v>
      </c>
      <c r="U14" s="44">
        <f t="shared" si="9"/>
        <v>377979.54999999993</v>
      </c>
      <c r="V14" s="44">
        <f t="shared" si="9"/>
        <v>552610.53999999992</v>
      </c>
      <c r="W14" s="44">
        <f t="shared" si="9"/>
        <v>598319.58000000007</v>
      </c>
      <c r="X14" s="44">
        <f t="shared" si="9"/>
        <v>599071.36</v>
      </c>
      <c r="Y14" s="44">
        <f t="shared" si="9"/>
        <v>474983.87999999995</v>
      </c>
    </row>
    <row r="15" spans="1:25" s="41" customFormat="1" ht="12" x14ac:dyDescent="0.25">
      <c r="A15" s="38"/>
      <c r="B15" s="39" t="s">
        <v>91</v>
      </c>
      <c r="C15" s="40">
        <f t="shared" si="0"/>
        <v>206560.67000000004</v>
      </c>
      <c r="D15" s="40">
        <f t="shared" ref="D15:N16" si="10">+D12-D19</f>
        <v>8394.7700000000059</v>
      </c>
      <c r="E15" s="40">
        <f t="shared" si="10"/>
        <v>4284.5600000000004</v>
      </c>
      <c r="F15" s="40">
        <f t="shared" si="10"/>
        <v>11658.070000000005</v>
      </c>
      <c r="G15" s="40">
        <f t="shared" si="10"/>
        <v>-995.81999999999516</v>
      </c>
      <c r="H15" s="40">
        <f t="shared" si="10"/>
        <v>5617.1500000000033</v>
      </c>
      <c r="I15" s="40">
        <f t="shared" si="10"/>
        <v>12906.719999999994</v>
      </c>
      <c r="J15" s="40">
        <f t="shared" si="10"/>
        <v>6474.4800000000014</v>
      </c>
      <c r="K15" s="40">
        <f t="shared" si="10"/>
        <v>138.42000000001156</v>
      </c>
      <c r="L15" s="40">
        <f t="shared" si="10"/>
        <v>9320.9200000000019</v>
      </c>
      <c r="M15" s="40">
        <f t="shared" si="10"/>
        <v>6342.6999999999971</v>
      </c>
      <c r="N15" s="40">
        <f t="shared" si="10"/>
        <v>-2507.3400000000029</v>
      </c>
      <c r="O15" s="40">
        <f t="shared" ref="O15:Y15" si="11">+O12-O19</f>
        <v>11099.980000000007</v>
      </c>
      <c r="P15" s="40">
        <f t="shared" si="11"/>
        <v>13409.629999999996</v>
      </c>
      <c r="Q15" s="40">
        <f t="shared" si="11"/>
        <v>2205.2900000000109</v>
      </c>
      <c r="R15" s="40">
        <f t="shared" si="11"/>
        <v>9034.9100000000035</v>
      </c>
      <c r="S15" s="40">
        <f t="shared" si="11"/>
        <v>17268.180000000004</v>
      </c>
      <c r="T15" s="40">
        <f t="shared" si="11"/>
        <v>16000.06000000001</v>
      </c>
      <c r="U15" s="40">
        <f t="shared" si="11"/>
        <v>11715.989999999998</v>
      </c>
      <c r="V15" s="40">
        <f t="shared" si="11"/>
        <v>23818.660000000007</v>
      </c>
      <c r="W15" s="40">
        <f t="shared" si="11"/>
        <v>20192.14</v>
      </c>
      <c r="X15" s="40">
        <f t="shared" si="11"/>
        <v>8797.8600000000024</v>
      </c>
      <c r="Y15" s="40">
        <f t="shared" si="11"/>
        <v>11383.34</v>
      </c>
    </row>
    <row r="16" spans="1:25" s="41" customFormat="1" ht="12" x14ac:dyDescent="0.25">
      <c r="A16" s="38"/>
      <c r="B16" s="39" t="s">
        <v>92</v>
      </c>
      <c r="C16" s="40" t="e">
        <f t="shared" si="0"/>
        <v>#N/A</v>
      </c>
      <c r="D16" s="40" t="e">
        <f t="shared" si="10"/>
        <v>#N/A</v>
      </c>
      <c r="E16" s="40" t="e">
        <f t="shared" si="10"/>
        <v>#N/A</v>
      </c>
      <c r="F16" s="40" t="e">
        <f t="shared" si="10"/>
        <v>#N/A</v>
      </c>
      <c r="G16" s="40" t="e">
        <f t="shared" si="10"/>
        <v>#N/A</v>
      </c>
      <c r="H16" s="40" t="e">
        <f t="shared" si="10"/>
        <v>#N/A</v>
      </c>
      <c r="I16" s="40" t="e">
        <f t="shared" si="10"/>
        <v>#N/A</v>
      </c>
      <c r="J16" s="40" t="e">
        <f t="shared" si="10"/>
        <v>#N/A</v>
      </c>
      <c r="K16" s="40" t="e">
        <f t="shared" si="10"/>
        <v>#N/A</v>
      </c>
      <c r="L16" s="40" t="e">
        <f t="shared" si="10"/>
        <v>#N/A</v>
      </c>
      <c r="M16" s="40" t="e">
        <f t="shared" si="10"/>
        <v>#N/A</v>
      </c>
      <c r="N16" s="40" t="e">
        <f t="shared" si="10"/>
        <v>#N/A</v>
      </c>
      <c r="O16" s="40" t="e">
        <f t="shared" ref="O16:Y16" si="12">+O13-O20</f>
        <v>#N/A</v>
      </c>
      <c r="P16" s="40" t="e">
        <f t="shared" si="12"/>
        <v>#N/A</v>
      </c>
      <c r="Q16" s="40" t="e">
        <f t="shared" si="12"/>
        <v>#N/A</v>
      </c>
      <c r="R16" s="40" t="e">
        <f t="shared" si="12"/>
        <v>#N/A</v>
      </c>
      <c r="S16" s="40" t="e">
        <f t="shared" si="12"/>
        <v>#N/A</v>
      </c>
      <c r="T16" s="40" t="e">
        <f t="shared" si="12"/>
        <v>#N/A</v>
      </c>
      <c r="U16" s="40" t="e">
        <f t="shared" si="12"/>
        <v>#N/A</v>
      </c>
      <c r="V16" s="40" t="e">
        <f t="shared" si="12"/>
        <v>#N/A</v>
      </c>
      <c r="W16" s="40" t="e">
        <f t="shared" si="12"/>
        <v>#N/A</v>
      </c>
      <c r="X16" s="40" t="e">
        <f t="shared" si="12"/>
        <v>#N/A</v>
      </c>
      <c r="Y16" s="40" t="e">
        <f t="shared" si="12"/>
        <v>#N/A</v>
      </c>
    </row>
    <row r="17" spans="1:25" s="47" customFormat="1" ht="12" x14ac:dyDescent="0.25">
      <c r="A17" s="45"/>
      <c r="B17" s="46" t="s">
        <v>13</v>
      </c>
      <c r="C17" s="46">
        <f>+C14/C8</f>
        <v>0.83195171657585831</v>
      </c>
      <c r="D17" s="46">
        <f>+Dulieu!D11</f>
        <v>0.67418061404138729</v>
      </c>
      <c r="E17" s="46">
        <f>+Dulieu!E11</f>
        <v>0.81235467522803784</v>
      </c>
      <c r="F17" s="46">
        <f>+Dulieu!F11</f>
        <v>0.78180141636891121</v>
      </c>
      <c r="G17" s="46">
        <f>+Dulieu!G11</f>
        <v>0.85667668582160184</v>
      </c>
      <c r="H17" s="46">
        <f>+Dulieu!H11</f>
        <v>0.83348279992334939</v>
      </c>
      <c r="I17" s="46">
        <f>+Dulieu!I11</f>
        <v>0.82408009691723294</v>
      </c>
      <c r="J17" s="46">
        <f>+Dulieu!J11</f>
        <v>0.76795934999154858</v>
      </c>
      <c r="K17" s="46">
        <f>+Dulieu!K11</f>
        <v>0.80078359188562753</v>
      </c>
      <c r="L17" s="46">
        <f>+Dulieu!L11</f>
        <v>0.80681644821020126</v>
      </c>
      <c r="M17" s="46">
        <f>+Dulieu!M11</f>
        <v>0.81285936214446852</v>
      </c>
      <c r="N17" s="46">
        <f>+Dulieu!N11</f>
        <v>0.74721004107773636</v>
      </c>
      <c r="O17" s="46">
        <f>+Dulieu!O11</f>
        <v>0.85869995405206645</v>
      </c>
      <c r="P17" s="46">
        <f>+Dulieu!P11</f>
        <v>0.91339434373139794</v>
      </c>
      <c r="Q17" s="46">
        <f>+Dulieu!Q11</f>
        <v>0.49035688256325177</v>
      </c>
      <c r="R17" s="46">
        <f>+Dulieu!R11</f>
        <v>0.87559181132871955</v>
      </c>
      <c r="S17" s="46">
        <f>+Dulieu!S11</f>
        <v>0.9352217877378961</v>
      </c>
      <c r="T17" s="46">
        <f>+Dulieu!T11</f>
        <v>0.86975916111152007</v>
      </c>
      <c r="U17" s="46">
        <f>+Dulieu!U11</f>
        <v>0.87794915126525819</v>
      </c>
      <c r="V17" s="46">
        <f>+Dulieu!V11</f>
        <v>0.93802605839649111</v>
      </c>
      <c r="W17" s="46">
        <f>+Dulieu!W11</f>
        <v>0.89353520285803634</v>
      </c>
      <c r="X17" s="46">
        <f>+Dulieu!X11</f>
        <v>0.91492442433214805</v>
      </c>
      <c r="Y17" s="46">
        <f>+Dulieu!Y11</f>
        <v>0.91600193203898961</v>
      </c>
    </row>
    <row r="18" spans="1:25" s="32" customFormat="1" ht="12" x14ac:dyDescent="0.25">
      <c r="A18" s="42">
        <v>2</v>
      </c>
      <c r="B18" s="43" t="s">
        <v>14</v>
      </c>
      <c r="C18" s="44">
        <f>SUM(D18:Y18)</f>
        <v>1741162.35</v>
      </c>
      <c r="D18" s="44">
        <f>+Dulieu!D12</f>
        <v>214833.38</v>
      </c>
      <c r="E18" s="44">
        <f>+Dulieu!E12</f>
        <v>79442.33</v>
      </c>
      <c r="F18" s="44">
        <f>+Dulieu!F12</f>
        <v>95595.43</v>
      </c>
      <c r="G18" s="44">
        <f>+Dulieu!G12</f>
        <v>73759.12</v>
      </c>
      <c r="H18" s="44">
        <f>+Dulieu!H12</f>
        <v>75703.28</v>
      </c>
      <c r="I18" s="44">
        <f>+Dulieu!I12</f>
        <v>58395.98</v>
      </c>
      <c r="J18" s="44">
        <f>+Dulieu!J12</f>
        <v>75608.149999999994</v>
      </c>
      <c r="K18" s="44">
        <f>+Dulieu!K12</f>
        <v>73222.679999999993</v>
      </c>
      <c r="L18" s="44">
        <f>+Dulieu!L12</f>
        <v>81547.16</v>
      </c>
      <c r="M18" s="44">
        <f>+Dulieu!M12</f>
        <v>60050.21</v>
      </c>
      <c r="N18" s="44">
        <f>+Dulieu!N12</f>
        <v>112052.83</v>
      </c>
      <c r="O18" s="44">
        <f>+Dulieu!O12</f>
        <v>51268.49</v>
      </c>
      <c r="P18" s="44">
        <f>+Dulieu!P12</f>
        <v>66425.94</v>
      </c>
      <c r="Q18" s="44">
        <f>+Dulieu!Q12</f>
        <v>196849.06</v>
      </c>
      <c r="R18" s="44">
        <f>+Dulieu!R12</f>
        <v>46941.34</v>
      </c>
      <c r="S18" s="44">
        <f>+Dulieu!S12</f>
        <v>50974.34</v>
      </c>
      <c r="T18" s="44">
        <f>+Dulieu!T12</f>
        <v>69384.759999999995</v>
      </c>
      <c r="U18" s="44">
        <f>+Dulieu!U12</f>
        <v>52446.01</v>
      </c>
      <c r="V18" s="44">
        <f>+Dulieu!V12</f>
        <v>36410.129999999997</v>
      </c>
      <c r="W18" s="44">
        <f>+Dulieu!W12</f>
        <v>71189.83</v>
      </c>
      <c r="X18" s="44">
        <f>+Dulieu!X12</f>
        <v>55605.52</v>
      </c>
      <c r="Y18" s="44">
        <f>+Dulieu!Y12</f>
        <v>43456.38</v>
      </c>
    </row>
    <row r="19" spans="1:25" s="41" customFormat="1" ht="12" x14ac:dyDescent="0.25">
      <c r="A19" s="38"/>
      <c r="B19" s="39" t="s">
        <v>91</v>
      </c>
      <c r="C19" s="40">
        <f>SUM(D19:Y19)</f>
        <v>-69811.810000000056</v>
      </c>
      <c r="D19" s="40">
        <f>+D18-VLOOKUP(Dulieu!$C$12&amp;"_PRE_M",Dulieu!$C$88:$N$400,2,FALSE)</f>
        <v>-3344.1000000000058</v>
      </c>
      <c r="E19" s="40">
        <f>+E18-VLOOKUP(Dulieu!$C$12&amp;"_PRE_M",Dulieu!$C$88:$N$400,3,FALSE)</f>
        <v>-2243.8600000000006</v>
      </c>
      <c r="F19" s="40">
        <f>+F18-VLOOKUP(Dulieu!$C$12&amp;"_PRE_M",Dulieu!$C$88:$N$400,4,FALSE)</f>
        <v>-5975.7400000000052</v>
      </c>
      <c r="G19" s="40">
        <f>+G18-VLOOKUP(Dulieu!$C$12&amp;"_PRE_M",Dulieu!$C$88:$N$400,5,FALSE)</f>
        <v>-3373.0200000000041</v>
      </c>
      <c r="H19" s="40">
        <f>+H18-VLOOKUP(Dulieu!$C$12&amp;"_PRE_M",Dulieu!$C$88:$N$400,6,FALSE)</f>
        <v>-4675.5500000000029</v>
      </c>
      <c r="I19" s="40">
        <f>+I18-VLOOKUP(Dulieu!$C$12&amp;"_PRE_M",Dulieu!$C$88:$N$400,7,FALSE)</f>
        <v>-2520.2999999999956</v>
      </c>
      <c r="J19" s="40">
        <f>+J18-VLOOKUP(Dulieu!$C$12&amp;"_PRE_M",Dulieu!$C$88:$N$400,8,FALSE)</f>
        <v>-4196.3600000000006</v>
      </c>
      <c r="K19" s="40">
        <f>+K18-VLOOKUP(Dulieu!$C$12&amp;"_PRE_M",Dulieu!$C$88:$N$400,9,FALSE)</f>
        <v>-724.45000000001164</v>
      </c>
      <c r="L19" s="40">
        <f>+L18-VLOOKUP(Dulieu!$C$12&amp;"_PRE_M",Dulieu!$C$88:$N$400,10,FALSE)</f>
        <v>-3733.6900000000023</v>
      </c>
      <c r="M19" s="40">
        <f>+M18-VLOOKUP(Dulieu!$C$12&amp;"_PRE_M",Dulieu!$C$88:$N$400,11,FALSE)</f>
        <v>-1727.739999999998</v>
      </c>
      <c r="N19" s="40">
        <f>+N18-VLOOKUP(Dulieu!$C$12&amp;"_PRE_M",Dulieu!$C$88:$N$400,12,FALSE)</f>
        <v>3403.0500000000029</v>
      </c>
      <c r="O19" s="40">
        <f>+O18-VLOOKUP(Dulieu!$C$12&amp;"_PRE_M",Dulieu!$C$88:$Y$400,13,FALSE)</f>
        <v>-2432.7400000000052</v>
      </c>
      <c r="P19" s="40">
        <f>+P18-VLOOKUP(Dulieu!$C$12&amp;"_PRE_M",Dulieu!$C$88:$Y$400,14,FALSE)</f>
        <v>911.9800000000032</v>
      </c>
      <c r="Q19" s="40">
        <f>+Q18-VLOOKUP(Dulieu!$C$12&amp;"_PRE_M",Dulieu!$C$88:$Y$400,15,FALSE)</f>
        <v>497.26999999998952</v>
      </c>
      <c r="R19" s="40">
        <f>+R18-VLOOKUP(Dulieu!$C$12&amp;"_PRE_M",Dulieu!$C$88:$Y$400,16,FALSE)</f>
        <v>-3447.6600000000035</v>
      </c>
      <c r="S19" s="40">
        <f>+S18-VLOOKUP(Dulieu!$C$12&amp;"_PRE_M",Dulieu!$C$88:$Y$400,17,FALSE)</f>
        <v>-4554.7000000000044</v>
      </c>
      <c r="T19" s="40">
        <f>+T18-VLOOKUP(Dulieu!$C$12&amp;"_PRE_M",Dulieu!$C$88:$Y$400,18,FALSE)</f>
        <v>-6090.7300000000105</v>
      </c>
      <c r="U19" s="40">
        <f>+U18-VLOOKUP(Dulieu!$C$12&amp;"_PRE_M",Dulieu!$C$88:$Y$400,19,FALSE)</f>
        <v>-6128.0299999999988</v>
      </c>
      <c r="V19" s="40">
        <f>+V18-VLOOKUP(Dulieu!$C$12&amp;"_PRE_M",Dulieu!$C$88:$Y$400,20,FALSE)</f>
        <v>-1673.1300000000047</v>
      </c>
      <c r="W19" s="40">
        <f>+W18-VLOOKUP(Dulieu!$C$12&amp;"_PRE_M",Dulieu!$C$88:$Y$400,21,FALSE)</f>
        <v>-3343.3300000000017</v>
      </c>
      <c r="X19" s="40">
        <f>+X18-VLOOKUP(Dulieu!$C$12&amp;"_PRE_M",Dulieu!$C$88:$Y$400,22,FALSE)</f>
        <v>-7587.3700000000026</v>
      </c>
      <c r="Y19" s="40">
        <f>+Y18-VLOOKUP(Dulieu!$C$12&amp;"_PRE_M",Dulieu!$C$88:$Y$400,23,FALSE)</f>
        <v>-6851.6100000000006</v>
      </c>
    </row>
    <row r="20" spans="1:25" s="41" customFormat="1" ht="12" x14ac:dyDescent="0.25">
      <c r="A20" s="38"/>
      <c r="B20" s="39" t="s">
        <v>92</v>
      </c>
      <c r="C20" s="40">
        <f>SUM(D20:Y20)</f>
        <v>27309.109999999928</v>
      </c>
      <c r="D20" s="40">
        <f>+D18-VLOOKUP(Dulieu!$C$12&amp;"_PRE_Y",Dulieu!$C$88:$N$400,2,FALSE)</f>
        <v>-91860.510000000009</v>
      </c>
      <c r="E20" s="40">
        <f>+E18-VLOOKUP(Dulieu!$C$12&amp;"_PRE_Y",Dulieu!$C$88:$N$400,3,FALSE)</f>
        <v>-1406.7700000000041</v>
      </c>
      <c r="F20" s="40">
        <f>+F18-VLOOKUP(Dulieu!$C$12&amp;"_PRE_Y",Dulieu!$C$88:$N$400,4,FALSE)</f>
        <v>8150.75</v>
      </c>
      <c r="G20" s="40">
        <f>+G18-VLOOKUP(Dulieu!$C$12&amp;"_PRE_Y",Dulieu!$C$88:$N$400,5,FALSE)</f>
        <v>1247.5899999999965</v>
      </c>
      <c r="H20" s="40">
        <f>+H18-VLOOKUP(Dulieu!$C$12&amp;"_PRE_Y",Dulieu!$C$88:$N$400,6,FALSE)</f>
        <v>-1313.8399999999965</v>
      </c>
      <c r="I20" s="40">
        <f>+I18-VLOOKUP(Dulieu!$C$12&amp;"_PRE_Y",Dulieu!$C$88:$N$400,7,FALSE)</f>
        <v>-2052.5799999999945</v>
      </c>
      <c r="J20" s="40">
        <f>+J18-VLOOKUP(Dulieu!$C$12&amp;"_PRE_Y",Dulieu!$C$88:$N$400,8,FALSE)</f>
        <v>3329.6299999999901</v>
      </c>
      <c r="K20" s="40">
        <f>+K18-VLOOKUP(Dulieu!$C$12&amp;"_PRE_Y",Dulieu!$C$88:$N$400,9,FALSE)</f>
        <v>7117.9899999999907</v>
      </c>
      <c r="L20" s="40">
        <f>+L18-VLOOKUP(Dulieu!$C$12&amp;"_PRE_Y",Dulieu!$C$88:$N$400,10,FALSE)</f>
        <v>11772.61</v>
      </c>
      <c r="M20" s="40">
        <f>+M18-VLOOKUP(Dulieu!$C$12&amp;"_PRE_Y",Dulieu!$C$88:$N$400,11,FALSE)</f>
        <v>-2368.7300000000032</v>
      </c>
      <c r="N20" s="40">
        <f>+N18-VLOOKUP(Dulieu!$C$12&amp;"_PRE_Y",Dulieu!$C$88:$N$400,12,FALSE)</f>
        <v>19542.440000000002</v>
      </c>
      <c r="O20" s="40">
        <f>+O18-VLOOKUP(Dulieu!$C$12&amp;"_PRE_Y",Dulieu!$C$88:$Y$400,13,FALSE)</f>
        <v>5254.3099999999977</v>
      </c>
      <c r="P20" s="40">
        <f>+P18-VLOOKUP(Dulieu!$C$12&amp;"_PRE_Y",Dulieu!$C$88:$Y$400,14,FALSE)</f>
        <v>11974.46</v>
      </c>
      <c r="Q20" s="40">
        <f>+Q18-VLOOKUP(Dulieu!$C$12&amp;"_PRE_Y",Dulieu!$C$88:$Y$400,15,FALSE)</f>
        <v>34560.329999999987</v>
      </c>
      <c r="R20" s="40">
        <f>+R18-VLOOKUP(Dulieu!$C$12&amp;"_PRE_Y",Dulieu!$C$88:$Y$400,16,FALSE)</f>
        <v>3846.7299999999959</v>
      </c>
      <c r="S20" s="40">
        <f>+S18-VLOOKUP(Dulieu!$C$12&amp;"_PRE_Y",Dulieu!$C$88:$Y$400,17,FALSE)</f>
        <v>2533.5999999999985</v>
      </c>
      <c r="T20" s="40">
        <f>+T18-VLOOKUP(Dulieu!$C$12&amp;"_PRE_Y",Dulieu!$C$88:$Y$400,18,FALSE)</f>
        <v>5008.7999999999956</v>
      </c>
      <c r="U20" s="40">
        <f>+U18-VLOOKUP(Dulieu!$C$12&amp;"_PRE_Y",Dulieu!$C$88:$Y$400,19,FALSE)</f>
        <v>2104.0200000000041</v>
      </c>
      <c r="V20" s="40">
        <f>+V18-VLOOKUP(Dulieu!$C$12&amp;"_PRE_Y",Dulieu!$C$88:$Y$400,20,FALSE)</f>
        <v>2934.8899999999994</v>
      </c>
      <c r="W20" s="40">
        <f>+W18-VLOOKUP(Dulieu!$C$12&amp;"_PRE_Y",Dulieu!$C$88:$Y$400,21,FALSE)</f>
        <v>6725.4199999999983</v>
      </c>
      <c r="X20" s="40">
        <f>+X18-VLOOKUP(Dulieu!$C$12&amp;"_PRE_Y",Dulieu!$C$88:$Y$400,22,FALSE)</f>
        <v>-662.15000000000146</v>
      </c>
      <c r="Y20" s="40">
        <f>+Y18-VLOOKUP(Dulieu!$C$12&amp;"_PRE_Y",Dulieu!$C$88:$Y$400,23,FALSE)</f>
        <v>870.11999999999534</v>
      </c>
    </row>
    <row r="21" spans="1:25" s="47" customFormat="1" ht="12" x14ac:dyDescent="0.25">
      <c r="A21" s="45"/>
      <c r="B21" s="46" t="s">
        <v>15</v>
      </c>
      <c r="C21" s="46">
        <f>+C18/C8</f>
        <v>0.1319312773937501</v>
      </c>
      <c r="D21" s="46">
        <f>+Dulieu!D13</f>
        <v>0.295848077248418</v>
      </c>
      <c r="E21" s="46">
        <f>+Dulieu!E13</f>
        <v>0.13744178920985572</v>
      </c>
      <c r="F21" s="46">
        <f>+Dulieu!F13</f>
        <v>0.15344854777522274</v>
      </c>
      <c r="G21" s="46">
        <f>+Dulieu!G13</f>
        <v>9.7823457798634522E-2</v>
      </c>
      <c r="H21" s="46">
        <f>+Dulieu!H13</f>
        <v>0.10295043852878746</v>
      </c>
      <c r="I21" s="46">
        <f>+Dulieu!I13</f>
        <v>9.6341749292965406E-2</v>
      </c>
      <c r="J21" s="46">
        <f>+Dulieu!J13</f>
        <v>0.1172572478686101</v>
      </c>
      <c r="K21" s="46">
        <f>+Dulieu!K13</f>
        <v>0.10230164835286892</v>
      </c>
      <c r="L21" s="46">
        <f>+Dulieu!L13</f>
        <v>0.13617153073953517</v>
      </c>
      <c r="M21" s="46">
        <f>+Dulieu!M13</f>
        <v>0.10625064802937141</v>
      </c>
      <c r="N21" s="46">
        <f>+Dulieu!N13</f>
        <v>0.19675794295529886</v>
      </c>
      <c r="O21" s="46">
        <f>+Dulieu!O13</f>
        <v>0.1410249745063788</v>
      </c>
      <c r="P21" s="46">
        <f>+Dulieu!P13</f>
        <v>8.6475472980295801E-2</v>
      </c>
      <c r="Q21" s="46">
        <f>+Dulieu!Q13</f>
        <v>0.50938434843453173</v>
      </c>
      <c r="R21" s="46">
        <f>+Dulieu!R13</f>
        <v>0.12414372301475085</v>
      </c>
      <c r="S21" s="46">
        <f>+Dulieu!S13</f>
        <v>6.4651381034794675E-2</v>
      </c>
      <c r="T21" s="46">
        <f>+Dulieu!T13</f>
        <v>0.13005340089648215</v>
      </c>
      <c r="U21" s="46">
        <f>+Dulieu!U13</f>
        <v>0.12181857448835327</v>
      </c>
      <c r="V21" s="46">
        <f>+Dulieu!V13</f>
        <v>6.1804197092592258E-2</v>
      </c>
      <c r="W21" s="46">
        <f>+Dulieu!W13</f>
        <v>0.10631545634939628</v>
      </c>
      <c r="X21" s="46">
        <f>+Dulieu!X13</f>
        <v>8.4922851888111869E-2</v>
      </c>
      <c r="Y21" s="46">
        <f>+Dulieu!Y13</f>
        <v>8.3805218904314208E-2</v>
      </c>
    </row>
    <row r="22" spans="1:25" s="32" customFormat="1" ht="12" x14ac:dyDescent="0.25">
      <c r="A22" s="48" t="s">
        <v>16</v>
      </c>
      <c r="B22" s="43" t="s">
        <v>17</v>
      </c>
      <c r="C22" s="44">
        <f t="shared" ref="C22:C36" si="13">SUM(D22:Y22)</f>
        <v>357762.62000000011</v>
      </c>
      <c r="D22" s="44">
        <f>+Dulieu!D14</f>
        <v>119126.17</v>
      </c>
      <c r="E22" s="44">
        <f>+Dulieu!E14</f>
        <v>4343.33</v>
      </c>
      <c r="F22" s="44">
        <f>+Dulieu!F14</f>
        <v>4746.26</v>
      </c>
      <c r="G22" s="44">
        <f>+Dulieu!G14</f>
        <v>3310.49</v>
      </c>
      <c r="H22" s="44">
        <f>+Dulieu!H14</f>
        <v>1933.31</v>
      </c>
      <c r="I22" s="44">
        <f>+Dulieu!I14</f>
        <v>4028.12</v>
      </c>
      <c r="J22" s="44">
        <f>+Dulieu!J14</f>
        <v>10604.04</v>
      </c>
      <c r="K22" s="44">
        <f>+Dulieu!K14</f>
        <v>1187.43</v>
      </c>
      <c r="L22" s="44">
        <f>+Dulieu!L14</f>
        <v>7024.9</v>
      </c>
      <c r="M22" s="44">
        <f>+Dulieu!M14</f>
        <v>1848.45</v>
      </c>
      <c r="N22" s="44">
        <f>+Dulieu!N14</f>
        <v>1238.74</v>
      </c>
      <c r="O22" s="44">
        <f>+Dulieu!O14</f>
        <v>793.04</v>
      </c>
      <c r="P22" s="44">
        <f>+Dulieu!P14</f>
        <v>2897.85</v>
      </c>
      <c r="Q22" s="44">
        <f>+Dulieu!Q14</f>
        <v>166922.1</v>
      </c>
      <c r="R22" s="44">
        <f>+Dulieu!R14</f>
        <v>3978.34</v>
      </c>
      <c r="S22" s="44">
        <f>+Dulieu!S14</f>
        <v>4200.3900000000003</v>
      </c>
      <c r="T22" s="44">
        <f>+Dulieu!T14</f>
        <v>1930.45</v>
      </c>
      <c r="U22" s="44">
        <f>+Dulieu!U14</f>
        <v>2769.96</v>
      </c>
      <c r="V22" s="44">
        <f>+Dulieu!V14</f>
        <v>2156.0700000000002</v>
      </c>
      <c r="W22" s="44">
        <f>+Dulieu!W14</f>
        <v>6276.84</v>
      </c>
      <c r="X22" s="44">
        <f>+Dulieu!X14</f>
        <v>4631.32</v>
      </c>
      <c r="Y22" s="44">
        <f>+Dulieu!Y14</f>
        <v>1815.02</v>
      </c>
    </row>
    <row r="23" spans="1:25" s="41" customFormat="1" ht="12" x14ac:dyDescent="0.25">
      <c r="A23" s="38"/>
      <c r="B23" s="39" t="s">
        <v>91</v>
      </c>
      <c r="C23" s="40">
        <f t="shared" si="13"/>
        <v>-45728.389999999992</v>
      </c>
      <c r="D23" s="40">
        <f>+D22-VLOOKUP(Dulieu!$C$14&amp;"_PRE_M",Dulieu!$C$88:$N$400,2,FALSE)</f>
        <v>767.55999999999767</v>
      </c>
      <c r="E23" s="40">
        <f>+E22-VLOOKUP(Dulieu!$C$14&amp;"_PRE_M",Dulieu!$C$88:$N$400,3,FALSE)</f>
        <v>-1366.6900000000005</v>
      </c>
      <c r="F23" s="40">
        <f>+F22-VLOOKUP(Dulieu!$C$14&amp;"_PRE_M",Dulieu!$C$88:$N$400,4,FALSE)</f>
        <v>-7508.67</v>
      </c>
      <c r="G23" s="40">
        <f>+G22-VLOOKUP(Dulieu!$C$14&amp;"_PRE_M",Dulieu!$C$88:$N$400,5,FALSE)</f>
        <v>663.35999999999967</v>
      </c>
      <c r="H23" s="40">
        <f>+H22-VLOOKUP(Dulieu!$C$14&amp;"_PRE_M",Dulieu!$C$88:$N$400,6,FALSE)</f>
        <v>-368.67000000000007</v>
      </c>
      <c r="I23" s="40">
        <f>+I22-VLOOKUP(Dulieu!$C$14&amp;"_PRE_M",Dulieu!$C$88:$N$400,7,FALSE)</f>
        <v>-2434.09</v>
      </c>
      <c r="J23" s="40">
        <f>+J22-VLOOKUP(Dulieu!$C$14&amp;"_PRE_M",Dulieu!$C$88:$N$400,8,FALSE)</f>
        <v>-451.75</v>
      </c>
      <c r="K23" s="40">
        <f>+K22-VLOOKUP(Dulieu!$C$14&amp;"_PRE_M",Dulieu!$C$88:$N$400,9,FALSE)</f>
        <v>-251.5</v>
      </c>
      <c r="L23" s="40">
        <f>+L22-VLOOKUP(Dulieu!$C$14&amp;"_PRE_M",Dulieu!$C$88:$N$400,10,FALSE)</f>
        <v>49.399999999999636</v>
      </c>
      <c r="M23" s="40">
        <f>+M22-VLOOKUP(Dulieu!$C$14&amp;"_PRE_M",Dulieu!$C$88:$N$400,11,FALSE)</f>
        <v>76.549999999999955</v>
      </c>
      <c r="N23" s="40">
        <f>+N22-VLOOKUP(Dulieu!$C$14&amp;"_PRE_M",Dulieu!$C$88:$N$400,12,FALSE)</f>
        <v>114.33999999999992</v>
      </c>
      <c r="O23" s="40">
        <f>+O22-VLOOKUP(Dulieu!$C$14&amp;"_PRE_M",Dulieu!$C$88:$Y$400,13,FALSE)</f>
        <v>-994.59000000000015</v>
      </c>
      <c r="P23" s="40">
        <f>+P22-VLOOKUP(Dulieu!$C$14&amp;"_PRE_M",Dulieu!$C$88:$Y$400,14,FALSE)</f>
        <v>-868.07000000000016</v>
      </c>
      <c r="Q23" s="40">
        <f>+Q22-VLOOKUP(Dulieu!$C$14&amp;"_PRE_M",Dulieu!$C$88:$Y$400,15,FALSE)</f>
        <v>576.32000000000698</v>
      </c>
      <c r="R23" s="40">
        <f>+R22-VLOOKUP(Dulieu!$C$14&amp;"_PRE_M",Dulieu!$C$88:$Y$400,16,FALSE)</f>
        <v>-3882.8899999999994</v>
      </c>
      <c r="S23" s="40">
        <f>+S22-VLOOKUP(Dulieu!$C$14&amp;"_PRE_M",Dulieu!$C$88:$Y$400,17,FALSE)</f>
        <v>-3590.58</v>
      </c>
      <c r="T23" s="40">
        <f>+T22-VLOOKUP(Dulieu!$C$14&amp;"_PRE_M",Dulieu!$C$88:$Y$400,18,FALSE)</f>
        <v>-4224.4400000000005</v>
      </c>
      <c r="U23" s="40">
        <f>+U22-VLOOKUP(Dulieu!$C$14&amp;"_PRE_M",Dulieu!$C$88:$Y$400,19,FALSE)</f>
        <v>-5980.9900000000007</v>
      </c>
      <c r="V23" s="40">
        <f>+V22-VLOOKUP(Dulieu!$C$14&amp;"_PRE_M",Dulieu!$C$88:$Y$400,20,FALSE)</f>
        <v>-3754.3299999999995</v>
      </c>
      <c r="W23" s="40">
        <f>+W22-VLOOKUP(Dulieu!$C$14&amp;"_PRE_M",Dulieu!$C$88:$Y$400,21,FALSE)</f>
        <v>-1416.4799999999996</v>
      </c>
      <c r="X23" s="40">
        <f>+X22-VLOOKUP(Dulieu!$C$14&amp;"_PRE_M",Dulieu!$C$88:$Y$400,22,FALSE)</f>
        <v>-6061.0300000000007</v>
      </c>
      <c r="Y23" s="40">
        <f>+Y22-VLOOKUP(Dulieu!$C$14&amp;"_PRE_M",Dulieu!$C$88:$Y$400,23,FALSE)</f>
        <v>-4821.1499999999996</v>
      </c>
    </row>
    <row r="24" spans="1:25" s="41" customFormat="1" ht="12" x14ac:dyDescent="0.25">
      <c r="A24" s="38"/>
      <c r="B24" s="39" t="s">
        <v>92</v>
      </c>
      <c r="C24" s="40">
        <f t="shared" si="13"/>
        <v>-88589.239999999991</v>
      </c>
      <c r="D24" s="40">
        <f>+D22-VLOOKUP(Dulieu!$C$14&amp;"_PRE_Y",Dulieu!$C$88:$N$400,2,FALSE)</f>
        <v>-105699.14</v>
      </c>
      <c r="E24" s="40">
        <f>+E22-VLOOKUP(Dulieu!$C$14&amp;"_PRE_Y",Dulieu!$C$88:$N$400,3,FALSE)</f>
        <v>10.550000000000182</v>
      </c>
      <c r="F24" s="40">
        <f>+F22-VLOOKUP(Dulieu!$C$14&amp;"_PRE_Y",Dulieu!$C$88:$N$400,4,FALSE)</f>
        <v>-5715.869999999999</v>
      </c>
      <c r="G24" s="40">
        <f>+G22-VLOOKUP(Dulieu!$C$14&amp;"_PRE_Y",Dulieu!$C$88:$N$400,5,FALSE)</f>
        <v>447.04999999999973</v>
      </c>
      <c r="H24" s="40">
        <f>+H22-VLOOKUP(Dulieu!$C$14&amp;"_PRE_Y",Dulieu!$C$88:$N$400,6,FALSE)</f>
        <v>-701.61999999999989</v>
      </c>
      <c r="I24" s="40">
        <f>+I22-VLOOKUP(Dulieu!$C$14&amp;"_PRE_Y",Dulieu!$C$88:$N$400,7,FALSE)</f>
        <v>-165.61999999999989</v>
      </c>
      <c r="J24" s="40">
        <f>+J22-VLOOKUP(Dulieu!$C$14&amp;"_PRE_Y",Dulieu!$C$88:$N$400,8,FALSE)</f>
        <v>-102.21999999999935</v>
      </c>
      <c r="K24" s="40">
        <f>+K22-VLOOKUP(Dulieu!$C$14&amp;"_PRE_Y",Dulieu!$C$88:$N$400,9,FALSE)</f>
        <v>41.980000000000018</v>
      </c>
      <c r="L24" s="40">
        <f>+L22-VLOOKUP(Dulieu!$C$14&amp;"_PRE_Y",Dulieu!$C$88:$N$400,10,FALSE)</f>
        <v>2567.3199999999997</v>
      </c>
      <c r="M24" s="40">
        <f>+M22-VLOOKUP(Dulieu!$C$14&amp;"_PRE_Y",Dulieu!$C$88:$N$400,11,FALSE)</f>
        <v>-255.64999999999986</v>
      </c>
      <c r="N24" s="40">
        <f>+N22-VLOOKUP(Dulieu!$C$14&amp;"_PRE_Y",Dulieu!$C$88:$N$400,12,FALSE)</f>
        <v>-417.34999999999991</v>
      </c>
      <c r="O24" s="40">
        <f>+O22-VLOOKUP(Dulieu!$C$14&amp;"_PRE_Y",Dulieu!$C$88:$Y$400,13,FALSE)</f>
        <v>-49.700000000000045</v>
      </c>
      <c r="P24" s="40">
        <f>+P22-VLOOKUP(Dulieu!$C$14&amp;"_PRE_Y",Dulieu!$C$88:$Y$400,14,FALSE)</f>
        <v>746.63999999999987</v>
      </c>
      <c r="Q24" s="40">
        <f>+Q22-VLOOKUP(Dulieu!$C$14&amp;"_PRE_Y",Dulieu!$C$88:$Y$400,15,FALSE)</f>
        <v>30301.790000000008</v>
      </c>
      <c r="R24" s="40">
        <f>+R22-VLOOKUP(Dulieu!$C$14&amp;"_PRE_Y",Dulieu!$C$88:$Y$400,16,FALSE)</f>
        <v>-395.59999999999945</v>
      </c>
      <c r="S24" s="40">
        <f>+S22-VLOOKUP(Dulieu!$C$14&amp;"_PRE_Y",Dulieu!$C$88:$Y$400,17,FALSE)</f>
        <v>-1207.2999999999993</v>
      </c>
      <c r="T24" s="40">
        <f>+T22-VLOOKUP(Dulieu!$C$14&amp;"_PRE_Y",Dulieu!$C$88:$Y$400,18,FALSE)</f>
        <v>-413.58000000000015</v>
      </c>
      <c r="U24" s="40">
        <f>+U22-VLOOKUP(Dulieu!$C$14&amp;"_PRE_Y",Dulieu!$C$88:$Y$400,19,FALSE)</f>
        <v>637.32000000000016</v>
      </c>
      <c r="V24" s="40">
        <f>+V22-VLOOKUP(Dulieu!$C$14&amp;"_PRE_Y",Dulieu!$C$88:$Y$400,20,FALSE)</f>
        <v>-2280.9900000000002</v>
      </c>
      <c r="W24" s="40">
        <f>+W22-VLOOKUP(Dulieu!$C$14&amp;"_PRE_Y",Dulieu!$C$88:$Y$400,21,FALSE)</f>
        <v>-1381.3499999999995</v>
      </c>
      <c r="X24" s="40">
        <f>+X22-VLOOKUP(Dulieu!$C$14&amp;"_PRE_Y",Dulieu!$C$88:$Y$400,22,FALSE)</f>
        <v>-3722.4300000000003</v>
      </c>
      <c r="Y24" s="40">
        <f>+Y22-VLOOKUP(Dulieu!$C$14&amp;"_PRE_Y",Dulieu!$C$88:$Y$400,23,FALSE)</f>
        <v>-833.4699999999998</v>
      </c>
    </row>
    <row r="25" spans="1:25" s="32" customFormat="1" ht="12" x14ac:dyDescent="0.25">
      <c r="A25" s="48"/>
      <c r="B25" s="43" t="s">
        <v>18</v>
      </c>
      <c r="C25" s="44">
        <f t="shared" si="13"/>
        <v>27454.2</v>
      </c>
      <c r="D25" s="44">
        <f>+Dulieu!D15</f>
        <v>9842.7000000000007</v>
      </c>
      <c r="E25" s="44">
        <f>+Dulieu!E15</f>
        <v>3267.76</v>
      </c>
      <c r="F25" s="44">
        <f>+Dulieu!F15</f>
        <v>1571.58</v>
      </c>
      <c r="G25" s="44">
        <f>+Dulieu!G15</f>
        <v>525.64</v>
      </c>
      <c r="H25" s="44">
        <f>+Dulieu!H15</f>
        <v>1060.92</v>
      </c>
      <c r="I25" s="44">
        <f>+Dulieu!I15</f>
        <v>2072.11</v>
      </c>
      <c r="J25" s="44">
        <f>+Dulieu!J15</f>
        <v>210.26</v>
      </c>
      <c r="K25" s="44">
        <f>+Dulieu!K15</f>
        <v>204.7</v>
      </c>
      <c r="L25" s="44">
        <f>+Dulieu!L15</f>
        <v>204.7</v>
      </c>
      <c r="M25" s="44">
        <f>+Dulieu!M15</f>
        <v>936.43</v>
      </c>
      <c r="N25" s="44">
        <f>+Dulieu!N15</f>
        <v>0</v>
      </c>
      <c r="O25" s="44">
        <f>+Dulieu!O15</f>
        <v>0</v>
      </c>
      <c r="P25" s="44">
        <f>+Dulieu!P15</f>
        <v>1330.48</v>
      </c>
      <c r="Q25" s="44">
        <f>+Dulieu!Q15</f>
        <v>2851.04</v>
      </c>
      <c r="R25" s="44">
        <f>+Dulieu!R15</f>
        <v>223.12</v>
      </c>
      <c r="S25" s="44">
        <f>+Dulieu!S15</f>
        <v>209.4</v>
      </c>
      <c r="T25" s="44">
        <f>+Dulieu!T15</f>
        <v>338.43</v>
      </c>
      <c r="U25" s="44">
        <f>+Dulieu!U15</f>
        <v>319.66000000000003</v>
      </c>
      <c r="V25" s="44">
        <f>+Dulieu!V15</f>
        <v>450.9</v>
      </c>
      <c r="W25" s="44">
        <f>+Dulieu!W15</f>
        <v>111.31</v>
      </c>
      <c r="X25" s="44">
        <f>+Dulieu!X15</f>
        <v>1042.5999999999999</v>
      </c>
      <c r="Y25" s="44">
        <f>+Dulieu!Y15</f>
        <v>680.46</v>
      </c>
    </row>
    <row r="26" spans="1:25" s="32" customFormat="1" ht="12" x14ac:dyDescent="0.25">
      <c r="A26" s="48"/>
      <c r="B26" s="43" t="s">
        <v>19</v>
      </c>
      <c r="C26" s="44">
        <f t="shared" si="13"/>
        <v>0</v>
      </c>
      <c r="D26" s="44">
        <f>+Dulieu!D16</f>
        <v>0</v>
      </c>
      <c r="E26" s="44">
        <f>+Dulieu!E16</f>
        <v>0</v>
      </c>
      <c r="F26" s="44">
        <f>+Dulieu!F16</f>
        <v>0</v>
      </c>
      <c r="G26" s="44">
        <f>+Dulieu!G16</f>
        <v>0</v>
      </c>
      <c r="H26" s="44">
        <f>+Dulieu!H16</f>
        <v>0</v>
      </c>
      <c r="I26" s="44">
        <f>+Dulieu!I16</f>
        <v>0</v>
      </c>
      <c r="J26" s="44">
        <f>+Dulieu!J16</f>
        <v>0</v>
      </c>
      <c r="K26" s="44">
        <f>+Dulieu!K16</f>
        <v>0</v>
      </c>
      <c r="L26" s="44">
        <f>+Dulieu!L16</f>
        <v>0</v>
      </c>
      <c r="M26" s="44">
        <f>+Dulieu!M16</f>
        <v>0</v>
      </c>
      <c r="N26" s="44">
        <f>+Dulieu!N16</f>
        <v>0</v>
      </c>
      <c r="O26" s="44">
        <f>+Dulieu!O16</f>
        <v>0</v>
      </c>
      <c r="P26" s="44">
        <f>+Dulieu!P16</f>
        <v>0</v>
      </c>
      <c r="Q26" s="44">
        <f>+Dulieu!Q16</f>
        <v>0</v>
      </c>
      <c r="R26" s="44">
        <f>+Dulieu!R16</f>
        <v>0</v>
      </c>
      <c r="S26" s="44">
        <f>+Dulieu!S16</f>
        <v>0</v>
      </c>
      <c r="T26" s="44">
        <f>+Dulieu!T16</f>
        <v>0</v>
      </c>
      <c r="U26" s="44">
        <f>+Dulieu!U16</f>
        <v>0</v>
      </c>
      <c r="V26" s="44">
        <f>+Dulieu!V16</f>
        <v>0</v>
      </c>
      <c r="W26" s="44">
        <f>+Dulieu!W16</f>
        <v>0</v>
      </c>
      <c r="X26" s="44">
        <f>+Dulieu!X16</f>
        <v>0</v>
      </c>
      <c r="Y26" s="44">
        <f>+Dulieu!Y16</f>
        <v>0</v>
      </c>
    </row>
    <row r="27" spans="1:25" s="32" customFormat="1" ht="12" x14ac:dyDescent="0.25">
      <c r="A27" s="48" t="s">
        <v>20</v>
      </c>
      <c r="B27" s="43" t="s">
        <v>21</v>
      </c>
      <c r="C27" s="44">
        <f t="shared" si="13"/>
        <v>291415.3</v>
      </c>
      <c r="D27" s="44">
        <f>+Dulieu!D17</f>
        <v>9625.5300000000007</v>
      </c>
      <c r="E27" s="44">
        <f>+Dulieu!E17</f>
        <v>15627.91</v>
      </c>
      <c r="F27" s="44">
        <f>+Dulieu!F17</f>
        <v>11368.76</v>
      </c>
      <c r="G27" s="44">
        <f>+Dulieu!G17</f>
        <v>12217.6</v>
      </c>
      <c r="H27" s="44">
        <f>+Dulieu!H17</f>
        <v>12528.62</v>
      </c>
      <c r="I27" s="44">
        <f>+Dulieu!I17</f>
        <v>20355.060000000001</v>
      </c>
      <c r="J27" s="44">
        <f>+Dulieu!J17</f>
        <v>8562.8799999999992</v>
      </c>
      <c r="K27" s="44">
        <f>+Dulieu!K17</f>
        <v>14963.81</v>
      </c>
      <c r="L27" s="44">
        <f>+Dulieu!L17</f>
        <v>25391.11</v>
      </c>
      <c r="M27" s="44">
        <f>+Dulieu!M17</f>
        <v>8368.52</v>
      </c>
      <c r="N27" s="44">
        <f>+Dulieu!N17</f>
        <v>23941.5</v>
      </c>
      <c r="O27" s="44">
        <f>+Dulieu!O17</f>
        <v>10573.39</v>
      </c>
      <c r="P27" s="44">
        <f>+Dulieu!P17</f>
        <v>15951.05</v>
      </c>
      <c r="Q27" s="44">
        <f>+Dulieu!Q17</f>
        <v>12444.25</v>
      </c>
      <c r="R27" s="44">
        <f>+Dulieu!R17</f>
        <v>9430.57</v>
      </c>
      <c r="S27" s="44">
        <f>+Dulieu!S17</f>
        <v>3072.34</v>
      </c>
      <c r="T27" s="44">
        <f>+Dulieu!T17</f>
        <v>15049.6</v>
      </c>
      <c r="U27" s="44">
        <f>+Dulieu!U17</f>
        <v>20634.21</v>
      </c>
      <c r="V27" s="44">
        <f>+Dulieu!V17</f>
        <v>8663.66</v>
      </c>
      <c r="W27" s="44">
        <f>+Dulieu!W17</f>
        <v>17412.330000000002</v>
      </c>
      <c r="X27" s="44">
        <f>+Dulieu!X17</f>
        <v>7361.06</v>
      </c>
      <c r="Y27" s="44">
        <f>+Dulieu!Y17</f>
        <v>7871.54</v>
      </c>
    </row>
    <row r="28" spans="1:25" s="41" customFormat="1" ht="12" x14ac:dyDescent="0.25">
      <c r="A28" s="38"/>
      <c r="B28" s="39" t="s">
        <v>91</v>
      </c>
      <c r="C28" s="40">
        <f t="shared" si="13"/>
        <v>-9569.0799999999981</v>
      </c>
      <c r="D28" s="40">
        <f>+D27-VLOOKUP(Dulieu!$C$17&amp;"_PRE_M",Dulieu!$C$88:$N$400,2,FALSE)</f>
        <v>29.329999999999927</v>
      </c>
      <c r="E28" s="40">
        <f>+E27-VLOOKUP(Dulieu!$C$17&amp;"_PRE_M",Dulieu!$C$88:$N$400,3,FALSE)</f>
        <v>-644.75</v>
      </c>
      <c r="F28" s="40">
        <f>+F27-VLOOKUP(Dulieu!$C$17&amp;"_PRE_M",Dulieu!$C$88:$N$400,4,FALSE)</f>
        <v>117.85000000000036</v>
      </c>
      <c r="G28" s="40">
        <f>+G27-VLOOKUP(Dulieu!$C$17&amp;"_PRE_M",Dulieu!$C$88:$N$400,5,FALSE)</f>
        <v>185.26000000000022</v>
      </c>
      <c r="H28" s="40">
        <f>+H27-VLOOKUP(Dulieu!$C$17&amp;"_PRE_M",Dulieu!$C$88:$N$400,6,FALSE)</f>
        <v>100.34000000000015</v>
      </c>
      <c r="I28" s="40">
        <f>+I27-VLOOKUP(Dulieu!$C$17&amp;"_PRE_M",Dulieu!$C$88:$N$400,7,FALSE)</f>
        <v>56.350000000002183</v>
      </c>
      <c r="J28" s="40">
        <f>+J27-VLOOKUP(Dulieu!$C$17&amp;"_PRE_M",Dulieu!$C$88:$N$400,8,FALSE)</f>
        <v>-2109.2800000000007</v>
      </c>
      <c r="K28" s="40">
        <f>+K27-VLOOKUP(Dulieu!$C$17&amp;"_PRE_M",Dulieu!$C$88:$N$400,9,FALSE)</f>
        <v>593.30999999999949</v>
      </c>
      <c r="L28" s="40">
        <f>+L27-VLOOKUP(Dulieu!$C$17&amp;"_PRE_M",Dulieu!$C$88:$N$400,10,FALSE)</f>
        <v>9.1399999999994179</v>
      </c>
      <c r="M28" s="40">
        <f>+M27-VLOOKUP(Dulieu!$C$17&amp;"_PRE_M",Dulieu!$C$88:$N$400,11,FALSE)</f>
        <v>-159.27999999999884</v>
      </c>
      <c r="N28" s="40">
        <f>+N27-VLOOKUP(Dulieu!$C$17&amp;"_PRE_M",Dulieu!$C$88:$N$400,12,FALSE)</f>
        <v>773.56000000000131</v>
      </c>
      <c r="O28" s="40">
        <f>+O27-VLOOKUP(Dulieu!$C$17&amp;"_PRE_M",Dulieu!$C$88:$Y$400,13,FALSE)</f>
        <v>-2715.9700000000012</v>
      </c>
      <c r="P28" s="40">
        <f>+P27-VLOOKUP(Dulieu!$C$17&amp;"_PRE_M",Dulieu!$C$88:$Y$400,14,FALSE)</f>
        <v>-2438.5400000000009</v>
      </c>
      <c r="Q28" s="40">
        <f>+Q27-VLOOKUP(Dulieu!$C$17&amp;"_PRE_M",Dulieu!$C$88:$Y$400,15,FALSE)</f>
        <v>-376.85000000000036</v>
      </c>
      <c r="R28" s="40">
        <f>+R27-VLOOKUP(Dulieu!$C$17&amp;"_PRE_M",Dulieu!$C$88:$Y$400,16,FALSE)</f>
        <v>-459.10000000000036</v>
      </c>
      <c r="S28" s="40">
        <f>+S27-VLOOKUP(Dulieu!$C$17&amp;"_PRE_M",Dulieu!$C$88:$Y$400,17,FALSE)</f>
        <v>-279.94000000000005</v>
      </c>
      <c r="T28" s="40">
        <f>+T27-VLOOKUP(Dulieu!$C$17&amp;"_PRE_M",Dulieu!$C$88:$Y$400,18,FALSE)</f>
        <v>199</v>
      </c>
      <c r="U28" s="40">
        <f>+U27-VLOOKUP(Dulieu!$C$17&amp;"_PRE_M",Dulieu!$C$88:$Y$400,19,FALSE)</f>
        <v>-1455.2299999999996</v>
      </c>
      <c r="V28" s="40">
        <f>+V27-VLOOKUP(Dulieu!$C$17&amp;"_PRE_M",Dulieu!$C$88:$Y$400,20,FALSE)</f>
        <v>30.479999999999563</v>
      </c>
      <c r="W28" s="40">
        <f>+W27-VLOOKUP(Dulieu!$C$17&amp;"_PRE_M",Dulieu!$C$88:$Y$400,21,FALSE)</f>
        <v>-296.09999999999854</v>
      </c>
      <c r="X28" s="40">
        <f>+X27-VLOOKUP(Dulieu!$C$17&amp;"_PRE_M",Dulieu!$C$88:$Y$400,22,FALSE)</f>
        <v>-492.75</v>
      </c>
      <c r="Y28" s="40">
        <f>+Y27-VLOOKUP(Dulieu!$C$17&amp;"_PRE_M",Dulieu!$C$88:$Y$400,23,FALSE)</f>
        <v>-235.90999999999985</v>
      </c>
    </row>
    <row r="29" spans="1:25" s="41" customFormat="1" ht="12" x14ac:dyDescent="0.25">
      <c r="A29" s="38"/>
      <c r="B29" s="39" t="s">
        <v>92</v>
      </c>
      <c r="C29" s="40">
        <f t="shared" si="13"/>
        <v>-9900.0999999999949</v>
      </c>
      <c r="D29" s="40">
        <f>+D27-VLOOKUP(Dulieu!$C$17&amp;"_PRE_Y",Dulieu!$C$88:$N$400,2,FALSE)</f>
        <v>-1135.6599999999999</v>
      </c>
      <c r="E29" s="40">
        <f>+E27-VLOOKUP(Dulieu!$C$17&amp;"_PRE_Y",Dulieu!$C$88:$N$400,3,FALSE)</f>
        <v>-988.77000000000044</v>
      </c>
      <c r="F29" s="40">
        <f>+F27-VLOOKUP(Dulieu!$C$17&amp;"_PRE_Y",Dulieu!$C$88:$N$400,4,FALSE)</f>
        <v>-660.54999999999927</v>
      </c>
      <c r="G29" s="40">
        <f>+G27-VLOOKUP(Dulieu!$C$17&amp;"_PRE_Y",Dulieu!$C$88:$N$400,5,FALSE)</f>
        <v>-2851.119999999999</v>
      </c>
      <c r="H29" s="40">
        <f>+H27-VLOOKUP(Dulieu!$C$17&amp;"_PRE_Y",Dulieu!$C$88:$N$400,6,FALSE)</f>
        <v>-889.42999999999847</v>
      </c>
      <c r="I29" s="40">
        <f>+I27-VLOOKUP(Dulieu!$C$17&amp;"_PRE_Y",Dulieu!$C$88:$N$400,7,FALSE)</f>
        <v>-1750.7599999999984</v>
      </c>
      <c r="J29" s="40">
        <f>+J27-VLOOKUP(Dulieu!$C$17&amp;"_PRE_Y",Dulieu!$C$88:$N$400,8,FALSE)</f>
        <v>-2452.1900000000005</v>
      </c>
      <c r="K29" s="40">
        <f>+K27-VLOOKUP(Dulieu!$C$17&amp;"_PRE_Y",Dulieu!$C$88:$N$400,9,FALSE)</f>
        <v>3346.5499999999993</v>
      </c>
      <c r="L29" s="40">
        <f>+L27-VLOOKUP(Dulieu!$C$17&amp;"_PRE_Y",Dulieu!$C$88:$N$400,10,FALSE)</f>
        <v>1803.260000000002</v>
      </c>
      <c r="M29" s="40">
        <f>+M27-VLOOKUP(Dulieu!$C$17&amp;"_PRE_Y",Dulieu!$C$88:$N$400,11,FALSE)</f>
        <v>-4489</v>
      </c>
      <c r="N29" s="40">
        <f>+N27-VLOOKUP(Dulieu!$C$17&amp;"_PRE_Y",Dulieu!$C$88:$N$400,12,FALSE)</f>
        <v>7259.3600000000006</v>
      </c>
      <c r="O29" s="40">
        <f>+O27-VLOOKUP(Dulieu!$C$17&amp;"_PRE_Y",Dulieu!$C$88:$Y$400,13,FALSE)</f>
        <v>-1074.9099999999999</v>
      </c>
      <c r="P29" s="40">
        <f>+P27-VLOOKUP(Dulieu!$C$17&amp;"_PRE_Y",Dulieu!$C$88:$Y$400,14,FALSE)</f>
        <v>592.69999999999891</v>
      </c>
      <c r="Q29" s="40">
        <f>+Q27-VLOOKUP(Dulieu!$C$17&amp;"_PRE_Y",Dulieu!$C$88:$Y$400,15,FALSE)</f>
        <v>1002.1200000000008</v>
      </c>
      <c r="R29" s="40">
        <f>+R27-VLOOKUP(Dulieu!$C$17&amp;"_PRE_Y",Dulieu!$C$88:$Y$400,16,FALSE)</f>
        <v>-2870.630000000001</v>
      </c>
      <c r="S29" s="40">
        <f>+S27-VLOOKUP(Dulieu!$C$17&amp;"_PRE_Y",Dulieu!$C$88:$Y$400,17,FALSE)</f>
        <v>-652.02</v>
      </c>
      <c r="T29" s="40">
        <f>+T27-VLOOKUP(Dulieu!$C$17&amp;"_PRE_Y",Dulieu!$C$88:$Y$400,18,FALSE)</f>
        <v>-460.80999999999949</v>
      </c>
      <c r="U29" s="40">
        <f>+U27-VLOOKUP(Dulieu!$C$17&amp;"_PRE_Y",Dulieu!$C$88:$Y$400,19,FALSE)</f>
        <v>-4753.1000000000022</v>
      </c>
      <c r="V29" s="40">
        <f>+V27-VLOOKUP(Dulieu!$C$17&amp;"_PRE_Y",Dulieu!$C$88:$Y$400,20,FALSE)</f>
        <v>254.42000000000007</v>
      </c>
      <c r="W29" s="40">
        <f>+W27-VLOOKUP(Dulieu!$C$17&amp;"_PRE_Y",Dulieu!$C$88:$Y$400,21,FALSE)</f>
        <v>1980.5500000000011</v>
      </c>
      <c r="X29" s="40">
        <f>+X27-VLOOKUP(Dulieu!$C$17&amp;"_PRE_Y",Dulieu!$C$88:$Y$400,22,FALSE)</f>
        <v>188.17000000000007</v>
      </c>
      <c r="Y29" s="40">
        <f>+Y27-VLOOKUP(Dulieu!$C$17&amp;"_PRE_Y",Dulieu!$C$88:$Y$400,23,FALSE)</f>
        <v>-1298.2799999999997</v>
      </c>
    </row>
    <row r="30" spans="1:25" s="32" customFormat="1" ht="12" x14ac:dyDescent="0.25">
      <c r="A30" s="48" t="s">
        <v>22</v>
      </c>
      <c r="B30" s="43" t="s">
        <v>23</v>
      </c>
      <c r="C30" s="44">
        <f t="shared" si="13"/>
        <v>74070.789999999994</v>
      </c>
      <c r="D30" s="44">
        <f>+Dulieu!D18</f>
        <v>4329.92</v>
      </c>
      <c r="E30" s="44">
        <f>+Dulieu!E18</f>
        <v>1109.9100000000001</v>
      </c>
      <c r="F30" s="44">
        <f>+Dulieu!F18</f>
        <v>5785.76</v>
      </c>
      <c r="G30" s="44">
        <f>+Dulieu!G18</f>
        <v>3668.97</v>
      </c>
      <c r="H30" s="44">
        <f>+Dulieu!H18</f>
        <v>6580.87</v>
      </c>
      <c r="I30" s="44">
        <f>+Dulieu!I18</f>
        <v>10155.48</v>
      </c>
      <c r="J30" s="44">
        <f>+Dulieu!J18</f>
        <v>8003.63</v>
      </c>
      <c r="K30" s="44">
        <f>+Dulieu!K18</f>
        <v>2295.4699999999998</v>
      </c>
      <c r="L30" s="44">
        <f>+Dulieu!L18</f>
        <v>5543.52</v>
      </c>
      <c r="M30" s="44">
        <f>+Dulieu!M18</f>
        <v>5549.98</v>
      </c>
      <c r="N30" s="44">
        <f>+Dulieu!N18</f>
        <v>2631.31</v>
      </c>
      <c r="O30" s="44">
        <f>+Dulieu!O18</f>
        <v>582.85</v>
      </c>
      <c r="P30" s="44">
        <f>+Dulieu!P18</f>
        <v>2040.88</v>
      </c>
      <c r="Q30" s="44">
        <f>+Dulieu!Q18</f>
        <v>0</v>
      </c>
      <c r="R30" s="44">
        <f>+Dulieu!R18</f>
        <v>2287.09</v>
      </c>
      <c r="S30" s="44">
        <f>+Dulieu!S18</f>
        <v>2496.15</v>
      </c>
      <c r="T30" s="44">
        <f>+Dulieu!T18</f>
        <v>1540.69</v>
      </c>
      <c r="U30" s="44">
        <f>+Dulieu!U18</f>
        <v>456.47</v>
      </c>
      <c r="V30" s="44">
        <f>+Dulieu!V18</f>
        <v>971.76</v>
      </c>
      <c r="W30" s="44">
        <f>+Dulieu!W18</f>
        <v>3824.25</v>
      </c>
      <c r="X30" s="44">
        <f>+Dulieu!X18</f>
        <v>1073.42</v>
      </c>
      <c r="Y30" s="44">
        <f>+Dulieu!Y18</f>
        <v>3142.41</v>
      </c>
    </row>
    <row r="31" spans="1:25" s="41" customFormat="1" ht="12" x14ac:dyDescent="0.25">
      <c r="A31" s="38"/>
      <c r="B31" s="39" t="s">
        <v>91</v>
      </c>
      <c r="C31" s="40">
        <f t="shared" si="13"/>
        <v>190.18000000000029</v>
      </c>
      <c r="D31" s="40">
        <f>+D30-VLOOKUP(Dulieu!$C$18&amp;"_PRE_M",Dulieu!$C$88:$N$400,2,FALSE)</f>
        <v>1.4600000000000364</v>
      </c>
      <c r="E31" s="40">
        <f>+E30-VLOOKUP(Dulieu!$C$18&amp;"_PRE_M",Dulieu!$C$88:$N$400,3,FALSE)</f>
        <v>-182.81999999999994</v>
      </c>
      <c r="F31" s="40">
        <f>+F30-VLOOKUP(Dulieu!$C$18&amp;"_PRE_M",Dulieu!$C$88:$N$400,4,FALSE)</f>
        <v>-89.019999999999527</v>
      </c>
      <c r="G31" s="40">
        <f>+G30-VLOOKUP(Dulieu!$C$18&amp;"_PRE_M",Dulieu!$C$88:$N$400,5,FALSE)</f>
        <v>518.2199999999998</v>
      </c>
      <c r="H31" s="40">
        <f>+H30-VLOOKUP(Dulieu!$C$18&amp;"_PRE_M",Dulieu!$C$88:$N$400,6,FALSE)</f>
        <v>-165.10999999999967</v>
      </c>
      <c r="I31" s="40">
        <f>+I30-VLOOKUP(Dulieu!$C$18&amp;"_PRE_M",Dulieu!$C$88:$N$400,7,FALSE)</f>
        <v>-92.610000000000582</v>
      </c>
      <c r="J31" s="40">
        <f>+J30-VLOOKUP(Dulieu!$C$18&amp;"_PRE_M",Dulieu!$C$88:$N$400,8,FALSE)</f>
        <v>12.650000000000546</v>
      </c>
      <c r="K31" s="40">
        <f>+K30-VLOOKUP(Dulieu!$C$18&amp;"_PRE_M",Dulieu!$C$88:$N$400,9,FALSE)</f>
        <v>-30.790000000000418</v>
      </c>
      <c r="L31" s="40">
        <f>+L30-VLOOKUP(Dulieu!$C$18&amp;"_PRE_M",Dulieu!$C$88:$N$400,10,FALSE)</f>
        <v>88.090000000000146</v>
      </c>
      <c r="M31" s="40">
        <f>+M30-VLOOKUP(Dulieu!$C$18&amp;"_PRE_M",Dulieu!$C$88:$N$400,11,FALSE)</f>
        <v>-157.27000000000044</v>
      </c>
      <c r="N31" s="40">
        <f>+N30-VLOOKUP(Dulieu!$C$18&amp;"_PRE_M",Dulieu!$C$88:$N$400,12,FALSE)</f>
        <v>245.7199999999998</v>
      </c>
      <c r="O31" s="40">
        <f>+O30-VLOOKUP(Dulieu!$C$18&amp;"_PRE_M",Dulieu!$C$88:$Y$400,13,FALSE)</f>
        <v>9.9999999999909051E-3</v>
      </c>
      <c r="P31" s="40">
        <f>+P30-VLOOKUP(Dulieu!$C$18&amp;"_PRE_M",Dulieu!$C$88:$Y$400,14,FALSE)</f>
        <v>934.65000000000009</v>
      </c>
      <c r="Q31" s="40">
        <f>+Q30-VLOOKUP(Dulieu!$C$18&amp;"_PRE_M",Dulieu!$C$88:$Y$400,15,FALSE)</f>
        <v>0</v>
      </c>
      <c r="R31" s="40">
        <f>+R30-VLOOKUP(Dulieu!$C$18&amp;"_PRE_M",Dulieu!$C$88:$Y$400,16,FALSE)</f>
        <v>-340.94999999999982</v>
      </c>
      <c r="S31" s="40">
        <f>+S30-VLOOKUP(Dulieu!$C$18&amp;"_PRE_M",Dulieu!$C$88:$Y$400,17,FALSE)</f>
        <v>-1803.7999999999997</v>
      </c>
      <c r="T31" s="40">
        <f>+T30-VLOOKUP(Dulieu!$C$18&amp;"_PRE_M",Dulieu!$C$88:$Y$400,18,FALSE)</f>
        <v>135.96000000000004</v>
      </c>
      <c r="U31" s="40">
        <f>+U30-VLOOKUP(Dulieu!$C$18&amp;"_PRE_M",Dulieu!$C$88:$Y$400,19,FALSE)</f>
        <v>100.05000000000001</v>
      </c>
      <c r="V31" s="40">
        <f>+V30-VLOOKUP(Dulieu!$C$18&amp;"_PRE_M",Dulieu!$C$88:$Y$400,20,FALSE)</f>
        <v>-7.0199999999999818</v>
      </c>
      <c r="W31" s="40">
        <f>+W30-VLOOKUP(Dulieu!$C$18&amp;"_PRE_M",Dulieu!$C$88:$Y$400,21,FALSE)</f>
        <v>505.05999999999995</v>
      </c>
      <c r="X31" s="40">
        <f>+X30-VLOOKUP(Dulieu!$C$18&amp;"_PRE_M",Dulieu!$C$88:$Y$400,22,FALSE)</f>
        <v>341.12000000000012</v>
      </c>
      <c r="Y31" s="40">
        <f>+Y30-VLOOKUP(Dulieu!$C$18&amp;"_PRE_M",Dulieu!$C$88:$Y$400,23,FALSE)</f>
        <v>176.57999999999993</v>
      </c>
    </row>
    <row r="32" spans="1:25" s="41" customFormat="1" ht="12" x14ac:dyDescent="0.25">
      <c r="A32" s="38"/>
      <c r="B32" s="39" t="s">
        <v>92</v>
      </c>
      <c r="C32" s="40">
        <f t="shared" si="13"/>
        <v>-14368.439999999999</v>
      </c>
      <c r="D32" s="40">
        <f>+D30-VLOOKUP(Dulieu!$C$18&amp;"_PRE_Y",Dulieu!$C$88:$N$400,2,FALSE)</f>
        <v>-353.4399999999996</v>
      </c>
      <c r="E32" s="40">
        <f>+E30-VLOOKUP(Dulieu!$C$18&amp;"_PRE_Y",Dulieu!$C$88:$N$400,3,FALSE)</f>
        <v>-965.66999999999985</v>
      </c>
      <c r="F32" s="40">
        <f>+F30-VLOOKUP(Dulieu!$C$18&amp;"_PRE_Y",Dulieu!$C$88:$N$400,4,FALSE)</f>
        <v>5.180000000000291</v>
      </c>
      <c r="G32" s="40">
        <f>+G30-VLOOKUP(Dulieu!$C$18&amp;"_PRE_Y",Dulieu!$C$88:$N$400,5,FALSE)</f>
        <v>632.07999999999993</v>
      </c>
      <c r="H32" s="40">
        <f>+H30-VLOOKUP(Dulieu!$C$18&amp;"_PRE_Y",Dulieu!$C$88:$N$400,6,FALSE)</f>
        <v>-1865.1799999999994</v>
      </c>
      <c r="I32" s="40">
        <f>+I30-VLOOKUP(Dulieu!$C$18&amp;"_PRE_Y",Dulieu!$C$88:$N$400,7,FALSE)</f>
        <v>-614.5</v>
      </c>
      <c r="J32" s="40">
        <f>+J30-VLOOKUP(Dulieu!$C$18&amp;"_PRE_Y",Dulieu!$C$88:$N$400,8,FALSE)</f>
        <v>-1001.9199999999992</v>
      </c>
      <c r="K32" s="40">
        <f>+K30-VLOOKUP(Dulieu!$C$18&amp;"_PRE_Y",Dulieu!$C$88:$N$400,9,FALSE)</f>
        <v>-1383.7400000000002</v>
      </c>
      <c r="L32" s="40">
        <f>+L30-VLOOKUP(Dulieu!$C$18&amp;"_PRE_Y",Dulieu!$C$88:$N$400,10,FALSE)</f>
        <v>-519.77999999999975</v>
      </c>
      <c r="M32" s="40">
        <f>+M30-VLOOKUP(Dulieu!$C$18&amp;"_PRE_Y",Dulieu!$C$88:$N$400,11,FALSE)</f>
        <v>-1163.9000000000005</v>
      </c>
      <c r="N32" s="40">
        <f>+N30-VLOOKUP(Dulieu!$C$18&amp;"_PRE_Y",Dulieu!$C$88:$N$400,12,FALSE)</f>
        <v>-1596.02</v>
      </c>
      <c r="O32" s="40">
        <f>+O30-VLOOKUP(Dulieu!$C$18&amp;"_PRE_Y",Dulieu!$C$88:$Y$400,13,FALSE)</f>
        <v>-2105.7200000000003</v>
      </c>
      <c r="P32" s="40">
        <f>+P30-VLOOKUP(Dulieu!$C$18&amp;"_PRE_Y",Dulieu!$C$88:$Y$400,14,FALSE)</f>
        <v>564.71</v>
      </c>
      <c r="Q32" s="40">
        <f>+Q30-VLOOKUP(Dulieu!$C$18&amp;"_PRE_Y",Dulieu!$C$88:$Y$400,15,FALSE)</f>
        <v>0</v>
      </c>
      <c r="R32" s="40">
        <f>+R30-VLOOKUP(Dulieu!$C$18&amp;"_PRE_Y",Dulieu!$C$88:$Y$400,16,FALSE)</f>
        <v>217.32999999999993</v>
      </c>
      <c r="S32" s="40">
        <f>+S30-VLOOKUP(Dulieu!$C$18&amp;"_PRE_Y",Dulieu!$C$88:$Y$400,17,FALSE)</f>
        <v>-2907.0399999999995</v>
      </c>
      <c r="T32" s="40">
        <f>+T30-VLOOKUP(Dulieu!$C$18&amp;"_PRE_Y",Dulieu!$C$88:$Y$400,18,FALSE)</f>
        <v>-1135.2799999999997</v>
      </c>
      <c r="U32" s="40">
        <f>+U30-VLOOKUP(Dulieu!$C$18&amp;"_PRE_Y",Dulieu!$C$88:$Y$400,19,FALSE)</f>
        <v>-14.839999999999975</v>
      </c>
      <c r="V32" s="40">
        <f>+V30-VLOOKUP(Dulieu!$C$18&amp;"_PRE_Y",Dulieu!$C$88:$Y$400,20,FALSE)</f>
        <v>-380.96000000000004</v>
      </c>
      <c r="W32" s="40">
        <f>+W30-VLOOKUP(Dulieu!$C$18&amp;"_PRE_Y",Dulieu!$C$88:$Y$400,21,FALSE)</f>
        <v>891.82999999999993</v>
      </c>
      <c r="X32" s="40">
        <f>+X30-VLOOKUP(Dulieu!$C$18&amp;"_PRE_Y",Dulieu!$C$88:$Y$400,22,FALSE)</f>
        <v>-229.36999999999989</v>
      </c>
      <c r="Y32" s="40">
        <f>+Y30-VLOOKUP(Dulieu!$C$18&amp;"_PRE_Y",Dulieu!$C$88:$Y$400,23,FALSE)</f>
        <v>-442.21000000000004</v>
      </c>
    </row>
    <row r="33" spans="1:25" s="32" customFormat="1" ht="12" x14ac:dyDescent="0.25">
      <c r="A33" s="48" t="s">
        <v>24</v>
      </c>
      <c r="B33" s="43" t="s">
        <v>25</v>
      </c>
      <c r="C33" s="44">
        <f t="shared" si="13"/>
        <v>1004546.3500000001</v>
      </c>
      <c r="D33" s="44">
        <f>+Dulieu!D19</f>
        <v>81189.509999999995</v>
      </c>
      <c r="E33" s="44">
        <f>+Dulieu!E19</f>
        <v>58361.18</v>
      </c>
      <c r="F33" s="44">
        <f>+Dulieu!F19</f>
        <v>71387.350000000006</v>
      </c>
      <c r="G33" s="44">
        <f>+Dulieu!G19</f>
        <v>54342.05</v>
      </c>
      <c r="H33" s="44">
        <f>+Dulieu!H19</f>
        <v>54398.48</v>
      </c>
      <c r="I33" s="44">
        <f>+Dulieu!I19</f>
        <v>23574.69</v>
      </c>
      <c r="J33" s="44">
        <f>+Dulieu!J19</f>
        <v>48324.9</v>
      </c>
      <c r="K33" s="44">
        <f>+Dulieu!K19</f>
        <v>54365.95</v>
      </c>
      <c r="L33" s="44">
        <f>+Dulieu!L19</f>
        <v>43567.59</v>
      </c>
      <c r="M33" s="44">
        <f>+Dulieu!M19</f>
        <v>44061.46</v>
      </c>
      <c r="N33" s="44">
        <f>+Dulieu!N19</f>
        <v>84216.28</v>
      </c>
      <c r="O33" s="44">
        <f>+Dulieu!O19</f>
        <v>38887.93</v>
      </c>
      <c r="P33" s="44">
        <f>+Dulieu!P19</f>
        <v>42736.160000000003</v>
      </c>
      <c r="Q33" s="44">
        <f>+Dulieu!Q19</f>
        <v>17428.71</v>
      </c>
      <c r="R33" s="44">
        <f>+Dulieu!R19</f>
        <v>30969.040000000001</v>
      </c>
      <c r="S33" s="44">
        <f>+Dulieu!S19</f>
        <v>39972.46</v>
      </c>
      <c r="T33" s="44">
        <f>+Dulieu!T19</f>
        <v>50557.58</v>
      </c>
      <c r="U33" s="44">
        <f>+Dulieu!U19</f>
        <v>27730.37</v>
      </c>
      <c r="V33" s="44">
        <f>+Dulieu!V19</f>
        <v>23348.639999999999</v>
      </c>
      <c r="W33" s="44">
        <f>+Dulieu!W19</f>
        <v>42943.39</v>
      </c>
      <c r="X33" s="44">
        <f>+Dulieu!X19</f>
        <v>41932.120000000003</v>
      </c>
      <c r="Y33" s="44">
        <f>+Dulieu!Y19</f>
        <v>30250.51</v>
      </c>
    </row>
    <row r="34" spans="1:25" s="41" customFormat="1" ht="12" x14ac:dyDescent="0.25">
      <c r="A34" s="38"/>
      <c r="B34" s="39" t="s">
        <v>91</v>
      </c>
      <c r="C34" s="40">
        <f t="shared" si="13"/>
        <v>-22861.61</v>
      </c>
      <c r="D34" s="40">
        <f>+D33-VLOOKUP(Dulieu!$C$19&amp;"_PRE_M",Dulieu!$C$88:$N$400,2,FALSE)</f>
        <v>-4596.2600000000093</v>
      </c>
      <c r="E34" s="40">
        <f>+E33-VLOOKUP(Dulieu!$C$19&amp;"_PRE_M",Dulieu!$C$88:$N$400,3,FALSE)</f>
        <v>-19.599999999998545</v>
      </c>
      <c r="F34" s="40">
        <f>+F33-VLOOKUP(Dulieu!$C$19&amp;"_PRE_M",Dulieu!$C$88:$N$400,4,FALSE)</f>
        <v>253.02000000000407</v>
      </c>
      <c r="G34" s="40">
        <f>+G33-VLOOKUP(Dulieu!$C$19&amp;"_PRE_M",Dulieu!$C$88:$N$400,5,FALSE)</f>
        <v>-4774.1899999999951</v>
      </c>
      <c r="H34" s="40">
        <f>+H33-VLOOKUP(Dulieu!$C$19&amp;"_PRE_M",Dulieu!$C$88:$N$400,6,FALSE)</f>
        <v>-4467.0399999999936</v>
      </c>
      <c r="I34" s="40">
        <f>+I33-VLOOKUP(Dulieu!$C$19&amp;"_PRE_M",Dulieu!$C$88:$N$400,7,FALSE)</f>
        <v>-149.95000000000073</v>
      </c>
      <c r="J34" s="40">
        <f>+J33-VLOOKUP(Dulieu!$C$19&amp;"_PRE_M",Dulieu!$C$88:$N$400,8,FALSE)</f>
        <v>-1640.0699999999997</v>
      </c>
      <c r="K34" s="40">
        <f>+K33-VLOOKUP(Dulieu!$C$19&amp;"_PRE_M",Dulieu!$C$88:$N$400,9,FALSE)</f>
        <v>-1035.4900000000052</v>
      </c>
      <c r="L34" s="40">
        <f>+L33-VLOOKUP(Dulieu!$C$19&amp;"_PRE_M",Dulieu!$C$88:$N$400,10,FALSE)</f>
        <v>-3870.320000000007</v>
      </c>
      <c r="M34" s="40">
        <f>+M33-VLOOKUP(Dulieu!$C$19&amp;"_PRE_M",Dulieu!$C$88:$N$400,11,FALSE)</f>
        <v>-1539.739999999998</v>
      </c>
      <c r="N34" s="40">
        <f>+N33-VLOOKUP(Dulieu!$C$19&amp;"_PRE_M",Dulieu!$C$88:$N$400,12,FALSE)</f>
        <v>2279.429999999993</v>
      </c>
      <c r="O34" s="40">
        <f>+O33-VLOOKUP(Dulieu!$C$19&amp;"_PRE_M",Dulieu!$C$88:$Y$400,13,FALSE)</f>
        <v>1307.8000000000029</v>
      </c>
      <c r="P34" s="40">
        <f>+P33-VLOOKUP(Dulieu!$C$19&amp;"_PRE_M",Dulieu!$C$88:$Y$400,14,FALSE)</f>
        <v>483.94000000000233</v>
      </c>
      <c r="Q34" s="40">
        <f>+Q33-VLOOKUP(Dulieu!$C$19&amp;"_PRE_M",Dulieu!$C$88:$Y$400,15,FALSE)</f>
        <v>297.79999999999927</v>
      </c>
      <c r="R34" s="40">
        <f>+R33-VLOOKUP(Dulieu!$C$19&amp;"_PRE_M",Dulieu!$C$88:$Y$400,16,FALSE)</f>
        <v>1171.0600000000013</v>
      </c>
      <c r="S34" s="40">
        <f>+S33-VLOOKUP(Dulieu!$C$19&amp;"_PRE_M",Dulieu!$C$88:$Y$400,17,FALSE)</f>
        <v>702.62000000000262</v>
      </c>
      <c r="T34" s="40">
        <f>+T33-VLOOKUP(Dulieu!$C$19&amp;"_PRE_M",Dulieu!$C$88:$Y$400,18,FALSE)</f>
        <v>-2264.25</v>
      </c>
      <c r="U34" s="40">
        <f>+U33-VLOOKUP(Dulieu!$C$19&amp;"_PRE_M",Dulieu!$C$88:$Y$400,19,FALSE)</f>
        <v>403.13999999999942</v>
      </c>
      <c r="V34" s="40">
        <f>+V33-VLOOKUP(Dulieu!$C$19&amp;"_PRE_M",Dulieu!$C$88:$Y$400,20,FALSE)</f>
        <v>787.73999999999796</v>
      </c>
      <c r="W34" s="40">
        <f>+W33-VLOOKUP(Dulieu!$C$19&amp;"_PRE_M",Dulieu!$C$88:$Y$400,21,FALSE)</f>
        <v>-2235.8099999999977</v>
      </c>
      <c r="X34" s="40">
        <f>+X33-VLOOKUP(Dulieu!$C$19&amp;"_PRE_M",Dulieu!$C$88:$Y$400,22,FALSE)</f>
        <v>-1812.3099999999977</v>
      </c>
      <c r="Y34" s="40">
        <f>+Y33-VLOOKUP(Dulieu!$C$19&amp;"_PRE_M",Dulieu!$C$88:$Y$400,23,FALSE)</f>
        <v>-2143.130000000001</v>
      </c>
    </row>
    <row r="35" spans="1:25" s="41" customFormat="1" ht="12" x14ac:dyDescent="0.25">
      <c r="A35" s="38"/>
      <c r="B35" s="39" t="s">
        <v>92</v>
      </c>
      <c r="C35" s="40">
        <f t="shared" si="13"/>
        <v>126799.6</v>
      </c>
      <c r="D35" s="40">
        <f>+D33-VLOOKUP(Dulieu!$C$19&amp;"_PRE_Y",Dulieu!$C$88:$N$400,2,FALSE)</f>
        <v>14765.479999999996</v>
      </c>
      <c r="E35" s="40">
        <f>+E33-VLOOKUP(Dulieu!$C$19&amp;"_PRE_Y",Dulieu!$C$88:$N$400,3,FALSE)</f>
        <v>537.12000000000262</v>
      </c>
      <c r="F35" s="40">
        <f>+F33-VLOOKUP(Dulieu!$C$19&amp;"_PRE_Y",Dulieu!$C$88:$N$400,4,FALSE)</f>
        <v>12214.690000000002</v>
      </c>
      <c r="G35" s="40">
        <f>+G33-VLOOKUP(Dulieu!$C$19&amp;"_PRE_Y",Dulieu!$C$88:$N$400,5,FALSE)</f>
        <v>2799.5699999999997</v>
      </c>
      <c r="H35" s="40">
        <f>+H33-VLOOKUP(Dulieu!$C$19&amp;"_PRE_Y",Dulieu!$C$88:$N$400,6,FALSE)</f>
        <v>1880.3900000000067</v>
      </c>
      <c r="I35" s="40">
        <f>+I33-VLOOKUP(Dulieu!$C$19&amp;"_PRE_Y",Dulieu!$C$88:$N$400,7,FALSE)</f>
        <v>195.66999999999825</v>
      </c>
      <c r="J35" s="40">
        <f>+J33-VLOOKUP(Dulieu!$C$19&amp;"_PRE_Y",Dulieu!$C$88:$N$400,8,FALSE)</f>
        <v>6773.260000000002</v>
      </c>
      <c r="K35" s="40">
        <f>+K33-VLOOKUP(Dulieu!$C$19&amp;"_PRE_Y",Dulieu!$C$88:$N$400,9,FALSE)</f>
        <v>4703.18</v>
      </c>
      <c r="L35" s="40">
        <f>+L33-VLOOKUP(Dulieu!$C$19&amp;"_PRE_Y",Dulieu!$C$88:$N$400,10,FALSE)</f>
        <v>7901.7699999999968</v>
      </c>
      <c r="M35" s="40">
        <f>+M33-VLOOKUP(Dulieu!$C$19&amp;"_PRE_Y",Dulieu!$C$88:$N$400,11,FALSE)</f>
        <v>3318.0199999999968</v>
      </c>
      <c r="N35" s="40">
        <f>+N33-VLOOKUP(Dulieu!$C$19&amp;"_PRE_Y",Dulieu!$C$88:$N$400,12,FALSE)</f>
        <v>14271.449999999997</v>
      </c>
      <c r="O35" s="40">
        <f>+O33-VLOOKUP(Dulieu!$C$19&amp;"_PRE_Y",Dulieu!$C$88:$Y$400,13,FALSE)</f>
        <v>8053.3600000000006</v>
      </c>
      <c r="P35" s="40">
        <f>+P33-VLOOKUP(Dulieu!$C$19&amp;"_PRE_Y",Dulieu!$C$88:$Y$400,14,FALSE)</f>
        <v>7270.4100000000035</v>
      </c>
      <c r="Q35" s="40">
        <f>+Q33-VLOOKUP(Dulieu!$C$19&amp;"_PRE_Y",Dulieu!$C$88:$Y$400,15,FALSE)</f>
        <v>3202.4199999999983</v>
      </c>
      <c r="R35" s="40">
        <f>+R33-VLOOKUP(Dulieu!$C$19&amp;"_PRE_Y",Dulieu!$C$88:$Y$400,16,FALSE)</f>
        <v>6619.3300000000017</v>
      </c>
      <c r="S35" s="40">
        <f>+S33-VLOOKUP(Dulieu!$C$19&amp;"_PRE_Y",Dulieu!$C$88:$Y$400,17,FALSE)</f>
        <v>6066.9599999999991</v>
      </c>
      <c r="T35" s="40">
        <f>+T33-VLOOKUP(Dulieu!$C$19&amp;"_PRE_Y",Dulieu!$C$88:$Y$400,18,FALSE)</f>
        <v>6712.0299999999988</v>
      </c>
      <c r="U35" s="40">
        <f>+U33-VLOOKUP(Dulieu!$C$19&amp;"_PRE_Y",Dulieu!$C$88:$Y$400,19,FALSE)</f>
        <v>5379.6399999999994</v>
      </c>
      <c r="V35" s="40">
        <f>+V33-VLOOKUP(Dulieu!$C$19&amp;"_PRE_Y",Dulieu!$C$88:$Y$400,20,FALSE)</f>
        <v>4072.4199999999983</v>
      </c>
      <c r="W35" s="40">
        <f>+W33-VLOOKUP(Dulieu!$C$19&amp;"_PRE_Y",Dulieu!$C$88:$Y$400,21,FALSE)</f>
        <v>4501.3700000000026</v>
      </c>
      <c r="X35" s="40">
        <f>+X33-VLOOKUP(Dulieu!$C$19&amp;"_PRE_Y",Dulieu!$C$88:$Y$400,22,FALSE)</f>
        <v>2493.8800000000047</v>
      </c>
      <c r="Y35" s="40">
        <f>+Y33-VLOOKUP(Dulieu!$C$19&amp;"_PRE_Y",Dulieu!$C$88:$Y$400,23,FALSE)</f>
        <v>3067.1799999999967</v>
      </c>
    </row>
    <row r="36" spans="1:25" s="37" customFormat="1" ht="12" x14ac:dyDescent="0.25">
      <c r="A36" s="34" t="s">
        <v>26</v>
      </c>
      <c r="B36" s="35" t="s">
        <v>27</v>
      </c>
      <c r="C36" s="36">
        <f t="shared" si="13"/>
        <v>476654</v>
      </c>
      <c r="D36" s="36">
        <f>+Dulieu!D20</f>
        <v>21764</v>
      </c>
      <c r="E36" s="36">
        <f>+Dulieu!E20</f>
        <v>29018</v>
      </c>
      <c r="F36" s="36">
        <f>+Dulieu!F20</f>
        <v>40338</v>
      </c>
      <c r="G36" s="36">
        <f>+Dulieu!G20</f>
        <v>34307</v>
      </c>
      <c r="H36" s="36">
        <f>+Dulieu!H20</f>
        <v>46743</v>
      </c>
      <c r="I36" s="36">
        <f>+Dulieu!I20</f>
        <v>48235</v>
      </c>
      <c r="J36" s="36">
        <f>+Dulieu!J20</f>
        <v>74013</v>
      </c>
      <c r="K36" s="36">
        <f>+Dulieu!K20</f>
        <v>69367</v>
      </c>
      <c r="L36" s="36">
        <f>+Dulieu!L20</f>
        <v>34142</v>
      </c>
      <c r="M36" s="36">
        <f>+Dulieu!M20</f>
        <v>45717</v>
      </c>
      <c r="N36" s="36">
        <f>+Dulieu!N20</f>
        <v>31910</v>
      </c>
      <c r="O36" s="36">
        <f>+Dulieu!O20</f>
        <v>100</v>
      </c>
      <c r="P36" s="36">
        <f>+Dulieu!P20</f>
        <v>100</v>
      </c>
      <c r="Q36" s="36">
        <f>+Dulieu!Q20</f>
        <v>100</v>
      </c>
      <c r="R36" s="36">
        <f>+Dulieu!R20</f>
        <v>100</v>
      </c>
      <c r="S36" s="36">
        <f>+Dulieu!S20</f>
        <v>100</v>
      </c>
      <c r="T36" s="36">
        <f>+Dulieu!T20</f>
        <v>100</v>
      </c>
      <c r="U36" s="36">
        <f>+Dulieu!U20</f>
        <v>100</v>
      </c>
      <c r="V36" s="36">
        <f>+Dulieu!V20</f>
        <v>100</v>
      </c>
      <c r="W36" s="36">
        <f>+Dulieu!W20</f>
        <v>100</v>
      </c>
      <c r="X36" s="36">
        <f>+Dulieu!X20</f>
        <v>100</v>
      </c>
      <c r="Y36" s="36">
        <f>+Dulieu!Y20</f>
        <v>100</v>
      </c>
    </row>
    <row r="37" spans="1:25" s="41" customFormat="1" ht="12" x14ac:dyDescent="0.25">
      <c r="A37" s="38"/>
      <c r="B37" s="39" t="s">
        <v>91</v>
      </c>
      <c r="C37" s="40">
        <f>+C41+C44</f>
        <v>0</v>
      </c>
      <c r="D37" s="40">
        <f t="shared" ref="D37:N38" si="14">+D41+D44</f>
        <v>0</v>
      </c>
      <c r="E37" s="40">
        <f t="shared" si="14"/>
        <v>0</v>
      </c>
      <c r="F37" s="40">
        <f t="shared" si="14"/>
        <v>0</v>
      </c>
      <c r="G37" s="40">
        <f t="shared" si="14"/>
        <v>0</v>
      </c>
      <c r="H37" s="40">
        <f t="shared" si="14"/>
        <v>0</v>
      </c>
      <c r="I37" s="40">
        <f t="shared" si="14"/>
        <v>0</v>
      </c>
      <c r="J37" s="40">
        <f t="shared" si="14"/>
        <v>0</v>
      </c>
      <c r="K37" s="40">
        <f t="shared" si="14"/>
        <v>0</v>
      </c>
      <c r="L37" s="40">
        <f t="shared" si="14"/>
        <v>0</v>
      </c>
      <c r="M37" s="40">
        <f t="shared" si="14"/>
        <v>0</v>
      </c>
      <c r="N37" s="40">
        <f t="shared" si="14"/>
        <v>0</v>
      </c>
      <c r="O37" s="40">
        <f t="shared" ref="O37:Y37" si="15">+O41+O44</f>
        <v>0</v>
      </c>
      <c r="P37" s="40">
        <f t="shared" si="15"/>
        <v>0</v>
      </c>
      <c r="Q37" s="40">
        <f t="shared" si="15"/>
        <v>0</v>
      </c>
      <c r="R37" s="40">
        <f t="shared" si="15"/>
        <v>0</v>
      </c>
      <c r="S37" s="40">
        <f t="shared" si="15"/>
        <v>0</v>
      </c>
      <c r="T37" s="40">
        <f t="shared" si="15"/>
        <v>0</v>
      </c>
      <c r="U37" s="40">
        <f t="shared" si="15"/>
        <v>0</v>
      </c>
      <c r="V37" s="40">
        <f t="shared" si="15"/>
        <v>0</v>
      </c>
      <c r="W37" s="40">
        <f t="shared" si="15"/>
        <v>0</v>
      </c>
      <c r="X37" s="40">
        <f t="shared" si="15"/>
        <v>0</v>
      </c>
      <c r="Y37" s="40">
        <f t="shared" si="15"/>
        <v>0</v>
      </c>
    </row>
    <row r="38" spans="1:25" s="41" customFormat="1" ht="12" x14ac:dyDescent="0.25">
      <c r="A38" s="38"/>
      <c r="B38" s="39" t="s">
        <v>92</v>
      </c>
      <c r="C38" s="40" t="e">
        <f>+C42+C45</f>
        <v>#N/A</v>
      </c>
      <c r="D38" s="40" t="e">
        <f t="shared" si="14"/>
        <v>#N/A</v>
      </c>
      <c r="E38" s="40" t="e">
        <f t="shared" si="14"/>
        <v>#N/A</v>
      </c>
      <c r="F38" s="40" t="e">
        <f t="shared" si="14"/>
        <v>#N/A</v>
      </c>
      <c r="G38" s="40" t="e">
        <f t="shared" si="14"/>
        <v>#N/A</v>
      </c>
      <c r="H38" s="40" t="e">
        <f t="shared" si="14"/>
        <v>#N/A</v>
      </c>
      <c r="I38" s="40" t="e">
        <f t="shared" si="14"/>
        <v>#N/A</v>
      </c>
      <c r="J38" s="40" t="e">
        <f t="shared" si="14"/>
        <v>#N/A</v>
      </c>
      <c r="K38" s="40" t="e">
        <f t="shared" si="14"/>
        <v>#N/A</v>
      </c>
      <c r="L38" s="40" t="e">
        <f t="shared" si="14"/>
        <v>#N/A</v>
      </c>
      <c r="M38" s="40" t="e">
        <f t="shared" si="14"/>
        <v>#N/A</v>
      </c>
      <c r="N38" s="40" t="e">
        <f t="shared" si="14"/>
        <v>#N/A</v>
      </c>
      <c r="O38" s="40" t="e">
        <f t="shared" ref="O38:Y38" si="16">+O42+O45</f>
        <v>#N/A</v>
      </c>
      <c r="P38" s="40" t="e">
        <f t="shared" si="16"/>
        <v>#N/A</v>
      </c>
      <c r="Q38" s="40" t="e">
        <f t="shared" si="16"/>
        <v>#N/A</v>
      </c>
      <c r="R38" s="40" t="e">
        <f t="shared" si="16"/>
        <v>#N/A</v>
      </c>
      <c r="S38" s="40" t="e">
        <f t="shared" si="16"/>
        <v>#N/A</v>
      </c>
      <c r="T38" s="40" t="e">
        <f t="shared" si="16"/>
        <v>#N/A</v>
      </c>
      <c r="U38" s="40" t="e">
        <f t="shared" si="16"/>
        <v>#N/A</v>
      </c>
      <c r="V38" s="40" t="e">
        <f t="shared" si="16"/>
        <v>#N/A</v>
      </c>
      <c r="W38" s="40" t="e">
        <f t="shared" si="16"/>
        <v>#N/A</v>
      </c>
      <c r="X38" s="40" t="e">
        <f t="shared" si="16"/>
        <v>#N/A</v>
      </c>
      <c r="Y38" s="40" t="e">
        <f t="shared" si="16"/>
        <v>#N/A</v>
      </c>
    </row>
    <row r="39" spans="1:25" s="51" customFormat="1" ht="12" x14ac:dyDescent="0.25">
      <c r="A39" s="49"/>
      <c r="B39" s="50" t="s">
        <v>15</v>
      </c>
      <c r="C39" s="46">
        <f>+C36/C8</f>
        <v>3.6117006030391453E-2</v>
      </c>
      <c r="D39" s="46">
        <f>+Dulieu!D21</f>
        <v>2.9971308710194704E-2</v>
      </c>
      <c r="E39" s="46">
        <f>+Dulieu!E21</f>
        <v>5.0203535562106417E-2</v>
      </c>
      <c r="F39" s="46">
        <f>+Dulieu!F21</f>
        <v>6.475003585586607E-2</v>
      </c>
      <c r="G39" s="46">
        <f>+Dulieu!G21</f>
        <v>4.5499856379763684E-2</v>
      </c>
      <c r="H39" s="46">
        <f>+Dulieu!H21</f>
        <v>6.3566761547863088E-2</v>
      </c>
      <c r="I39" s="46">
        <f>+Dulieu!I21</f>
        <v>7.9578153789801723E-2</v>
      </c>
      <c r="J39" s="46">
        <f>+Dulieu!J21</f>
        <v>0.11478340213984127</v>
      </c>
      <c r="K39" s="46">
        <f>+Dulieu!K21</f>
        <v>9.6914759761503669E-2</v>
      </c>
      <c r="L39" s="46">
        <f>+Dulieu!L21</f>
        <v>5.7012021050263553E-2</v>
      </c>
      <c r="M39" s="46">
        <f>+Dulieu!M21</f>
        <v>8.0889989826160025E-2</v>
      </c>
      <c r="N39" s="46">
        <f>+Dulieu!N21</f>
        <v>5.6032015966964749E-2</v>
      </c>
      <c r="O39" s="46">
        <f>+Dulieu!O21</f>
        <v>2.7507144155480064E-4</v>
      </c>
      <c r="P39" s="46">
        <f>+Dulieu!P21</f>
        <v>1.3018328830618852E-4</v>
      </c>
      <c r="Q39" s="46">
        <f>+Dulieu!Q21</f>
        <v>2.5876900221648595E-4</v>
      </c>
      <c r="R39" s="46">
        <f>+Dulieu!R21</f>
        <v>2.6446565652951291E-4</v>
      </c>
      <c r="S39" s="46">
        <f>+Dulieu!S21</f>
        <v>1.2683122730925927E-4</v>
      </c>
      <c r="T39" s="46">
        <f>+Dulieu!T21</f>
        <v>1.8743799199778477E-4</v>
      </c>
      <c r="U39" s="46">
        <f>+Dulieu!U21</f>
        <v>2.3227424638853038E-4</v>
      </c>
      <c r="V39" s="46">
        <f>+Dulieu!V21</f>
        <v>1.6974451091658356E-4</v>
      </c>
      <c r="W39" s="46">
        <f>+Dulieu!W21</f>
        <v>1.4934079256741627E-4</v>
      </c>
      <c r="X39" s="46">
        <f>+Dulieu!X21</f>
        <v>1.5272377974005435E-4</v>
      </c>
      <c r="Y39" s="46">
        <f>+Dulieu!Y21</f>
        <v>1.928490566961956E-4</v>
      </c>
    </row>
    <row r="40" spans="1:25" s="32" customFormat="1" ht="12" x14ac:dyDescent="0.25">
      <c r="A40" s="42">
        <v>1</v>
      </c>
      <c r="B40" s="52" t="s">
        <v>28</v>
      </c>
      <c r="C40" s="44">
        <f t="shared" ref="C40:C58" si="17">SUM(D40:Y40)</f>
        <v>476654</v>
      </c>
      <c r="D40" s="44">
        <f>+Dulieu!D22</f>
        <v>21764</v>
      </c>
      <c r="E40" s="44">
        <f>+Dulieu!E22</f>
        <v>29018</v>
      </c>
      <c r="F40" s="44">
        <f>+Dulieu!F22</f>
        <v>40338</v>
      </c>
      <c r="G40" s="44">
        <f>+Dulieu!G22</f>
        <v>34307</v>
      </c>
      <c r="H40" s="44">
        <f>+Dulieu!H22</f>
        <v>46743</v>
      </c>
      <c r="I40" s="44">
        <f>+Dulieu!I22</f>
        <v>48235</v>
      </c>
      <c r="J40" s="44">
        <f>+Dulieu!J22</f>
        <v>74013</v>
      </c>
      <c r="K40" s="44">
        <f>+Dulieu!K22</f>
        <v>69367</v>
      </c>
      <c r="L40" s="44">
        <f>+Dulieu!L22</f>
        <v>34142</v>
      </c>
      <c r="M40" s="44">
        <f>+Dulieu!M22</f>
        <v>45717</v>
      </c>
      <c r="N40" s="44">
        <f>+Dulieu!N22</f>
        <v>31910</v>
      </c>
      <c r="O40" s="44">
        <f>+Dulieu!O22</f>
        <v>100</v>
      </c>
      <c r="P40" s="44">
        <f>+Dulieu!P22</f>
        <v>100</v>
      </c>
      <c r="Q40" s="44">
        <f>+Dulieu!Q22</f>
        <v>100</v>
      </c>
      <c r="R40" s="44">
        <f>+Dulieu!R22</f>
        <v>100</v>
      </c>
      <c r="S40" s="44">
        <f>+Dulieu!S22</f>
        <v>100</v>
      </c>
      <c r="T40" s="44">
        <f>+Dulieu!T22</f>
        <v>100</v>
      </c>
      <c r="U40" s="44">
        <f>+Dulieu!U22</f>
        <v>100</v>
      </c>
      <c r="V40" s="44">
        <f>+Dulieu!V22</f>
        <v>100</v>
      </c>
      <c r="W40" s="44">
        <f>+Dulieu!W22</f>
        <v>100</v>
      </c>
      <c r="X40" s="44">
        <f>+Dulieu!X22</f>
        <v>100</v>
      </c>
      <c r="Y40" s="44">
        <f>+Dulieu!Y22</f>
        <v>100</v>
      </c>
    </row>
    <row r="41" spans="1:25" s="41" customFormat="1" ht="12" x14ac:dyDescent="0.25">
      <c r="A41" s="38"/>
      <c r="B41" s="39" t="s">
        <v>91</v>
      </c>
      <c r="C41" s="40">
        <f t="shared" si="17"/>
        <v>0</v>
      </c>
      <c r="D41" s="40">
        <f>+D40-VLOOKUP(Dulieu!$C$22&amp;"_PRE_M",Dulieu!$C$88:$N$400,2,FALSE)</f>
        <v>0</v>
      </c>
      <c r="E41" s="40">
        <f>+E40-VLOOKUP(Dulieu!$C$22&amp;"_PRE_M",Dulieu!$C$88:$N$400,3,FALSE)</f>
        <v>0</v>
      </c>
      <c r="F41" s="40">
        <f>+F40-VLOOKUP(Dulieu!$C$22&amp;"_PRE_M",Dulieu!$C$88:$N$400,4,FALSE)</f>
        <v>0</v>
      </c>
      <c r="G41" s="40">
        <f>+G40-VLOOKUP(Dulieu!$C$22&amp;"_PRE_M",Dulieu!$C$88:$N$400,5,FALSE)</f>
        <v>0</v>
      </c>
      <c r="H41" s="40">
        <f>+H40-VLOOKUP(Dulieu!$C$22&amp;"_PRE_M",Dulieu!$C$88:$N$400,6,FALSE)</f>
        <v>0</v>
      </c>
      <c r="I41" s="40">
        <f>+I40-VLOOKUP(Dulieu!$C$22&amp;"_PRE_M",Dulieu!$C$88:$N$400,7,FALSE)</f>
        <v>0</v>
      </c>
      <c r="J41" s="40">
        <f>+J40-VLOOKUP(Dulieu!$C$22&amp;"_PRE_M",Dulieu!$C$88:$N$400,8,FALSE)</f>
        <v>0</v>
      </c>
      <c r="K41" s="40">
        <f>+K40-VLOOKUP(Dulieu!$C$22&amp;"_PRE_M",Dulieu!$C$88:$N$400,9,FALSE)</f>
        <v>0</v>
      </c>
      <c r="L41" s="40">
        <f>+L40-VLOOKUP(Dulieu!$C$22&amp;"_PRE_M",Dulieu!$C$88:$N$400,10,FALSE)</f>
        <v>0</v>
      </c>
      <c r="M41" s="40">
        <f>+M40-VLOOKUP(Dulieu!$C$22&amp;"_PRE_M",Dulieu!$C$88:$N$400,11,FALSE)</f>
        <v>0</v>
      </c>
      <c r="N41" s="40">
        <f>+N40-VLOOKUP(Dulieu!$C$22&amp;"_PRE_M",Dulieu!$C$88:$N$400,12,FALSE)</f>
        <v>0</v>
      </c>
      <c r="O41" s="40">
        <f>+O40-VLOOKUP(Dulieu!$C$22&amp;"_PRE_M",Dulieu!$C$88:$Y$400,13,FALSE)</f>
        <v>0</v>
      </c>
      <c r="P41" s="40">
        <f>+P40-VLOOKUP(Dulieu!$C$22&amp;"_PRE_M",Dulieu!$C$88:$Y$400,14,FALSE)</f>
        <v>0</v>
      </c>
      <c r="Q41" s="40">
        <f>+Q40-VLOOKUP(Dulieu!$C$22&amp;"_PRE_M",Dulieu!$C$88:$Y$400,15,FALSE)</f>
        <v>0</v>
      </c>
      <c r="R41" s="40">
        <f>+R40-VLOOKUP(Dulieu!$C$22&amp;"_PRE_M",Dulieu!$C$88:$Y$400,16,FALSE)</f>
        <v>0</v>
      </c>
      <c r="S41" s="40">
        <f>+S40-VLOOKUP(Dulieu!$C$22&amp;"_PRE_M",Dulieu!$C$88:$Y$400,17,FALSE)</f>
        <v>0</v>
      </c>
      <c r="T41" s="40">
        <f>+T40-VLOOKUP(Dulieu!$C$22&amp;"_PRE_M",Dulieu!$C$88:$Y$400,18,FALSE)</f>
        <v>0</v>
      </c>
      <c r="U41" s="40">
        <f>+U40-VLOOKUP(Dulieu!$C$22&amp;"_PRE_M",Dulieu!$C$88:$Y$400,19,FALSE)</f>
        <v>0</v>
      </c>
      <c r="V41" s="40">
        <f>+V40-VLOOKUP(Dulieu!$C$22&amp;"_PRE_M",Dulieu!$C$88:$Y$400,20,FALSE)</f>
        <v>0</v>
      </c>
      <c r="W41" s="40">
        <f>+W40-VLOOKUP(Dulieu!$C$22&amp;"_PRE_M",Dulieu!$C$88:$Y$400,21,FALSE)</f>
        <v>0</v>
      </c>
      <c r="X41" s="40">
        <f>+X40-VLOOKUP(Dulieu!$C$22&amp;"_PRE_M",Dulieu!$C$88:$Y$400,22,FALSE)</f>
        <v>0</v>
      </c>
      <c r="Y41" s="40">
        <f>+Y40-VLOOKUP(Dulieu!$C$22&amp;"_PRE_M",Dulieu!$C$88:$Y$400,23,FALSE)</f>
        <v>0</v>
      </c>
    </row>
    <row r="42" spans="1:25" s="41" customFormat="1" ht="12" x14ac:dyDescent="0.25">
      <c r="A42" s="38"/>
      <c r="B42" s="39" t="s">
        <v>92</v>
      </c>
      <c r="C42" s="40">
        <f t="shared" si="17"/>
        <v>0</v>
      </c>
      <c r="D42" s="40">
        <f>+D40-VLOOKUP(Dulieu!$C$22&amp;"_PRE_Y",Dulieu!$C$88:$N$400,2,FALSE)</f>
        <v>0</v>
      </c>
      <c r="E42" s="40">
        <f>+E40-VLOOKUP(Dulieu!$C$22&amp;"_PRE_Y",Dulieu!$C$88:$N$400,3,FALSE)</f>
        <v>0</v>
      </c>
      <c r="F42" s="40">
        <f>+F40-VLOOKUP(Dulieu!$C$22&amp;"_PRE_Y",Dulieu!$C$88:$N$400,4,FALSE)</f>
        <v>0</v>
      </c>
      <c r="G42" s="40">
        <f>+G40-VLOOKUP(Dulieu!$C$22&amp;"_PRE_Y",Dulieu!$C$88:$N$400,5,FALSE)</f>
        <v>0</v>
      </c>
      <c r="H42" s="40">
        <f>+H40-VLOOKUP(Dulieu!$C$22&amp;"_PRE_Y",Dulieu!$C$88:$N$400,6,FALSE)</f>
        <v>0</v>
      </c>
      <c r="I42" s="40">
        <f>+I40-VLOOKUP(Dulieu!$C$22&amp;"_PRE_Y",Dulieu!$C$88:$N$400,7,FALSE)</f>
        <v>0</v>
      </c>
      <c r="J42" s="40">
        <f>+J40-VLOOKUP(Dulieu!$C$22&amp;"_PRE_Y",Dulieu!$C$88:$N$400,8,FALSE)</f>
        <v>0</v>
      </c>
      <c r="K42" s="40">
        <f>+K40-VLOOKUP(Dulieu!$C$22&amp;"_PRE_Y",Dulieu!$C$88:$N$400,9,FALSE)</f>
        <v>0</v>
      </c>
      <c r="L42" s="40">
        <f>+L40-VLOOKUP(Dulieu!$C$22&amp;"_PRE_Y",Dulieu!$C$88:$N$400,10,FALSE)</f>
        <v>0</v>
      </c>
      <c r="M42" s="40">
        <f>+M40-VLOOKUP(Dulieu!$C$22&amp;"_PRE_Y",Dulieu!$C$88:$N$400,11,FALSE)</f>
        <v>0</v>
      </c>
      <c r="N42" s="40">
        <f>+N40-VLOOKUP(Dulieu!$C$22&amp;"_PRE_Y",Dulieu!$C$88:$N$400,12,FALSE)</f>
        <v>0</v>
      </c>
      <c r="O42" s="40">
        <f>+O40-VLOOKUP(Dulieu!$C$22&amp;"_PRE_Y",Dulieu!$C$88:$Y$400,13,FALSE)</f>
        <v>0</v>
      </c>
      <c r="P42" s="40">
        <f>+P40-VLOOKUP(Dulieu!$C$22&amp;"_PRE_Y",Dulieu!$C$88:$Y$400,14,FALSE)</f>
        <v>0</v>
      </c>
      <c r="Q42" s="40">
        <f>+Q40-VLOOKUP(Dulieu!$C$22&amp;"_PRE_Y",Dulieu!$C$88:$Y$400,15,FALSE)</f>
        <v>0</v>
      </c>
      <c r="R42" s="40">
        <f>+R40-VLOOKUP(Dulieu!$C$22&amp;"_PRE_Y",Dulieu!$C$88:$Y$400,16,FALSE)</f>
        <v>0</v>
      </c>
      <c r="S42" s="40">
        <f>+S40-VLOOKUP(Dulieu!$C$22&amp;"_PRE_Y",Dulieu!$C$88:$Y$400,17,FALSE)</f>
        <v>0</v>
      </c>
      <c r="T42" s="40">
        <f>+T40-VLOOKUP(Dulieu!$C$22&amp;"_PRE_Y",Dulieu!$C$88:$Y$400,18,FALSE)</f>
        <v>0</v>
      </c>
      <c r="U42" s="40">
        <f>+U40-VLOOKUP(Dulieu!$C$22&amp;"_PRE_Y",Dulieu!$C$88:$Y$400,19,FALSE)</f>
        <v>0</v>
      </c>
      <c r="V42" s="40">
        <f>+V40-VLOOKUP(Dulieu!$C$22&amp;"_PRE_Y",Dulieu!$C$88:$Y$400,20,FALSE)</f>
        <v>0</v>
      </c>
      <c r="W42" s="40">
        <f>+W40-VLOOKUP(Dulieu!$C$22&amp;"_PRE_Y",Dulieu!$C$88:$Y$400,21,FALSE)</f>
        <v>0</v>
      </c>
      <c r="X42" s="40">
        <f>+X40-VLOOKUP(Dulieu!$C$22&amp;"_PRE_Y",Dulieu!$C$88:$Y$400,22,FALSE)</f>
        <v>0</v>
      </c>
      <c r="Y42" s="40">
        <f>+Y40-VLOOKUP(Dulieu!$C$22&amp;"_PRE_Y",Dulieu!$C$88:$Y$400,23,FALSE)</f>
        <v>0</v>
      </c>
    </row>
    <row r="43" spans="1:25" s="32" customFormat="1" ht="12" x14ac:dyDescent="0.25">
      <c r="A43" s="42">
        <v>2</v>
      </c>
      <c r="B43" s="52" t="s">
        <v>29</v>
      </c>
      <c r="C43" s="44">
        <f t="shared" si="17"/>
        <v>0</v>
      </c>
      <c r="D43" s="44">
        <f>+Dulieu!D23</f>
        <v>0</v>
      </c>
      <c r="E43" s="44">
        <f>+Dulieu!E23</f>
        <v>0</v>
      </c>
      <c r="F43" s="44">
        <f>+Dulieu!F23</f>
        <v>0</v>
      </c>
      <c r="G43" s="44">
        <f>+Dulieu!G23</f>
        <v>0</v>
      </c>
      <c r="H43" s="44">
        <f>+Dulieu!H23</f>
        <v>0</v>
      </c>
      <c r="I43" s="44">
        <f>+Dulieu!I23</f>
        <v>0</v>
      </c>
      <c r="J43" s="44">
        <f>+Dulieu!J23</f>
        <v>0</v>
      </c>
      <c r="K43" s="44">
        <f>+Dulieu!K23</f>
        <v>0</v>
      </c>
      <c r="L43" s="44">
        <f>+Dulieu!L23</f>
        <v>0</v>
      </c>
      <c r="M43" s="44">
        <f>+Dulieu!M23</f>
        <v>0</v>
      </c>
      <c r="N43" s="44">
        <f>+Dulieu!N23</f>
        <v>0</v>
      </c>
      <c r="O43" s="44">
        <f>+Dulieu!O23</f>
        <v>0</v>
      </c>
      <c r="P43" s="44">
        <f>+Dulieu!P23</f>
        <v>0</v>
      </c>
      <c r="Q43" s="44">
        <f>+Dulieu!Q23</f>
        <v>0</v>
      </c>
      <c r="R43" s="44">
        <f>+Dulieu!R23</f>
        <v>0</v>
      </c>
      <c r="S43" s="44">
        <f>+Dulieu!S23</f>
        <v>0</v>
      </c>
      <c r="T43" s="44">
        <f>+Dulieu!T23</f>
        <v>0</v>
      </c>
      <c r="U43" s="44">
        <f>+Dulieu!U23</f>
        <v>0</v>
      </c>
      <c r="V43" s="44">
        <f>+Dulieu!V23</f>
        <v>0</v>
      </c>
      <c r="W43" s="44">
        <f>+Dulieu!W23</f>
        <v>0</v>
      </c>
      <c r="X43" s="44">
        <f>+Dulieu!X23</f>
        <v>0</v>
      </c>
      <c r="Y43" s="44">
        <f>+Dulieu!Y23</f>
        <v>0</v>
      </c>
    </row>
    <row r="44" spans="1:25" s="41" customFormat="1" ht="12" x14ac:dyDescent="0.25">
      <c r="A44" s="38"/>
      <c r="B44" s="39" t="s">
        <v>91</v>
      </c>
      <c r="C44" s="40">
        <f t="shared" si="17"/>
        <v>0</v>
      </c>
      <c r="D44" s="40">
        <f>+D43-IFERROR(VLOOKUP(Dulieu!$C$23&amp;"_PRE_M",Dulieu!$C$88:$N$400,2,FALSE),0)</f>
        <v>0</v>
      </c>
      <c r="E44" s="40">
        <f>+E43-IFERROR(VLOOKUP(Dulieu!$C$23&amp;"_PRE_M",Dulieu!$C$88:$N$400,3,FALSE),0)</f>
        <v>0</v>
      </c>
      <c r="F44" s="40">
        <f>+F43-IFERROR(VLOOKUP(Dulieu!$C$23&amp;"_PRE_M",Dulieu!$C$88:$N$400,4,FALSE),0)</f>
        <v>0</v>
      </c>
      <c r="G44" s="40">
        <f>+G43-IFERROR(VLOOKUP(Dulieu!$C$23&amp;"_PRE_M",Dulieu!$C$88:$N$400,5,FALSE),0)</f>
        <v>0</v>
      </c>
      <c r="H44" s="40">
        <f>+H43-IFERROR(VLOOKUP(Dulieu!$C$23&amp;"_PRE_M",Dulieu!$C$88:$N$400,6,FALSE),0)</f>
        <v>0</v>
      </c>
      <c r="I44" s="40">
        <f>+I43-IFERROR(VLOOKUP(Dulieu!$C$23&amp;"_PRE_M",Dulieu!$C$88:$N$400,7,FALSE),0)</f>
        <v>0</v>
      </c>
      <c r="J44" s="40">
        <f>+J43-IFERROR(VLOOKUP(Dulieu!$C$23&amp;"_PRE_M",Dulieu!$C$88:$N$400,8,FALSE),0)</f>
        <v>0</v>
      </c>
      <c r="K44" s="40">
        <f>+K43-IFERROR(VLOOKUP(Dulieu!$C$23&amp;"_PRE_M",Dulieu!$C$88:$N$400,9,FALSE),0)</f>
        <v>0</v>
      </c>
      <c r="L44" s="40">
        <f>+L43-IFERROR(VLOOKUP(Dulieu!$C$23&amp;"_PRE_M",Dulieu!$C$88:$N$400,10,FALSE),0)</f>
        <v>0</v>
      </c>
      <c r="M44" s="40">
        <f>+M43-IFERROR(VLOOKUP(Dulieu!$C$23&amp;"_PRE_M",Dulieu!$C$88:$N$400,11,FALSE),0)</f>
        <v>0</v>
      </c>
      <c r="N44" s="40">
        <f>+N43-IFERROR(VLOOKUP(Dulieu!$C$23&amp;"_PRE_M",Dulieu!$C$88:$N$400,12,FALSE),0)</f>
        <v>0</v>
      </c>
      <c r="O44" s="40">
        <f>+O43-IFERROR(VLOOKUP(Dulieu!$C$23&amp;"_PRE_M",Dulieu!$C$88:$Y$400,13,FALSE),0)</f>
        <v>0</v>
      </c>
      <c r="P44" s="40">
        <f>+P43-IFERROR(VLOOKUP(Dulieu!$C$23&amp;"_PRE_M",Dulieu!$C$88:$Y$400,14,FALSE),0)</f>
        <v>0</v>
      </c>
      <c r="Q44" s="40">
        <f>+Q43-IFERROR(VLOOKUP(Dulieu!$C$23&amp;"_PRE_M",Dulieu!$C$88:$Y$400,15,FALSE),0)</f>
        <v>0</v>
      </c>
      <c r="R44" s="40">
        <f>+R43-IFERROR(VLOOKUP(Dulieu!$C$23&amp;"_PRE_M",Dulieu!$C$88:$Y$400,16,FALSE),0)</f>
        <v>0</v>
      </c>
      <c r="S44" s="40">
        <f>+S43-IFERROR(VLOOKUP(Dulieu!$C$23&amp;"_PRE_M",Dulieu!$C$88:$Y$400,17,FALSE),0)</f>
        <v>0</v>
      </c>
      <c r="T44" s="40">
        <f>+T43-IFERROR(VLOOKUP(Dulieu!$C$23&amp;"_PRE_M",Dulieu!$C$88:$Y$400,18,FALSE),0)</f>
        <v>0</v>
      </c>
      <c r="U44" s="40">
        <f>+U43-IFERROR(VLOOKUP(Dulieu!$C$23&amp;"_PRE_M",Dulieu!$C$88:$Y$400,19,FALSE),0)</f>
        <v>0</v>
      </c>
      <c r="V44" s="40">
        <f>+V43-IFERROR(VLOOKUP(Dulieu!$C$23&amp;"_PRE_M",Dulieu!$C$88:$Y$400,20,FALSE),0)</f>
        <v>0</v>
      </c>
      <c r="W44" s="40">
        <f>+W43-IFERROR(VLOOKUP(Dulieu!$C$23&amp;"_PRE_M",Dulieu!$C$88:$Y$400,21,FALSE),0)</f>
        <v>0</v>
      </c>
      <c r="X44" s="40">
        <f>+X43-IFERROR(VLOOKUP(Dulieu!$C$23&amp;"_PRE_M",Dulieu!$C$88:$Y$400,22,FALSE),0)</f>
        <v>0</v>
      </c>
      <c r="Y44" s="40">
        <f>+Y43-IFERROR(VLOOKUP(Dulieu!$C$23&amp;"_PRE_M",Dulieu!$C$88:$Y$400,23,FALSE),0)</f>
        <v>0</v>
      </c>
    </row>
    <row r="45" spans="1:25" s="41" customFormat="1" ht="12" x14ac:dyDescent="0.25">
      <c r="A45" s="38"/>
      <c r="B45" s="39" t="s">
        <v>92</v>
      </c>
      <c r="C45" s="40" t="e">
        <f t="shared" si="17"/>
        <v>#N/A</v>
      </c>
      <c r="D45" s="40" t="e">
        <f>+D43-VLOOKUP(Dulieu!$C$23&amp;"_PRE_Y",Dulieu!$C$88:$N$400,2,FALSE)</f>
        <v>#N/A</v>
      </c>
      <c r="E45" s="40" t="e">
        <f>+E43-VLOOKUP(Dulieu!$C$23&amp;"_PRE_Y",Dulieu!$C$88:$N$400,3,FALSE)</f>
        <v>#N/A</v>
      </c>
      <c r="F45" s="40" t="e">
        <f>+F43-VLOOKUP(Dulieu!$C$23&amp;"_PRE_Y",Dulieu!$C$88:$N$400,4,FALSE)</f>
        <v>#N/A</v>
      </c>
      <c r="G45" s="40" t="e">
        <f>+G43-VLOOKUP(Dulieu!$C$23&amp;"_PRE_Y",Dulieu!$C$88:$N$400,5,FALSE)</f>
        <v>#N/A</v>
      </c>
      <c r="H45" s="40" t="e">
        <f>+H43-VLOOKUP(Dulieu!$C$23&amp;"_PRE_Y",Dulieu!$C$88:$N$400,6,FALSE)</f>
        <v>#N/A</v>
      </c>
      <c r="I45" s="40" t="e">
        <f>+I43-VLOOKUP(Dulieu!$C$23&amp;"_PRE_Y",Dulieu!$C$88:$N$400,7,FALSE)</f>
        <v>#N/A</v>
      </c>
      <c r="J45" s="40" t="e">
        <f>+J43-VLOOKUP(Dulieu!$C$23&amp;"_PRE_Y",Dulieu!$C$88:$N$400,8,FALSE)</f>
        <v>#N/A</v>
      </c>
      <c r="K45" s="40" t="e">
        <f>+K43-VLOOKUP(Dulieu!$C$23&amp;"_PRE_Y",Dulieu!$C$88:$N$400,9,FALSE)</f>
        <v>#N/A</v>
      </c>
      <c r="L45" s="40" t="e">
        <f>+L43-VLOOKUP(Dulieu!$C$23&amp;"_PRE_Y",Dulieu!$C$88:$N$400,10,FALSE)</f>
        <v>#N/A</v>
      </c>
      <c r="M45" s="40" t="e">
        <f>+M43-VLOOKUP(Dulieu!$C$23&amp;"_PRE_Y",Dulieu!$C$88:$N$400,11,FALSE)</f>
        <v>#N/A</v>
      </c>
      <c r="N45" s="40" t="e">
        <f>+N43-VLOOKUP(Dulieu!$C$23&amp;"_PRE_Y",Dulieu!$C$88:$N$400,12,FALSE)</f>
        <v>#N/A</v>
      </c>
      <c r="O45" s="40" t="e">
        <f>+O43-VLOOKUP(Dulieu!$C$23&amp;"_PRE_Y",Dulieu!$C$88:$Y$400,13,FALSE)</f>
        <v>#N/A</v>
      </c>
      <c r="P45" s="40" t="e">
        <f>+P43-VLOOKUP(Dulieu!$C$23&amp;"_PRE_Y",Dulieu!$C$88:$Y$400,14,FALSE)</f>
        <v>#N/A</v>
      </c>
      <c r="Q45" s="40" t="e">
        <f>+Q43-VLOOKUP(Dulieu!$C$23&amp;"_PRE_Y",Dulieu!$C$88:$Y$400,15,FALSE)</f>
        <v>#N/A</v>
      </c>
      <c r="R45" s="40" t="e">
        <f>+R43-VLOOKUP(Dulieu!$C$23&amp;"_PRE_Y",Dulieu!$C$88:$Y$400,16,FALSE)</f>
        <v>#N/A</v>
      </c>
      <c r="S45" s="40" t="e">
        <f>+S43-VLOOKUP(Dulieu!$C$23&amp;"_PRE_Y",Dulieu!$C$88:$Y$400,17,FALSE)</f>
        <v>#N/A</v>
      </c>
      <c r="T45" s="40" t="e">
        <f>+T43-VLOOKUP(Dulieu!$C$23&amp;"_PRE_Y",Dulieu!$C$88:$Y$400,18,FALSE)</f>
        <v>#N/A</v>
      </c>
      <c r="U45" s="40" t="e">
        <f>+U43-VLOOKUP(Dulieu!$C$23&amp;"_PRE_Y",Dulieu!$C$88:$Y$400,19,FALSE)</f>
        <v>#N/A</v>
      </c>
      <c r="V45" s="40" t="e">
        <f>+V43-VLOOKUP(Dulieu!$C$23&amp;"_PRE_Y",Dulieu!$C$88:$Y$400,20,FALSE)</f>
        <v>#N/A</v>
      </c>
      <c r="W45" s="40" t="e">
        <f>+W43-VLOOKUP(Dulieu!$C$23&amp;"_PRE_Y",Dulieu!$C$88:$Y$400,21,FALSE)</f>
        <v>#N/A</v>
      </c>
      <c r="X45" s="40" t="e">
        <f>+X43-VLOOKUP(Dulieu!$C$23&amp;"_PRE_Y",Dulieu!$C$88:$Y$400,22,FALSE)</f>
        <v>#N/A</v>
      </c>
      <c r="Y45" s="40" t="e">
        <f>+Y43-VLOOKUP(Dulieu!$C$23&amp;"_PRE_Y",Dulieu!$C$88:$Y$400,23,FALSE)</f>
        <v>#N/A</v>
      </c>
    </row>
    <row r="46" spans="1:25" s="37" customFormat="1" ht="12" x14ac:dyDescent="0.25">
      <c r="A46" s="34" t="s">
        <v>30</v>
      </c>
      <c r="B46" s="53" t="s">
        <v>31</v>
      </c>
      <c r="C46" s="36">
        <f t="shared" si="17"/>
        <v>0</v>
      </c>
      <c r="D46" s="36">
        <f>+Dulieu!D24</f>
        <v>0</v>
      </c>
      <c r="E46" s="36">
        <f>+Dulieu!E24</f>
        <v>0</v>
      </c>
      <c r="F46" s="36">
        <f>+Dulieu!F24</f>
        <v>0</v>
      </c>
      <c r="G46" s="36">
        <f>+Dulieu!G24</f>
        <v>0</v>
      </c>
      <c r="H46" s="36">
        <f>+Dulieu!H24</f>
        <v>0</v>
      </c>
      <c r="I46" s="36">
        <f>+Dulieu!I24</f>
        <v>0</v>
      </c>
      <c r="J46" s="36">
        <f>+Dulieu!J24</f>
        <v>0</v>
      </c>
      <c r="K46" s="36">
        <f>+Dulieu!K24</f>
        <v>0</v>
      </c>
      <c r="L46" s="36">
        <f>+Dulieu!L24</f>
        <v>0</v>
      </c>
      <c r="M46" s="36">
        <f>+Dulieu!M24</f>
        <v>0</v>
      </c>
      <c r="N46" s="36">
        <f>+Dulieu!N24</f>
        <v>0</v>
      </c>
      <c r="O46" s="36">
        <f>+Dulieu!O24</f>
        <v>0</v>
      </c>
      <c r="P46" s="36">
        <f>+Dulieu!P24</f>
        <v>0</v>
      </c>
      <c r="Q46" s="36">
        <f>+Dulieu!Q24</f>
        <v>0</v>
      </c>
      <c r="R46" s="36">
        <f>+Dulieu!R24</f>
        <v>0</v>
      </c>
      <c r="S46" s="36">
        <f>+Dulieu!S24</f>
        <v>0</v>
      </c>
      <c r="T46" s="36">
        <f>+Dulieu!T24</f>
        <v>0</v>
      </c>
      <c r="U46" s="36">
        <f>+Dulieu!U24</f>
        <v>0</v>
      </c>
      <c r="V46" s="36">
        <f>+Dulieu!V24</f>
        <v>0</v>
      </c>
      <c r="W46" s="36">
        <f>+Dulieu!W24</f>
        <v>0</v>
      </c>
      <c r="X46" s="36">
        <f>+Dulieu!X24</f>
        <v>0</v>
      </c>
      <c r="Y46" s="36">
        <f>+Dulieu!Y24</f>
        <v>0</v>
      </c>
    </row>
    <row r="47" spans="1:25" s="37" customFormat="1" ht="12" x14ac:dyDescent="0.25">
      <c r="A47" s="34" t="s">
        <v>32</v>
      </c>
      <c r="B47" s="35" t="s">
        <v>33</v>
      </c>
      <c r="C47" s="36">
        <f t="shared" si="17"/>
        <v>13197494.82</v>
      </c>
      <c r="D47" s="36">
        <f>+Dulieu!D25</f>
        <v>726161.14999999991</v>
      </c>
      <c r="E47" s="36">
        <f>+Dulieu!E25</f>
        <v>578007.1</v>
      </c>
      <c r="F47" s="36">
        <f>+Dulieu!F25</f>
        <v>622980.35000000009</v>
      </c>
      <c r="G47" s="36">
        <f>+Dulieu!G25</f>
        <v>754002.38</v>
      </c>
      <c r="H47" s="36">
        <f>+Dulieu!H25</f>
        <v>735337.13</v>
      </c>
      <c r="I47" s="36">
        <f>+Dulieu!I25</f>
        <v>606133.68999999994</v>
      </c>
      <c r="J47" s="36">
        <f>+Dulieu!J25</f>
        <v>644805.77</v>
      </c>
      <c r="K47" s="36">
        <f>+Dulieu!K25</f>
        <v>715752.69</v>
      </c>
      <c r="L47" s="36">
        <f>+Dulieu!L25</f>
        <v>598856.16</v>
      </c>
      <c r="M47" s="36">
        <f>+Dulieu!M25</f>
        <v>565175.00000000012</v>
      </c>
      <c r="N47" s="36">
        <f>+Dulieu!N25</f>
        <v>569495.84</v>
      </c>
      <c r="O47" s="36">
        <f>+Dulieu!O25</f>
        <v>363541.92</v>
      </c>
      <c r="P47" s="36">
        <f>+Dulieu!P25</f>
        <v>768147.74999999988</v>
      </c>
      <c r="Q47" s="36">
        <f>+Dulieu!Q25</f>
        <v>386445.04999999993</v>
      </c>
      <c r="R47" s="36">
        <f>+Dulieu!R25</f>
        <v>378120.93</v>
      </c>
      <c r="S47" s="36">
        <f>+Dulieu!S25</f>
        <v>788449.36</v>
      </c>
      <c r="T47" s="36">
        <f>+Dulieu!T25</f>
        <v>533509.77</v>
      </c>
      <c r="U47" s="36">
        <f>+Dulieu!U25</f>
        <v>430525.55999999994</v>
      </c>
      <c r="V47" s="36">
        <f>+Dulieu!V25</f>
        <v>589120.66999999993</v>
      </c>
      <c r="W47" s="36">
        <f>+Dulieu!W25</f>
        <v>669609.41</v>
      </c>
      <c r="X47" s="36">
        <f>+Dulieu!X25</f>
        <v>654776.88</v>
      </c>
      <c r="Y47" s="36">
        <f>+Dulieu!Y25</f>
        <v>518540.25999999995</v>
      </c>
    </row>
    <row r="48" spans="1:25" s="41" customFormat="1" ht="12" x14ac:dyDescent="0.25">
      <c r="A48" s="38"/>
      <c r="B48" s="39" t="s">
        <v>91</v>
      </c>
      <c r="C48" s="40">
        <f t="shared" si="17"/>
        <v>136748.85999999999</v>
      </c>
      <c r="D48" s="40">
        <f t="shared" ref="D48:Y48" si="18">+D51+D173</f>
        <v>5050.67</v>
      </c>
      <c r="E48" s="40">
        <f t="shared" si="18"/>
        <v>2040.6999999999998</v>
      </c>
      <c r="F48" s="40">
        <f t="shared" si="18"/>
        <v>5682.33</v>
      </c>
      <c r="G48" s="40">
        <f t="shared" si="18"/>
        <v>-4368.8399999999992</v>
      </c>
      <c r="H48" s="40">
        <f t="shared" si="18"/>
        <v>941.59999999999991</v>
      </c>
      <c r="I48" s="40">
        <f t="shared" si="18"/>
        <v>10386.419999999998</v>
      </c>
      <c r="J48" s="40">
        <f t="shared" si="18"/>
        <v>2278.1200000000003</v>
      </c>
      <c r="K48" s="40">
        <f t="shared" si="18"/>
        <v>-586.03000000000009</v>
      </c>
      <c r="L48" s="40">
        <f t="shared" si="18"/>
        <v>5587.23</v>
      </c>
      <c r="M48" s="40">
        <f t="shared" si="18"/>
        <v>4614.9599999999991</v>
      </c>
      <c r="N48" s="40">
        <f t="shared" si="18"/>
        <v>895.71</v>
      </c>
      <c r="O48" s="40">
        <f t="shared" si="18"/>
        <v>8667.2400000000016</v>
      </c>
      <c r="P48" s="40">
        <f t="shared" si="18"/>
        <v>14321.609999999999</v>
      </c>
      <c r="Q48" s="40">
        <f t="shared" si="18"/>
        <v>2702.5600000000004</v>
      </c>
      <c r="R48" s="40">
        <f t="shared" si="18"/>
        <v>5587.25</v>
      </c>
      <c r="S48" s="40">
        <f t="shared" si="18"/>
        <v>12713.48</v>
      </c>
      <c r="T48" s="40">
        <f t="shared" si="18"/>
        <v>9909.33</v>
      </c>
      <c r="U48" s="40">
        <f t="shared" si="18"/>
        <v>5587.9599999999991</v>
      </c>
      <c r="V48" s="40">
        <f t="shared" si="18"/>
        <v>22145.530000000002</v>
      </c>
      <c r="W48" s="40">
        <f t="shared" si="18"/>
        <v>16848.809999999998</v>
      </c>
      <c r="X48" s="40">
        <f t="shared" si="18"/>
        <v>1210.49</v>
      </c>
      <c r="Y48" s="40">
        <f t="shared" si="18"/>
        <v>4531.7299999999996</v>
      </c>
    </row>
    <row r="49" spans="1:25" s="41" customFormat="1" ht="12" x14ac:dyDescent="0.25">
      <c r="A49" s="38"/>
      <c r="B49" s="39" t="s">
        <v>92</v>
      </c>
      <c r="C49" s="40">
        <f t="shared" si="17"/>
        <v>1080222.7400000002</v>
      </c>
      <c r="D49" s="40">
        <f t="shared" ref="D49:Y49" si="19">+D52+D174</f>
        <v>44562.51</v>
      </c>
      <c r="E49" s="40">
        <f t="shared" si="19"/>
        <v>36623.980000000003</v>
      </c>
      <c r="F49" s="40">
        <f t="shared" si="19"/>
        <v>33229.51</v>
      </c>
      <c r="G49" s="40">
        <f t="shared" si="19"/>
        <v>25645.200000000001</v>
      </c>
      <c r="H49" s="40">
        <f t="shared" si="19"/>
        <v>39266.49</v>
      </c>
      <c r="I49" s="40">
        <f t="shared" si="19"/>
        <v>45682.67</v>
      </c>
      <c r="J49" s="40">
        <f t="shared" si="19"/>
        <v>27215.23</v>
      </c>
      <c r="K49" s="40">
        <f t="shared" si="19"/>
        <v>40083.06</v>
      </c>
      <c r="L49" s="40">
        <f t="shared" si="19"/>
        <v>37194.640000000007</v>
      </c>
      <c r="M49" s="40">
        <f t="shared" si="19"/>
        <v>35108.340000000004</v>
      </c>
      <c r="N49" s="40">
        <f t="shared" si="19"/>
        <v>30763.579999999998</v>
      </c>
      <c r="O49" s="40">
        <f t="shared" si="19"/>
        <v>54565.23</v>
      </c>
      <c r="P49" s="40">
        <f t="shared" si="19"/>
        <v>77099.87999999999</v>
      </c>
      <c r="Q49" s="40">
        <f t="shared" si="19"/>
        <v>37404.120000000003</v>
      </c>
      <c r="R49" s="40">
        <f t="shared" si="19"/>
        <v>44593.7</v>
      </c>
      <c r="S49" s="40">
        <f t="shared" si="19"/>
        <v>83876.900000000009</v>
      </c>
      <c r="T49" s="40">
        <f t="shared" si="19"/>
        <v>73180.160000000003</v>
      </c>
      <c r="U49" s="40">
        <f t="shared" si="19"/>
        <v>47456.65</v>
      </c>
      <c r="V49" s="40">
        <f t="shared" si="19"/>
        <v>66915.06</v>
      </c>
      <c r="W49" s="40">
        <f t="shared" si="19"/>
        <v>76441.66</v>
      </c>
      <c r="X49" s="40">
        <f t="shared" si="19"/>
        <v>68944.180000000008</v>
      </c>
      <c r="Y49" s="40">
        <f t="shared" si="19"/>
        <v>54369.989999999991</v>
      </c>
    </row>
    <row r="50" spans="1:25" s="37" customFormat="1" ht="12" x14ac:dyDescent="0.25">
      <c r="A50" s="34" t="s">
        <v>34</v>
      </c>
      <c r="B50" s="35" t="s">
        <v>35</v>
      </c>
      <c r="C50" s="36">
        <f t="shared" si="17"/>
        <v>13157075.629999997</v>
      </c>
      <c r="D50" s="36">
        <f>+Dulieu!D26</f>
        <v>715749.1399999999</v>
      </c>
      <c r="E50" s="36">
        <f>+Dulieu!E26</f>
        <v>576460.72</v>
      </c>
      <c r="F50" s="36">
        <f>+Dulieu!F26</f>
        <v>621751.54</v>
      </c>
      <c r="G50" s="36">
        <f>+Dulieu!G26</f>
        <v>752281.88</v>
      </c>
      <c r="H50" s="36">
        <f>+Dulieu!H26</f>
        <v>734066.37</v>
      </c>
      <c r="I50" s="36">
        <f>+Dulieu!I26</f>
        <v>603073.40999999992</v>
      </c>
      <c r="J50" s="36">
        <f>+Dulieu!J26</f>
        <v>643090.33000000007</v>
      </c>
      <c r="K50" s="36">
        <f>+Dulieu!K26</f>
        <v>714162.32</v>
      </c>
      <c r="L50" s="36">
        <f>+Dulieu!L26</f>
        <v>597025.59000000008</v>
      </c>
      <c r="M50" s="36">
        <f>+Dulieu!M26</f>
        <v>562594.58000000007</v>
      </c>
      <c r="N50" s="36">
        <f>+Dulieu!N26</f>
        <v>568188.4</v>
      </c>
      <c r="O50" s="36">
        <f>+Dulieu!O26</f>
        <v>363142.18</v>
      </c>
      <c r="P50" s="36">
        <f>+Dulieu!P26</f>
        <v>767317.92999999993</v>
      </c>
      <c r="Q50" s="36">
        <f>+Dulieu!Q26</f>
        <v>385189.05999999994</v>
      </c>
      <c r="R50" s="36">
        <f>+Dulieu!R26</f>
        <v>377659.01</v>
      </c>
      <c r="S50" s="36">
        <f>+Dulieu!S26</f>
        <v>787811.67999999993</v>
      </c>
      <c r="T50" s="36">
        <f>+Dulieu!T26</f>
        <v>532637.59</v>
      </c>
      <c r="U50" s="36">
        <f>+Dulieu!U26</f>
        <v>427924.63999999996</v>
      </c>
      <c r="V50" s="36">
        <f>+Dulieu!V26</f>
        <v>587986.93999999994</v>
      </c>
      <c r="W50" s="36">
        <f>+Dulieu!W26</f>
        <v>667360.04</v>
      </c>
      <c r="X50" s="36">
        <f>+Dulieu!X26</f>
        <v>654599.74</v>
      </c>
      <c r="Y50" s="36">
        <f>+Dulieu!Y26</f>
        <v>517002.54</v>
      </c>
    </row>
    <row r="51" spans="1:25" s="41" customFormat="1" ht="12" x14ac:dyDescent="0.25">
      <c r="A51" s="38"/>
      <c r="B51" s="39" t="s">
        <v>91</v>
      </c>
      <c r="C51" s="40">
        <f t="shared" si="17"/>
        <v>127202.06999999999</v>
      </c>
      <c r="D51" s="40">
        <f>+D54+D61</f>
        <v>57.210000000000036</v>
      </c>
      <c r="E51" s="40">
        <f t="shared" ref="E51:N51" si="20">+E54+E61</f>
        <v>1646.56</v>
      </c>
      <c r="F51" s="40">
        <f t="shared" si="20"/>
        <v>4889.26</v>
      </c>
      <c r="G51" s="40">
        <f t="shared" si="20"/>
        <v>-5419.8799999999992</v>
      </c>
      <c r="H51" s="40">
        <f t="shared" si="20"/>
        <v>1348.7</v>
      </c>
      <c r="I51" s="40">
        <f t="shared" si="20"/>
        <v>8447.9599999999991</v>
      </c>
      <c r="J51" s="40">
        <f t="shared" si="20"/>
        <v>1714.2600000000002</v>
      </c>
      <c r="K51" s="40">
        <f t="shared" si="20"/>
        <v>-422.21999999999991</v>
      </c>
      <c r="L51" s="40">
        <f t="shared" si="20"/>
        <v>4359.6399999999994</v>
      </c>
      <c r="M51" s="40">
        <f t="shared" si="20"/>
        <v>3828.1099999999997</v>
      </c>
      <c r="N51" s="40">
        <f t="shared" si="20"/>
        <v>1288.46</v>
      </c>
      <c r="O51" s="40">
        <f t="shared" ref="O51:Y51" si="21">+O54+O61</f>
        <v>8878.380000000001</v>
      </c>
      <c r="P51" s="40">
        <f t="shared" si="21"/>
        <v>14103.81</v>
      </c>
      <c r="Q51" s="40">
        <f t="shared" si="21"/>
        <v>2818.15</v>
      </c>
      <c r="R51" s="40">
        <f t="shared" si="21"/>
        <v>6904.33</v>
      </c>
      <c r="S51" s="40">
        <f t="shared" si="21"/>
        <v>14790.77</v>
      </c>
      <c r="T51" s="40">
        <f t="shared" si="21"/>
        <v>10755</v>
      </c>
      <c r="U51" s="40">
        <f t="shared" si="21"/>
        <v>4088.7</v>
      </c>
      <c r="V51" s="40">
        <f t="shared" si="21"/>
        <v>22015.620000000003</v>
      </c>
      <c r="W51" s="40">
        <f t="shared" si="21"/>
        <v>15161.929999999998</v>
      </c>
      <c r="X51" s="40">
        <f t="shared" si="21"/>
        <v>1385.03</v>
      </c>
      <c r="Y51" s="40">
        <f t="shared" si="21"/>
        <v>4562.29</v>
      </c>
    </row>
    <row r="52" spans="1:25" s="41" customFormat="1" ht="12" x14ac:dyDescent="0.25">
      <c r="A52" s="38"/>
      <c r="B52" s="39" t="s">
        <v>92</v>
      </c>
      <c r="C52" s="40">
        <f t="shared" si="17"/>
        <v>1055988.8800000001</v>
      </c>
      <c r="D52" s="40">
        <f>+D55+D62</f>
        <v>38548.19</v>
      </c>
      <c r="E52" s="40">
        <f t="shared" ref="E52:N52" si="22">+E55+E62</f>
        <v>35476.01</v>
      </c>
      <c r="F52" s="40">
        <f t="shared" si="22"/>
        <v>32088.19</v>
      </c>
      <c r="G52" s="40">
        <f t="shared" si="22"/>
        <v>24212.46</v>
      </c>
      <c r="H52" s="40">
        <f t="shared" si="22"/>
        <v>38815.979999999996</v>
      </c>
      <c r="I52" s="40">
        <f t="shared" si="22"/>
        <v>43119.040000000001</v>
      </c>
      <c r="J52" s="40">
        <f t="shared" si="22"/>
        <v>26710.07</v>
      </c>
      <c r="K52" s="40">
        <f t="shared" si="22"/>
        <v>39418.61</v>
      </c>
      <c r="L52" s="40">
        <f t="shared" si="22"/>
        <v>35421.160000000003</v>
      </c>
      <c r="M52" s="40">
        <f t="shared" si="22"/>
        <v>33596.18</v>
      </c>
      <c r="N52" s="40">
        <f t="shared" si="22"/>
        <v>30035.03</v>
      </c>
      <c r="O52" s="40">
        <f t="shared" ref="O52:Y52" si="23">+O55+O62</f>
        <v>54567.380000000005</v>
      </c>
      <c r="P52" s="40">
        <f t="shared" si="23"/>
        <v>76403.37</v>
      </c>
      <c r="Q52" s="40">
        <f t="shared" si="23"/>
        <v>36963.33</v>
      </c>
      <c r="R52" s="40">
        <f t="shared" si="23"/>
        <v>44483.86</v>
      </c>
      <c r="S52" s="40">
        <f t="shared" si="23"/>
        <v>84431.19</v>
      </c>
      <c r="T52" s="40">
        <f t="shared" si="23"/>
        <v>72446.92</v>
      </c>
      <c r="U52" s="40">
        <f t="shared" si="23"/>
        <v>45106.03</v>
      </c>
      <c r="V52" s="40">
        <f t="shared" si="23"/>
        <v>66304.959999999992</v>
      </c>
      <c r="W52" s="40">
        <f t="shared" si="23"/>
        <v>74822.850000000006</v>
      </c>
      <c r="X52" s="40">
        <f t="shared" si="23"/>
        <v>69230.350000000006</v>
      </c>
      <c r="Y52" s="40">
        <f t="shared" si="23"/>
        <v>53787.719999999994</v>
      </c>
    </row>
    <row r="53" spans="1:25" s="37" customFormat="1" ht="12" x14ac:dyDescent="0.25">
      <c r="A53" s="34" t="s">
        <v>10</v>
      </c>
      <c r="B53" s="35" t="s">
        <v>36</v>
      </c>
      <c r="C53" s="36">
        <f t="shared" si="17"/>
        <v>10576968.950000001</v>
      </c>
      <c r="D53" s="36">
        <f>+Dulieu!D29</f>
        <v>380975.04</v>
      </c>
      <c r="E53" s="36">
        <f>+Dulieu!E29</f>
        <v>439803.9</v>
      </c>
      <c r="F53" s="36">
        <f>+Dulieu!F29</f>
        <v>440246.06</v>
      </c>
      <c r="G53" s="36">
        <f>+Dulieu!G29</f>
        <v>469532.59</v>
      </c>
      <c r="H53" s="36">
        <f>+Dulieu!H29</f>
        <v>571787.78</v>
      </c>
      <c r="I53" s="36">
        <f>+Dulieu!I29</f>
        <v>480224.54</v>
      </c>
      <c r="J53" s="36">
        <f>+Dulieu!J29</f>
        <v>454489.65</v>
      </c>
      <c r="K53" s="36">
        <f>+Dulieu!K29</f>
        <v>523173.61</v>
      </c>
      <c r="L53" s="36">
        <f>+Dulieu!L29</f>
        <v>454838.58</v>
      </c>
      <c r="M53" s="36">
        <f>+Dulieu!M29</f>
        <v>433673.4</v>
      </c>
      <c r="N53" s="36">
        <f>+Dulieu!N29</f>
        <v>424246.99</v>
      </c>
      <c r="O53" s="36">
        <f>+Dulieu!O29</f>
        <v>291539.18</v>
      </c>
      <c r="P53" s="36">
        <f>+Dulieu!P29</f>
        <v>728984.73</v>
      </c>
      <c r="Q53" s="36">
        <f>+Dulieu!Q29</f>
        <v>300461.90999999997</v>
      </c>
      <c r="R53" s="36">
        <f>+Dulieu!R29</f>
        <v>313108.62</v>
      </c>
      <c r="S53" s="36">
        <f>+Dulieu!S29</f>
        <v>748672.87</v>
      </c>
      <c r="T53" s="36">
        <f>+Dulieu!T29</f>
        <v>471788.44</v>
      </c>
      <c r="U53" s="36">
        <f>+Dulieu!U29</f>
        <v>375105.04</v>
      </c>
      <c r="V53" s="36">
        <f>+Dulieu!V29</f>
        <v>556496.44999999995</v>
      </c>
      <c r="W53" s="36">
        <f>+Dulieu!W29</f>
        <v>631755.41</v>
      </c>
      <c r="X53" s="36">
        <f>+Dulieu!X29</f>
        <v>609971.04</v>
      </c>
      <c r="Y53" s="36">
        <f>+Dulieu!Y29</f>
        <v>476093.12</v>
      </c>
    </row>
    <row r="54" spans="1:25" s="41" customFormat="1" ht="12" x14ac:dyDescent="0.25">
      <c r="A54" s="38"/>
      <c r="B54" s="39" t="s">
        <v>91</v>
      </c>
      <c r="C54" s="40">
        <f t="shared" si="17"/>
        <v>117878.95999999999</v>
      </c>
      <c r="D54" s="40">
        <f>+Dulieu!D30</f>
        <v>-5610.95</v>
      </c>
      <c r="E54" s="40">
        <f>+Dulieu!E30</f>
        <v>2493.33</v>
      </c>
      <c r="F54" s="40">
        <f>+Dulieu!F30</f>
        <v>4001.63</v>
      </c>
      <c r="G54" s="40">
        <f>+Dulieu!G30</f>
        <v>-5044.7299999999996</v>
      </c>
      <c r="H54" s="40">
        <f>+Dulieu!H30</f>
        <v>828.44</v>
      </c>
      <c r="I54" s="40">
        <f>+Dulieu!I30</f>
        <v>8059.07</v>
      </c>
      <c r="J54" s="40">
        <f>+Dulieu!J30</f>
        <v>3299.86</v>
      </c>
      <c r="K54" s="40">
        <f>+Dulieu!K30</f>
        <v>-977.93</v>
      </c>
      <c r="L54" s="40">
        <f>+Dulieu!L30</f>
        <v>4044.47</v>
      </c>
      <c r="M54" s="40">
        <f>+Dulieu!M30</f>
        <v>3742.16</v>
      </c>
      <c r="N54" s="40">
        <f>+Dulieu!N30</f>
        <v>977.98</v>
      </c>
      <c r="O54" s="40">
        <f>+Dulieu!O30</f>
        <v>7878.38</v>
      </c>
      <c r="P54" s="40">
        <f>+Dulieu!P30</f>
        <v>14097.71</v>
      </c>
      <c r="Q54" s="40">
        <f>+Dulieu!Q30</f>
        <v>2821.4</v>
      </c>
      <c r="R54" s="40">
        <f>+Dulieu!R30</f>
        <v>6827.33</v>
      </c>
      <c r="S54" s="40">
        <f>+Dulieu!S30</f>
        <v>14056.77</v>
      </c>
      <c r="T54" s="40">
        <f>+Dulieu!T30</f>
        <v>9185.81</v>
      </c>
      <c r="U54" s="40">
        <f>+Dulieu!U30</f>
        <v>4570.2</v>
      </c>
      <c r="V54" s="40">
        <f>+Dulieu!V30</f>
        <v>22283.83</v>
      </c>
      <c r="W54" s="40">
        <f>+Dulieu!W30</f>
        <v>14438.13</v>
      </c>
      <c r="X54" s="40">
        <f>+Dulieu!X30</f>
        <v>1262.78</v>
      </c>
      <c r="Y54" s="40">
        <f>+Dulieu!Y30</f>
        <v>4643.29</v>
      </c>
    </row>
    <row r="55" spans="1:25" s="41" customFormat="1" ht="12" x14ac:dyDescent="0.25">
      <c r="A55" s="38"/>
      <c r="B55" s="39" t="s">
        <v>92</v>
      </c>
      <c r="C55" s="40">
        <f t="shared" si="17"/>
        <v>781274.4</v>
      </c>
      <c r="D55" s="40">
        <f>+Dulieu!D31</f>
        <v>18025.580000000002</v>
      </c>
      <c r="E55" s="40">
        <f>+Dulieu!E31</f>
        <v>30271.64</v>
      </c>
      <c r="F55" s="40">
        <f>+Dulieu!F31</f>
        <v>24585.32</v>
      </c>
      <c r="G55" s="40">
        <f>+Dulieu!G31</f>
        <v>11753.4</v>
      </c>
      <c r="H55" s="40">
        <f>+Dulieu!H31</f>
        <v>32776.769999999997</v>
      </c>
      <c r="I55" s="40">
        <f>+Dulieu!I31</f>
        <v>30000.58</v>
      </c>
      <c r="J55" s="40">
        <f>+Dulieu!J31</f>
        <v>24064.48</v>
      </c>
      <c r="K55" s="40">
        <f>+Dulieu!K31</f>
        <v>24503.4</v>
      </c>
      <c r="L55" s="40">
        <f>+Dulieu!L31</f>
        <v>28980.2</v>
      </c>
      <c r="M55" s="40">
        <f>+Dulieu!M31</f>
        <v>24383.45</v>
      </c>
      <c r="N55" s="40">
        <f>+Dulieu!N31</f>
        <v>27167.07</v>
      </c>
      <c r="O55" s="40">
        <f>+Dulieu!O31</f>
        <v>29157.38</v>
      </c>
      <c r="P55" s="40">
        <f>+Dulieu!P31</f>
        <v>65183.27</v>
      </c>
      <c r="Q55" s="40">
        <f>+Dulieu!Q31</f>
        <v>21757.56</v>
      </c>
      <c r="R55" s="40">
        <f>+Dulieu!R31</f>
        <v>28344.44</v>
      </c>
      <c r="S55" s="40">
        <f>+Dulieu!S31</f>
        <v>67302.48</v>
      </c>
      <c r="T55" s="40">
        <f>+Dulieu!T31</f>
        <v>46855.13</v>
      </c>
      <c r="U55" s="40">
        <f>+Dulieu!U31</f>
        <v>29891.63</v>
      </c>
      <c r="V55" s="40">
        <f>+Dulieu!V31</f>
        <v>59818.17</v>
      </c>
      <c r="W55" s="40">
        <f>+Dulieu!W31</f>
        <v>62734.74</v>
      </c>
      <c r="X55" s="40">
        <f>+Dulieu!X31</f>
        <v>54974.62</v>
      </c>
      <c r="Y55" s="40">
        <f>+Dulieu!Y31</f>
        <v>38743.089999999997</v>
      </c>
    </row>
    <row r="56" spans="1:25" s="32" customFormat="1" ht="12" x14ac:dyDescent="0.25">
      <c r="A56" s="42"/>
      <c r="B56" s="43" t="s">
        <v>37</v>
      </c>
      <c r="C56" s="44">
        <f t="shared" si="17"/>
        <v>11553.600000000002</v>
      </c>
      <c r="D56" s="44">
        <f>+Dulieu!D32</f>
        <v>1255.26</v>
      </c>
      <c r="E56" s="44">
        <f>+Dulieu!E32</f>
        <v>1609.07</v>
      </c>
      <c r="F56" s="44">
        <f>+Dulieu!F32</f>
        <v>603.94000000000005</v>
      </c>
      <c r="G56" s="44">
        <f>+Dulieu!G32</f>
        <v>678.22</v>
      </c>
      <c r="H56" s="44">
        <f>+Dulieu!H32</f>
        <v>1101.75</v>
      </c>
      <c r="I56" s="44">
        <f>+Dulieu!I32</f>
        <v>612.16999999999996</v>
      </c>
      <c r="J56" s="44">
        <f>+Dulieu!J32</f>
        <v>209.18</v>
      </c>
      <c r="K56" s="44">
        <f>+Dulieu!K32</f>
        <v>702.92</v>
      </c>
      <c r="L56" s="44">
        <f>+Dulieu!L32</f>
        <v>277.14</v>
      </c>
      <c r="M56" s="44">
        <f>+Dulieu!M32</f>
        <v>689.5</v>
      </c>
      <c r="N56" s="44">
        <f>+Dulieu!N32</f>
        <v>742.65</v>
      </c>
      <c r="O56" s="44">
        <f>+Dulieu!O32</f>
        <v>12</v>
      </c>
      <c r="P56" s="44">
        <f>+Dulieu!P32</f>
        <v>284.75</v>
      </c>
      <c r="Q56" s="44">
        <f>+Dulieu!Q32</f>
        <v>513.69000000000005</v>
      </c>
      <c r="R56" s="44">
        <f>+Dulieu!R32</f>
        <v>130.16</v>
      </c>
      <c r="S56" s="44">
        <f>+Dulieu!S32</f>
        <v>568.45000000000005</v>
      </c>
      <c r="T56" s="44">
        <f>+Dulieu!T32</f>
        <v>272.83999999999997</v>
      </c>
      <c r="U56" s="44">
        <f>+Dulieu!U32</f>
        <v>0</v>
      </c>
      <c r="V56" s="44">
        <f>+Dulieu!V32</f>
        <v>611.6</v>
      </c>
      <c r="W56" s="44">
        <f>+Dulieu!W32</f>
        <v>199.12</v>
      </c>
      <c r="X56" s="44">
        <f>+Dulieu!X32</f>
        <v>239.55</v>
      </c>
      <c r="Y56" s="44">
        <f>+Dulieu!Y32</f>
        <v>239.64</v>
      </c>
    </row>
    <row r="57" spans="1:25" s="41" customFormat="1" ht="12" x14ac:dyDescent="0.25">
      <c r="A57" s="38"/>
      <c r="B57" s="39" t="s">
        <v>91</v>
      </c>
      <c r="C57" s="40">
        <f t="shared" si="17"/>
        <v>753.79</v>
      </c>
      <c r="D57" s="40">
        <f>+Dulieu!D33</f>
        <v>-33.47</v>
      </c>
      <c r="E57" s="40">
        <f>+Dulieu!E33</f>
        <v>24.26</v>
      </c>
      <c r="F57" s="40">
        <f>+Dulieu!F33</f>
        <v>105.13</v>
      </c>
      <c r="G57" s="40">
        <f>+Dulieu!G33</f>
        <v>87.75</v>
      </c>
      <c r="H57" s="40">
        <f>+Dulieu!H33</f>
        <v>72.95</v>
      </c>
      <c r="I57" s="40">
        <f>+Dulieu!I33</f>
        <v>52.5</v>
      </c>
      <c r="J57" s="40">
        <f>+Dulieu!J33</f>
        <v>6.5</v>
      </c>
      <c r="K57" s="40">
        <f>+Dulieu!K33</f>
        <v>-12.5</v>
      </c>
      <c r="L57" s="40">
        <f>+Dulieu!L33</f>
        <v>99.75</v>
      </c>
      <c r="M57" s="40">
        <f>+Dulieu!M33</f>
        <v>5.78</v>
      </c>
      <c r="N57" s="40">
        <f>+Dulieu!N33</f>
        <v>3.8</v>
      </c>
      <c r="O57" s="40">
        <f>+Dulieu!O33</f>
        <v>0</v>
      </c>
      <c r="P57" s="40">
        <f>+Dulieu!P33</f>
        <v>56.05</v>
      </c>
      <c r="Q57" s="40">
        <f>+Dulieu!Q33</f>
        <v>114</v>
      </c>
      <c r="R57" s="40">
        <f>+Dulieu!R33</f>
        <v>66.760000000000005</v>
      </c>
      <c r="S57" s="40">
        <f>+Dulieu!S33</f>
        <v>22.67</v>
      </c>
      <c r="T57" s="40">
        <f>+Dulieu!T33</f>
        <v>-1.4</v>
      </c>
      <c r="U57" s="40">
        <f>+Dulieu!U33</f>
        <v>0</v>
      </c>
      <c r="V57" s="40">
        <f>+Dulieu!V33</f>
        <v>25.5</v>
      </c>
      <c r="W57" s="40">
        <f>+Dulieu!W33</f>
        <v>-3.4</v>
      </c>
      <c r="X57" s="40">
        <f>+Dulieu!X33</f>
        <v>61.16</v>
      </c>
      <c r="Y57" s="40">
        <f>+Dulieu!Y33</f>
        <v>0</v>
      </c>
    </row>
    <row r="58" spans="1:25" s="41" customFormat="1" ht="12" x14ac:dyDescent="0.25">
      <c r="A58" s="38"/>
      <c r="B58" s="39" t="s">
        <v>92</v>
      </c>
      <c r="C58" s="40">
        <f t="shared" si="17"/>
        <v>126.54999999999993</v>
      </c>
      <c r="D58" s="40">
        <f>+Dulieu!D34</f>
        <v>8.99</v>
      </c>
      <c r="E58" s="40">
        <f>+Dulieu!E34</f>
        <v>206.48</v>
      </c>
      <c r="F58" s="40">
        <f>+Dulieu!F34</f>
        <v>69.739999999999995</v>
      </c>
      <c r="G58" s="40">
        <f>+Dulieu!G34</f>
        <v>6.02</v>
      </c>
      <c r="H58" s="40">
        <f>+Dulieu!H34</f>
        <v>1.76</v>
      </c>
      <c r="I58" s="40">
        <f>+Dulieu!I34</f>
        <v>-166.4</v>
      </c>
      <c r="J58" s="40">
        <f>+Dulieu!J34</f>
        <v>24.37</v>
      </c>
      <c r="K58" s="40">
        <f>+Dulieu!K34</f>
        <v>-174.08</v>
      </c>
      <c r="L58" s="40">
        <f>+Dulieu!L34</f>
        <v>79.09</v>
      </c>
      <c r="M58" s="40">
        <f>+Dulieu!M34</f>
        <v>-5.01</v>
      </c>
      <c r="N58" s="40">
        <f>+Dulieu!N34</f>
        <v>54.2</v>
      </c>
      <c r="O58" s="40">
        <f>+Dulieu!O34</f>
        <v>0</v>
      </c>
      <c r="P58" s="40">
        <f>+Dulieu!P34</f>
        <v>-24.86</v>
      </c>
      <c r="Q58" s="40">
        <f>+Dulieu!Q34</f>
        <v>5.75</v>
      </c>
      <c r="R58" s="40">
        <f>+Dulieu!R34</f>
        <v>66.760000000000005</v>
      </c>
      <c r="S58" s="40">
        <f>+Dulieu!S34</f>
        <v>24.08</v>
      </c>
      <c r="T58" s="40">
        <f>+Dulieu!T34</f>
        <v>-21.4</v>
      </c>
      <c r="U58" s="40">
        <f>+Dulieu!U34</f>
        <v>0</v>
      </c>
      <c r="V58" s="40">
        <f>+Dulieu!V34</f>
        <v>-40</v>
      </c>
      <c r="W58" s="40">
        <f>+Dulieu!W34</f>
        <v>-49.66</v>
      </c>
      <c r="X58" s="40">
        <f>+Dulieu!X34</f>
        <v>61.12</v>
      </c>
      <c r="Y58" s="40">
        <f>+Dulieu!Y34</f>
        <v>-0.4</v>
      </c>
    </row>
    <row r="59" spans="1:25" s="51" customFormat="1" ht="12" x14ac:dyDescent="0.25">
      <c r="A59" s="54"/>
      <c r="B59" s="50" t="s">
        <v>38</v>
      </c>
      <c r="C59" s="50">
        <f>+C56/C53</f>
        <v>1.0923356260774501E-3</v>
      </c>
      <c r="D59" s="50">
        <f>+Dulieu!D35</f>
        <v>3.2948615216366931E-3</v>
      </c>
      <c r="E59" s="50">
        <f>+Dulieu!E35</f>
        <v>3.6586078477248607E-3</v>
      </c>
      <c r="F59" s="50">
        <f>+Dulieu!F35</f>
        <v>1.3718237478377434E-3</v>
      </c>
      <c r="G59" s="50">
        <f>+Dulieu!G35</f>
        <v>1.4444577744858987E-3</v>
      </c>
      <c r="H59" s="50">
        <f>+Dulieu!H35</f>
        <v>1.9268512523999725E-3</v>
      </c>
      <c r="I59" s="50">
        <f>+Dulieu!I35</f>
        <v>1.2747578455694912E-3</v>
      </c>
      <c r="J59" s="50">
        <f>+Dulieu!J35</f>
        <v>4.6025250520006339E-4</v>
      </c>
      <c r="K59" s="50">
        <f>+Dulieu!K35</f>
        <v>1.3435692981532458E-3</v>
      </c>
      <c r="L59" s="50">
        <f>+Dulieu!L35</f>
        <v>6.0931506733663619E-4</v>
      </c>
      <c r="M59" s="50">
        <f>+Dulieu!M35</f>
        <v>1.5899061367379229E-3</v>
      </c>
      <c r="N59" s="50">
        <f>+Dulieu!N35</f>
        <v>1.7505133035828964E-3</v>
      </c>
      <c r="O59" s="50">
        <f>+Dulieu!O35</f>
        <v>4.116084843210439E-5</v>
      </c>
      <c r="P59" s="50">
        <f>+Dulieu!P35</f>
        <v>3.9061174847928573E-4</v>
      </c>
      <c r="Q59" s="50">
        <f>+Dulieu!Q35</f>
        <v>1.7096676247581601E-3</v>
      </c>
      <c r="R59" s="50">
        <f>+Dulieu!R35</f>
        <v>4.1570238468682211E-4</v>
      </c>
      <c r="S59" s="50">
        <f>+Dulieu!S35</f>
        <v>7.5927687883227293E-4</v>
      </c>
      <c r="T59" s="50">
        <f>+Dulieu!T35</f>
        <v>5.7831005778776596E-4</v>
      </c>
      <c r="U59" s="50">
        <f>+Dulieu!U35</f>
        <v>0</v>
      </c>
      <c r="V59" s="50">
        <f>+Dulieu!V35</f>
        <v>1.0990186909548122E-3</v>
      </c>
      <c r="W59" s="50">
        <f>+Dulieu!W35</f>
        <v>3.1518527083131744E-4</v>
      </c>
      <c r="X59" s="50">
        <f>+Dulieu!X35</f>
        <v>3.9272356274488047E-4</v>
      </c>
      <c r="Y59" s="50">
        <f>+Dulieu!Y35</f>
        <v>5.0334690826870168E-4</v>
      </c>
    </row>
    <row r="60" spans="1:25" s="37" customFormat="1" ht="12" x14ac:dyDescent="0.25">
      <c r="A60" s="34" t="s">
        <v>26</v>
      </c>
      <c r="B60" s="35" t="s">
        <v>39</v>
      </c>
      <c r="C60" s="36">
        <f t="shared" ref="C60:C65" si="24">SUM(D60:Y60)</f>
        <v>2580106.6800000002</v>
      </c>
      <c r="D60" s="36">
        <f>+Dulieu!D36</f>
        <v>334774.09999999998</v>
      </c>
      <c r="E60" s="36">
        <f>+Dulieu!E36</f>
        <v>136656.82</v>
      </c>
      <c r="F60" s="36">
        <f>+Dulieu!F36</f>
        <v>181505.48</v>
      </c>
      <c r="G60" s="36">
        <f>+Dulieu!G36</f>
        <v>282749.28999999998</v>
      </c>
      <c r="H60" s="36">
        <f>+Dulieu!H36</f>
        <v>162278.59</v>
      </c>
      <c r="I60" s="36">
        <f>+Dulieu!I36</f>
        <v>122848.87</v>
      </c>
      <c r="J60" s="36">
        <f>+Dulieu!J36</f>
        <v>188600.68</v>
      </c>
      <c r="K60" s="36">
        <f>+Dulieu!K36</f>
        <v>190988.71</v>
      </c>
      <c r="L60" s="36">
        <f>+Dulieu!L36</f>
        <v>142187.01</v>
      </c>
      <c r="M60" s="36">
        <f>+Dulieu!M36</f>
        <v>128921.18</v>
      </c>
      <c r="N60" s="36">
        <f>+Dulieu!N36</f>
        <v>143941.41</v>
      </c>
      <c r="O60" s="36">
        <f>+Dulieu!O36</f>
        <v>71603</v>
      </c>
      <c r="P60" s="36">
        <f>+Dulieu!P36</f>
        <v>38333.199999999997</v>
      </c>
      <c r="Q60" s="36">
        <f>+Dulieu!Q36</f>
        <v>84727.15</v>
      </c>
      <c r="R60" s="36">
        <f>+Dulieu!R36</f>
        <v>64550.39</v>
      </c>
      <c r="S60" s="36">
        <f>+Dulieu!S36</f>
        <v>39138.81</v>
      </c>
      <c r="T60" s="36">
        <f>+Dulieu!T36</f>
        <v>60849.15</v>
      </c>
      <c r="U60" s="36">
        <f>+Dulieu!U36</f>
        <v>52819.6</v>
      </c>
      <c r="V60" s="36">
        <f>+Dulieu!V36</f>
        <v>31490.49</v>
      </c>
      <c r="W60" s="36">
        <f>+Dulieu!W36</f>
        <v>35604.629999999997</v>
      </c>
      <c r="X60" s="36">
        <f>+Dulieu!X36</f>
        <v>44628.7</v>
      </c>
      <c r="Y60" s="36">
        <f>+Dulieu!Y36</f>
        <v>40909.42</v>
      </c>
    </row>
    <row r="61" spans="1:25" s="41" customFormat="1" ht="12" x14ac:dyDescent="0.25">
      <c r="A61" s="38"/>
      <c r="B61" s="39" t="s">
        <v>91</v>
      </c>
      <c r="C61" s="40">
        <f t="shared" si="24"/>
        <v>9323.11</v>
      </c>
      <c r="D61" s="40">
        <f>+Dulieu!D37</f>
        <v>5668.16</v>
      </c>
      <c r="E61" s="40">
        <f>+Dulieu!E37</f>
        <v>-846.77</v>
      </c>
      <c r="F61" s="40">
        <f>+Dulieu!F37</f>
        <v>887.63</v>
      </c>
      <c r="G61" s="40">
        <f>+Dulieu!G37</f>
        <v>-375.15</v>
      </c>
      <c r="H61" s="40">
        <f>+Dulieu!H37</f>
        <v>520.26</v>
      </c>
      <c r="I61" s="40">
        <f>+Dulieu!I37</f>
        <v>388.89</v>
      </c>
      <c r="J61" s="40">
        <f>+Dulieu!J37</f>
        <v>-1585.6</v>
      </c>
      <c r="K61" s="40">
        <f>+Dulieu!K37</f>
        <v>555.71</v>
      </c>
      <c r="L61" s="40">
        <f>+Dulieu!L37</f>
        <v>315.17</v>
      </c>
      <c r="M61" s="40">
        <f>+Dulieu!M37</f>
        <v>85.95</v>
      </c>
      <c r="N61" s="40">
        <f>+Dulieu!N37</f>
        <v>310.48</v>
      </c>
      <c r="O61" s="40">
        <f>+Dulieu!O37</f>
        <v>1000</v>
      </c>
      <c r="P61" s="40">
        <f>+Dulieu!P37</f>
        <v>6.1</v>
      </c>
      <c r="Q61" s="40">
        <f>+Dulieu!Q37</f>
        <v>-3.25</v>
      </c>
      <c r="R61" s="40">
        <f>+Dulieu!R37</f>
        <v>77</v>
      </c>
      <c r="S61" s="40">
        <f>+Dulieu!S37</f>
        <v>734</v>
      </c>
      <c r="T61" s="40">
        <f>+Dulieu!T37</f>
        <v>1569.19</v>
      </c>
      <c r="U61" s="40">
        <f>+Dulieu!U37</f>
        <v>-481.5</v>
      </c>
      <c r="V61" s="40">
        <f>+Dulieu!V37</f>
        <v>-268.20999999999998</v>
      </c>
      <c r="W61" s="40">
        <f>+Dulieu!W37</f>
        <v>723.8</v>
      </c>
      <c r="X61" s="40">
        <f>+Dulieu!X37</f>
        <v>122.25</v>
      </c>
      <c r="Y61" s="40">
        <f>+Dulieu!Y37</f>
        <v>-81</v>
      </c>
    </row>
    <row r="62" spans="1:25" s="41" customFormat="1" ht="12" x14ac:dyDescent="0.25">
      <c r="A62" s="38"/>
      <c r="B62" s="39" t="s">
        <v>92</v>
      </c>
      <c r="C62" s="40">
        <f t="shared" si="24"/>
        <v>274714.48</v>
      </c>
      <c r="D62" s="40">
        <f>+Dulieu!D38</f>
        <v>20522.61</v>
      </c>
      <c r="E62" s="40">
        <f>+Dulieu!E38</f>
        <v>5204.37</v>
      </c>
      <c r="F62" s="40">
        <f>+Dulieu!F38</f>
        <v>7502.87</v>
      </c>
      <c r="G62" s="40">
        <f>+Dulieu!G38</f>
        <v>12459.06</v>
      </c>
      <c r="H62" s="40">
        <f>+Dulieu!H38</f>
        <v>6039.21</v>
      </c>
      <c r="I62" s="40">
        <f>+Dulieu!I38</f>
        <v>13118.46</v>
      </c>
      <c r="J62" s="40">
        <f>+Dulieu!J38</f>
        <v>2645.59</v>
      </c>
      <c r="K62" s="40">
        <f>+Dulieu!K38</f>
        <v>14915.21</v>
      </c>
      <c r="L62" s="40">
        <f>+Dulieu!L38</f>
        <v>6440.96</v>
      </c>
      <c r="M62" s="40">
        <f>+Dulieu!M38</f>
        <v>9212.73</v>
      </c>
      <c r="N62" s="40">
        <f>+Dulieu!N38</f>
        <v>2867.96</v>
      </c>
      <c r="O62" s="40">
        <f>+Dulieu!O38</f>
        <v>25410</v>
      </c>
      <c r="P62" s="40">
        <f>+Dulieu!P38</f>
        <v>11220.1</v>
      </c>
      <c r="Q62" s="40">
        <f>+Dulieu!Q38</f>
        <v>15205.77</v>
      </c>
      <c r="R62" s="40">
        <f>+Dulieu!R38</f>
        <v>16139.42</v>
      </c>
      <c r="S62" s="40">
        <f>+Dulieu!S38</f>
        <v>17128.71</v>
      </c>
      <c r="T62" s="40">
        <f>+Dulieu!T38</f>
        <v>25591.79</v>
      </c>
      <c r="U62" s="40">
        <f>+Dulieu!U38</f>
        <v>15214.4</v>
      </c>
      <c r="V62" s="40">
        <f>+Dulieu!V38</f>
        <v>6486.79</v>
      </c>
      <c r="W62" s="40">
        <f>+Dulieu!W38</f>
        <v>12088.11</v>
      </c>
      <c r="X62" s="40">
        <f>+Dulieu!X38</f>
        <v>14255.73</v>
      </c>
      <c r="Y62" s="40">
        <f>+Dulieu!Y38</f>
        <v>15044.63</v>
      </c>
    </row>
    <row r="63" spans="1:25" s="32" customFormat="1" ht="12" x14ac:dyDescent="0.25">
      <c r="A63" s="42"/>
      <c r="B63" s="43" t="s">
        <v>37</v>
      </c>
      <c r="C63" s="44">
        <f t="shared" si="24"/>
        <v>2849.62</v>
      </c>
      <c r="D63" s="44">
        <f>+Dulieu!D39</f>
        <v>529.11</v>
      </c>
      <c r="E63" s="44">
        <f>+Dulieu!E39</f>
        <v>206.61</v>
      </c>
      <c r="F63" s="44">
        <f>+Dulieu!F39</f>
        <v>245.34</v>
      </c>
      <c r="G63" s="44">
        <f>+Dulieu!G39</f>
        <v>397.93</v>
      </c>
      <c r="H63" s="44">
        <f>+Dulieu!H39</f>
        <v>223.06</v>
      </c>
      <c r="I63" s="44">
        <f>+Dulieu!I39</f>
        <v>254.21</v>
      </c>
      <c r="J63" s="44">
        <f>+Dulieu!J39</f>
        <v>114.69</v>
      </c>
      <c r="K63" s="44">
        <f>+Dulieu!K39</f>
        <v>300.18</v>
      </c>
      <c r="L63" s="44">
        <f>+Dulieu!L39</f>
        <v>51.06</v>
      </c>
      <c r="M63" s="44">
        <f>+Dulieu!M39</f>
        <v>189.96</v>
      </c>
      <c r="N63" s="44">
        <f>+Dulieu!N39</f>
        <v>92.43</v>
      </c>
      <c r="O63" s="44">
        <f>+Dulieu!O39</f>
        <v>0</v>
      </c>
      <c r="P63" s="44">
        <f>+Dulieu!P39</f>
        <v>4.8</v>
      </c>
      <c r="Q63" s="44">
        <f>+Dulieu!Q39</f>
        <v>59.2</v>
      </c>
      <c r="R63" s="44">
        <f>+Dulieu!R39</f>
        <v>48.29</v>
      </c>
      <c r="S63" s="44">
        <f>+Dulieu!S39</f>
        <v>23</v>
      </c>
      <c r="T63" s="44">
        <f>+Dulieu!T39</f>
        <v>73.5</v>
      </c>
      <c r="U63" s="44">
        <f>+Dulieu!U39</f>
        <v>0</v>
      </c>
      <c r="V63" s="44">
        <f>+Dulieu!V39</f>
        <v>35</v>
      </c>
      <c r="W63" s="44">
        <f>+Dulieu!W39</f>
        <v>0</v>
      </c>
      <c r="X63" s="44">
        <f>+Dulieu!X39</f>
        <v>1.25</v>
      </c>
      <c r="Y63" s="44">
        <f>+Dulieu!Y39</f>
        <v>0</v>
      </c>
    </row>
    <row r="64" spans="1:25" s="41" customFormat="1" ht="12" x14ac:dyDescent="0.25">
      <c r="A64" s="38"/>
      <c r="B64" s="39" t="s">
        <v>91</v>
      </c>
      <c r="C64" s="40">
        <f t="shared" si="24"/>
        <v>98.74</v>
      </c>
      <c r="D64" s="40">
        <f>+Dulieu!D40</f>
        <v>73.12</v>
      </c>
      <c r="E64" s="40">
        <f>+Dulieu!E40</f>
        <v>-11</v>
      </c>
      <c r="F64" s="40">
        <f>+Dulieu!F40</f>
        <v>0</v>
      </c>
      <c r="G64" s="40">
        <f>+Dulieu!G40</f>
        <v>75.14</v>
      </c>
      <c r="H64" s="40">
        <f>+Dulieu!H40</f>
        <v>-0.63</v>
      </c>
      <c r="I64" s="40">
        <f>+Dulieu!I40</f>
        <v>0</v>
      </c>
      <c r="J64" s="40">
        <f>+Dulieu!J40</f>
        <v>0</v>
      </c>
      <c r="K64" s="40">
        <f>+Dulieu!K40</f>
        <v>-14.5</v>
      </c>
      <c r="L64" s="40">
        <f>+Dulieu!L40</f>
        <v>-14</v>
      </c>
      <c r="M64" s="40">
        <f>+Dulieu!M40</f>
        <v>0</v>
      </c>
      <c r="N64" s="40">
        <f>+Dulieu!N40</f>
        <v>-0.94</v>
      </c>
      <c r="O64" s="40">
        <f>+Dulieu!O40</f>
        <v>0</v>
      </c>
      <c r="P64" s="40">
        <f>+Dulieu!P40</f>
        <v>-7.4</v>
      </c>
      <c r="Q64" s="40">
        <f>+Dulieu!Q40</f>
        <v>-2.2999999999999998</v>
      </c>
      <c r="R64" s="40">
        <f>+Dulieu!R40</f>
        <v>0</v>
      </c>
      <c r="S64" s="40">
        <f>+Dulieu!S40</f>
        <v>0</v>
      </c>
      <c r="T64" s="40">
        <f>+Dulieu!T40</f>
        <v>0</v>
      </c>
      <c r="U64" s="40">
        <f>+Dulieu!U40</f>
        <v>0</v>
      </c>
      <c r="V64" s="40">
        <f>+Dulieu!V40</f>
        <v>0</v>
      </c>
      <c r="W64" s="40">
        <f>+Dulieu!W40</f>
        <v>0</v>
      </c>
      <c r="X64" s="40">
        <f>+Dulieu!X40</f>
        <v>1.25</v>
      </c>
      <c r="Y64" s="40">
        <f>+Dulieu!Y40</f>
        <v>0</v>
      </c>
    </row>
    <row r="65" spans="1:25" s="41" customFormat="1" ht="12" x14ac:dyDescent="0.25">
      <c r="A65" s="38"/>
      <c r="B65" s="39" t="s">
        <v>92</v>
      </c>
      <c r="C65" s="40">
        <f t="shared" si="24"/>
        <v>685.70999999999992</v>
      </c>
      <c r="D65" s="40">
        <f>+Dulieu!D41</f>
        <v>113.35</v>
      </c>
      <c r="E65" s="40">
        <f>+Dulieu!E41</f>
        <v>68.209999999999994</v>
      </c>
      <c r="F65" s="40">
        <f>+Dulieu!F41</f>
        <v>50</v>
      </c>
      <c r="G65" s="40">
        <f>+Dulieu!G41</f>
        <v>280.38</v>
      </c>
      <c r="H65" s="40">
        <f>+Dulieu!H41</f>
        <v>38.46</v>
      </c>
      <c r="I65" s="40">
        <f>+Dulieu!I41</f>
        <v>51.18</v>
      </c>
      <c r="J65" s="40">
        <f>+Dulieu!J41</f>
        <v>40</v>
      </c>
      <c r="K65" s="40">
        <f>+Dulieu!K41</f>
        <v>35.28</v>
      </c>
      <c r="L65" s="40">
        <f>+Dulieu!L41</f>
        <v>-1</v>
      </c>
      <c r="M65" s="40">
        <f>+Dulieu!M41</f>
        <v>35.450000000000003</v>
      </c>
      <c r="N65" s="40">
        <f>+Dulieu!N41</f>
        <v>10</v>
      </c>
      <c r="O65" s="40">
        <f>+Dulieu!O41</f>
        <v>0</v>
      </c>
      <c r="P65" s="40">
        <f>+Dulieu!P41</f>
        <v>-9.4</v>
      </c>
      <c r="Q65" s="40">
        <f>+Dulieu!Q41</f>
        <v>-27.45</v>
      </c>
      <c r="R65" s="40">
        <f>+Dulieu!R41</f>
        <v>0</v>
      </c>
      <c r="S65" s="40">
        <f>+Dulieu!S41</f>
        <v>0</v>
      </c>
      <c r="T65" s="40">
        <f>+Dulieu!T41</f>
        <v>0</v>
      </c>
      <c r="U65" s="40">
        <f>+Dulieu!U41</f>
        <v>0</v>
      </c>
      <c r="V65" s="40">
        <f>+Dulieu!V41</f>
        <v>0</v>
      </c>
      <c r="W65" s="40">
        <f>+Dulieu!W41</f>
        <v>0</v>
      </c>
      <c r="X65" s="40">
        <f>+Dulieu!X41</f>
        <v>1.25</v>
      </c>
      <c r="Y65" s="40">
        <f>+Dulieu!Y41</f>
        <v>0</v>
      </c>
    </row>
    <row r="66" spans="1:25" s="51" customFormat="1" ht="12" x14ac:dyDescent="0.25">
      <c r="A66" s="54"/>
      <c r="B66" s="50" t="s">
        <v>38</v>
      </c>
      <c r="C66" s="50">
        <f>+C63/C60</f>
        <v>1.104458207906349E-3</v>
      </c>
      <c r="D66" s="50">
        <f>+Dulieu!D42</f>
        <v>1.5804986108543047E-3</v>
      </c>
      <c r="E66" s="50">
        <f>+Dulieu!E42</f>
        <v>1.511889417593648E-3</v>
      </c>
      <c r="F66" s="50">
        <f>+Dulieu!F42</f>
        <v>1.3516947256909267E-3</v>
      </c>
      <c r="G66" s="50">
        <f>+Dulieu!G42</f>
        <v>1.4073598557930952E-3</v>
      </c>
      <c r="H66" s="50">
        <f>+Dulieu!H42</f>
        <v>1.3745497788710144E-3</v>
      </c>
      <c r="I66" s="50">
        <f>+Dulieu!I42</f>
        <v>2.0692905030384083E-3</v>
      </c>
      <c r="J66" s="50">
        <f>+Dulieu!J42</f>
        <v>6.08110214660944E-4</v>
      </c>
      <c r="K66" s="50">
        <f>+Dulieu!K42</f>
        <v>1.5717159406961805E-3</v>
      </c>
      <c r="L66" s="50">
        <f>+Dulieu!L42</f>
        <v>3.5910453423276849E-4</v>
      </c>
      <c r="M66" s="50">
        <f>+Dulieu!M42</f>
        <v>1.473458434060253E-3</v>
      </c>
      <c r="N66" s="50">
        <f>+Dulieu!N42</f>
        <v>6.421362691945285E-4</v>
      </c>
      <c r="O66" s="50">
        <f>+Dulieu!O42</f>
        <v>0</v>
      </c>
      <c r="P66" s="50">
        <f>+Dulieu!P42</f>
        <v>1.2521782684461511E-4</v>
      </c>
      <c r="Q66" s="50">
        <f>+Dulieu!Q42</f>
        <v>6.9871345843687657E-4</v>
      </c>
      <c r="R66" s="50">
        <f>+Dulieu!R42</f>
        <v>7.4809772644286114E-4</v>
      </c>
      <c r="S66" s="50">
        <f>+Dulieu!S42</f>
        <v>5.8765200066123629E-4</v>
      </c>
      <c r="T66" s="50">
        <f>+Dulieu!T42</f>
        <v>1.2079051227502767E-3</v>
      </c>
      <c r="U66" s="50">
        <f>+Dulieu!U42</f>
        <v>0</v>
      </c>
      <c r="V66" s="50">
        <f>+Dulieu!V42</f>
        <v>1.1114466621510177E-3</v>
      </c>
      <c r="W66" s="50">
        <f>+Dulieu!W42</f>
        <v>0</v>
      </c>
      <c r="X66" s="50">
        <f>+Dulieu!X42</f>
        <v>2.8008882176715884E-5</v>
      </c>
      <c r="Y66" s="50">
        <f>+Dulieu!Y42</f>
        <v>0</v>
      </c>
    </row>
    <row r="67" spans="1:25" s="37" customFormat="1" ht="12" x14ac:dyDescent="0.25">
      <c r="A67" s="34" t="s">
        <v>30</v>
      </c>
      <c r="B67" s="35" t="s">
        <v>40</v>
      </c>
      <c r="C67" s="36">
        <f t="shared" ref="C67:C98" si="25">SUM(D67:Y67)</f>
        <v>11984985.080000002</v>
      </c>
      <c r="D67" s="36">
        <f>+Dulieu!D43 + IFERROR(VLOOKUP(LEFT(Dulieu!$C$81,12)&amp;"32",Dulieu!$C$88:$N$400,2,FALSE),0)+IFERROR(VLOOKUP(LEFT(Dulieu!$C$44,10)&amp;"0233",Dulieu!$C$88:$N$400,2,FALSE),0)</f>
        <v>596158.94999999995</v>
      </c>
      <c r="E67" s="36">
        <f>+Dulieu!E43 + IFERROR(VLOOKUP(LEFT(Dulieu!$C$81,12)&amp;"32",Dulieu!$C$88:$N$400,3,FALSE),0)+IFERROR(VLOOKUP(LEFT(Dulieu!$C$44,10)&amp;"0233",Dulieu!$C$88:$N$400,3,FALSE),0)</f>
        <v>533501.89000000013</v>
      </c>
      <c r="F67" s="36">
        <f>+Dulieu!F43 + IFERROR(VLOOKUP(LEFT(Dulieu!$C$81,12)&amp;"32",Dulieu!$C$88:$N$400,4,FALSE),0)+IFERROR(VLOOKUP(LEFT(Dulieu!$C$44,10)&amp;"0233",Dulieu!$C$88:$N$400,4,FALSE),0)</f>
        <v>580430.30000000005</v>
      </c>
      <c r="G67" s="36">
        <f>+Dulieu!G43 + IFERROR(VLOOKUP(LEFT(Dulieu!$C$81,12)&amp;"32",Dulieu!$C$88:$N$400,5,FALSE),0)+IFERROR(VLOOKUP(LEFT(Dulieu!$C$44,10)&amp;"0233",Dulieu!$C$88:$N$400,5,FALSE),0)</f>
        <v>645130.97000000009</v>
      </c>
      <c r="H67" s="36">
        <f>+Dulieu!H43 + IFERROR(VLOOKUP(LEFT(Dulieu!$C$81,12)&amp;"32",Dulieu!$C$88:$N$400,6,FALSE),0)+IFERROR(VLOOKUP(LEFT(Dulieu!$C$44,10)&amp;"0233",Dulieu!$C$88:$N$400,6,FALSE),0)</f>
        <v>701725.33999999985</v>
      </c>
      <c r="I67" s="36">
        <f>+Dulieu!I43 + IFERROR(VLOOKUP(LEFT(Dulieu!$C$81,12)&amp;"32",Dulieu!$C$88:$N$400,7,FALSE),0)+IFERROR(VLOOKUP(LEFT(Dulieu!$C$44,10)&amp;"0233",Dulieu!$C$88:$N$400,7,FALSE),0)</f>
        <v>556191.68000000005</v>
      </c>
      <c r="J67" s="36">
        <f>+Dulieu!J43 + IFERROR(VLOOKUP(LEFT(Dulieu!$C$81,12)&amp;"32",Dulieu!$C$88:$N$400,8,FALSE),0)+IFERROR(VLOOKUP(LEFT(Dulieu!$C$44,10)&amp;"0233",Dulieu!$C$88:$N$400,8,FALSE),0)</f>
        <v>595276.23</v>
      </c>
      <c r="K67" s="36">
        <f>+Dulieu!K43 + IFERROR(VLOOKUP(LEFT(Dulieu!$C$81,12)&amp;"32",Dulieu!$C$88:$N$400,9,FALSE),0)+IFERROR(VLOOKUP(LEFT(Dulieu!$C$44,10)&amp;"0233",Dulieu!$C$88:$N$400,9,FALSE),0)</f>
        <v>671889.33000000007</v>
      </c>
      <c r="L67" s="36">
        <f>+Dulieu!L43 + IFERROR(VLOOKUP(LEFT(Dulieu!$C$81,12)&amp;"32",Dulieu!$C$88:$N$400,10,FALSE),0)+IFERROR(VLOOKUP(LEFT(Dulieu!$C$44,10)&amp;"0233",Dulieu!$C$88:$N$400,10,FALSE),0)</f>
        <v>549482.15</v>
      </c>
      <c r="M67" s="36">
        <f>+Dulieu!M43 + IFERROR(VLOOKUP(LEFT(Dulieu!$C$81,12)&amp;"32",Dulieu!$C$88:$N$400,11,FALSE),0)+IFERROR(VLOOKUP(LEFT(Dulieu!$C$44,10)&amp;"0233",Dulieu!$C$88:$N$400,11,FALSE),0)</f>
        <v>516076.19000000006</v>
      </c>
      <c r="N67" s="36">
        <f>+Dulieu!N43 + IFERROR(VLOOKUP(LEFT(Dulieu!$C$81,12)&amp;"32",Dulieu!$C$88:$N$400,12,FALSE),0)+IFERROR(VLOOKUP(LEFT(Dulieu!$C$44,10)&amp;"0233",Dulieu!$C$88:$N$400,12,FALSE),0)</f>
        <v>533443.29</v>
      </c>
      <c r="O67" s="36">
        <f>+Dulieu!O43 + IFERROR(VLOOKUP(LEFT(Dulieu!$C$81,12)&amp;"32",Dulieu!$C$88:$Y$400,13,FALSE),0)+IFERROR(VLOOKUP(LEFT(Dulieu!$C$44,10)&amp;"0233",Dulieu!$C$88:$Y$400,13,FALSE),0)</f>
        <v>294810.42</v>
      </c>
      <c r="P67" s="36">
        <f>+Dulieu!P43 + IFERROR(VLOOKUP(LEFT(Dulieu!$C$81,12)&amp;"32",Dulieu!$C$88:$Y$400,14,FALSE),0)+IFERROR(VLOOKUP(LEFT(Dulieu!$C$44,10)&amp;"0233",Dulieu!$C$88:$Y$400,14,FALSE),0)</f>
        <v>739211.43</v>
      </c>
      <c r="Q67" s="36">
        <f>+Dulieu!Q43 + IFERROR(VLOOKUP(LEFT(Dulieu!$C$81,12)&amp;"32",Dulieu!$C$88:$Y$400,15,FALSE),0)+IFERROR(VLOOKUP(LEFT(Dulieu!$C$44,10)&amp;"0233",Dulieu!$C$88:$Y$400,15,FALSE),0)</f>
        <v>321795.23000000004</v>
      </c>
      <c r="R67" s="36">
        <f>+Dulieu!R43 + IFERROR(VLOOKUP(LEFT(Dulieu!$C$81,12)&amp;"32",Dulieu!$C$88:$Y$400,16,FALSE),0)+IFERROR(VLOOKUP(LEFT(Dulieu!$C$44,10)&amp;"0233",Dulieu!$C$88:$Y$400,16,FALSE),0)</f>
        <v>317538.82</v>
      </c>
      <c r="S67" s="36">
        <f>+Dulieu!S43 + IFERROR(VLOOKUP(LEFT(Dulieu!$C$81,12)&amp;"32",Dulieu!$C$88:$Y$400,17,FALSE),0)+IFERROR(VLOOKUP(LEFT(Dulieu!$C$44,10)&amp;"0233",Dulieu!$C$88:$Y$400,17,FALSE),0)</f>
        <v>750059.92999999993</v>
      </c>
      <c r="T67" s="36">
        <f>+Dulieu!T43 + IFERROR(VLOOKUP(LEFT(Dulieu!$C$81,12)&amp;"32",Dulieu!$C$88:$Y$400,18,FALSE),0)+IFERROR(VLOOKUP(LEFT(Dulieu!$C$44,10)&amp;"0233",Dulieu!$C$88:$Y$400,18,FALSE),0)</f>
        <v>454764.30000000005</v>
      </c>
      <c r="U67" s="36">
        <f>+Dulieu!U43 + IFERROR(VLOOKUP(LEFT(Dulieu!$C$81,12)&amp;"32",Dulieu!$C$88:$Y$400,19,FALSE),0)+IFERROR(VLOOKUP(LEFT(Dulieu!$C$44,10)&amp;"0233",Dulieu!$C$88:$Y$400,19,FALSE),0)</f>
        <v>367654.34</v>
      </c>
      <c r="V67" s="36">
        <f>+Dulieu!V43 + IFERROR(VLOOKUP(LEFT(Dulieu!$C$81,12)&amp;"32",Dulieu!$C$88:$Y$400,20,FALSE),0)+IFERROR(VLOOKUP(LEFT(Dulieu!$C$44,10)&amp;"0233",Dulieu!$C$88:$Y$400,20,FALSE),0)</f>
        <v>556778.84000000008</v>
      </c>
      <c r="W67" s="36">
        <f>+Dulieu!W43 + IFERROR(VLOOKUP(LEFT(Dulieu!$C$81,12)&amp;"32",Dulieu!$C$88:$Y$400,21,FALSE),0)+IFERROR(VLOOKUP(LEFT(Dulieu!$C$44,10)&amp;"0233",Dulieu!$C$88:$Y$400,21,FALSE),0)</f>
        <v>638541.90999999992</v>
      </c>
      <c r="X67" s="36">
        <f>+Dulieu!X43 + IFERROR(VLOOKUP(LEFT(Dulieu!$C$81,12)&amp;"32",Dulieu!$C$88:$Y$400,22,FALSE),0)+IFERROR(VLOOKUP(LEFT(Dulieu!$C$44,10)&amp;"0233",Dulieu!$C$88:$Y$400,22,FALSE),0)</f>
        <v>597235</v>
      </c>
      <c r="Y67" s="36">
        <f>+Dulieu!Y43 + IFERROR(VLOOKUP(LEFT(Dulieu!$C$81,12)&amp;"32",Dulieu!$C$88:$Y$400,23,FALSE),0)+IFERROR(VLOOKUP(LEFT(Dulieu!$C$44,10)&amp;"0233",Dulieu!$C$88:$Y$400,23,FALSE),0)</f>
        <v>467288.54</v>
      </c>
    </row>
    <row r="68" spans="1:25" s="37" customFormat="1" ht="12" x14ac:dyDescent="0.25">
      <c r="A68" s="34">
        <v>1</v>
      </c>
      <c r="B68" s="35" t="s">
        <v>41</v>
      </c>
      <c r="C68" s="36">
        <f t="shared" si="25"/>
        <v>244755.34000000003</v>
      </c>
      <c r="D68" s="36">
        <f>+Dulieu!D44</f>
        <v>959.52</v>
      </c>
      <c r="E68" s="36">
        <f>+Dulieu!E44</f>
        <v>3726.4</v>
      </c>
      <c r="F68" s="36">
        <f>+Dulieu!F44</f>
        <v>6453.6</v>
      </c>
      <c r="G68" s="36">
        <f>+Dulieu!G44</f>
        <v>3969.39</v>
      </c>
      <c r="H68" s="36">
        <f>+Dulieu!H44</f>
        <v>8160.35</v>
      </c>
      <c r="I68" s="36">
        <f>+Dulieu!I44</f>
        <v>14732.78</v>
      </c>
      <c r="J68" s="36">
        <f>+Dulieu!J44</f>
        <v>2837.98</v>
      </c>
      <c r="K68" s="36">
        <f>+Dulieu!K44</f>
        <v>13514.99</v>
      </c>
      <c r="L68" s="36">
        <f>+Dulieu!L44</f>
        <v>8122.71</v>
      </c>
      <c r="M68" s="36">
        <f>+Dulieu!M44</f>
        <v>2101.2199999999998</v>
      </c>
      <c r="N68" s="36">
        <f>+Dulieu!N44</f>
        <v>6456.69</v>
      </c>
      <c r="O68" s="36">
        <f>+Dulieu!O44</f>
        <v>3762</v>
      </c>
      <c r="P68" s="36">
        <f>+Dulieu!P44</f>
        <v>17512.599999999999</v>
      </c>
      <c r="Q68" s="36">
        <f>+Dulieu!Q44</f>
        <v>260.81</v>
      </c>
      <c r="R68" s="36">
        <f>+Dulieu!R44</f>
        <v>2352</v>
      </c>
      <c r="S68" s="36">
        <f>+Dulieu!S44</f>
        <v>46239.61</v>
      </c>
      <c r="T68" s="36">
        <f>+Dulieu!T44</f>
        <v>2056</v>
      </c>
      <c r="U68" s="36">
        <f>+Dulieu!U44</f>
        <v>58</v>
      </c>
      <c r="V68" s="36">
        <f>+Dulieu!V44</f>
        <v>22452.35</v>
      </c>
      <c r="W68" s="36">
        <f>+Dulieu!W44</f>
        <v>33673.03</v>
      </c>
      <c r="X68" s="36">
        <f>+Dulieu!X44</f>
        <v>19586.78</v>
      </c>
      <c r="Y68" s="36">
        <f>+Dulieu!Y44</f>
        <v>25766.53</v>
      </c>
    </row>
    <row r="69" spans="1:25" s="41" customFormat="1" ht="12" x14ac:dyDescent="0.25">
      <c r="A69" s="38"/>
      <c r="B69" s="39" t="s">
        <v>91</v>
      </c>
      <c r="C69" s="40">
        <f t="shared" si="25"/>
        <v>-7879.860000000006</v>
      </c>
      <c r="D69" s="40">
        <f>+D68-VLOOKUP(Dulieu!$C$44&amp;"_PRE_M",Dulieu!$C$88:$N$400,2,FALSE)</f>
        <v>-67</v>
      </c>
      <c r="E69" s="40">
        <f>+E68-VLOOKUP(Dulieu!$C$44&amp;"_PRE_M",Dulieu!$C$88:$N$400,3,FALSE)</f>
        <v>-19</v>
      </c>
      <c r="F69" s="40">
        <f>+F68-VLOOKUP(Dulieu!$C$44&amp;"_PRE_M",Dulieu!$C$88:$N$400,4,FALSE)</f>
        <v>-420.5</v>
      </c>
      <c r="G69" s="40">
        <f>+G68-VLOOKUP(Dulieu!$C$44&amp;"_PRE_M",Dulieu!$C$88:$N$400,5,FALSE)</f>
        <v>-82</v>
      </c>
      <c r="H69" s="40">
        <f>+H68-VLOOKUP(Dulieu!$C$44&amp;"_PRE_M",Dulieu!$C$88:$N$400,6,FALSE)</f>
        <v>-89.5</v>
      </c>
      <c r="I69" s="40">
        <f>+I68-VLOOKUP(Dulieu!$C$44&amp;"_PRE_M",Dulieu!$C$88:$N$400,7,FALSE)</f>
        <v>169.90000000000146</v>
      </c>
      <c r="J69" s="40">
        <f>+J68-VLOOKUP(Dulieu!$C$44&amp;"_PRE_M",Dulieu!$C$88:$N$400,8,FALSE)</f>
        <v>-50</v>
      </c>
      <c r="K69" s="40">
        <f>+K68-VLOOKUP(Dulieu!$C$44&amp;"_PRE_M",Dulieu!$C$88:$N$400,9,FALSE)</f>
        <v>-212.89999999999964</v>
      </c>
      <c r="L69" s="40">
        <f>+L68-VLOOKUP(Dulieu!$C$44&amp;"_PRE_M",Dulieu!$C$88:$N$400,10,FALSE)</f>
        <v>-432.30000000000018</v>
      </c>
      <c r="M69" s="40">
        <f>+M68-VLOOKUP(Dulieu!$C$44&amp;"_PRE_M",Dulieu!$C$88:$N$400,11,FALSE)</f>
        <v>-53</v>
      </c>
      <c r="N69" s="40">
        <f>+N68-VLOOKUP(Dulieu!$C$44&amp;"_PRE_M",Dulieu!$C$88:$N$400,12,FALSE)</f>
        <v>-371.40000000000055</v>
      </c>
      <c r="O69" s="40">
        <f>+O68-VLOOKUP(Dulieu!$C$44&amp;"_PRE_M",Dulieu!$C$88:$Y$400,13,FALSE)</f>
        <v>-100</v>
      </c>
      <c r="P69" s="40">
        <f>+P68-VLOOKUP(Dulieu!$C$44&amp;"_PRE_M",Dulieu!$C$88:$Y$400,14,FALSE)</f>
        <v>-2044.8000000000029</v>
      </c>
      <c r="Q69" s="40">
        <f>+Q68-VLOOKUP(Dulieu!$C$44&amp;"_PRE_M",Dulieu!$C$88:$Y$400,15,FALSE)</f>
        <v>0</v>
      </c>
      <c r="R69" s="40">
        <f>+R68-VLOOKUP(Dulieu!$C$44&amp;"_PRE_M",Dulieu!$C$88:$Y$400,16,FALSE)</f>
        <v>-31</v>
      </c>
      <c r="S69" s="40">
        <f>+S68-VLOOKUP(Dulieu!$C$44&amp;"_PRE_M",Dulieu!$C$88:$Y$400,17,FALSE)</f>
        <v>-1021.5</v>
      </c>
      <c r="T69" s="40">
        <f>+T68-VLOOKUP(Dulieu!$C$44&amp;"_PRE_M",Dulieu!$C$88:$Y$400,18,FALSE)</f>
        <v>-40</v>
      </c>
      <c r="U69" s="40">
        <f>+U68-VLOOKUP(Dulieu!$C$44&amp;"_PRE_M",Dulieu!$C$88:$Y$400,19,FALSE)</f>
        <v>0</v>
      </c>
      <c r="V69" s="40">
        <f>+V68-VLOOKUP(Dulieu!$C$44&amp;"_PRE_M",Dulieu!$C$88:$Y$400,20,FALSE)</f>
        <v>-657.21000000000276</v>
      </c>
      <c r="W69" s="40">
        <f>+W68-VLOOKUP(Dulieu!$C$44&amp;"_PRE_M",Dulieu!$C$88:$Y$400,21,FALSE)</f>
        <v>-2028.6500000000015</v>
      </c>
      <c r="X69" s="40">
        <f>+X68-VLOOKUP(Dulieu!$C$44&amp;"_PRE_M",Dulieu!$C$88:$Y$400,22,FALSE)</f>
        <v>-166</v>
      </c>
      <c r="Y69" s="40">
        <f>+Y68-VLOOKUP(Dulieu!$C$44&amp;"_PRE_M",Dulieu!$C$88:$Y$400,23,FALSE)</f>
        <v>-163</v>
      </c>
    </row>
    <row r="70" spans="1:25" s="41" customFormat="1" ht="12" x14ac:dyDescent="0.25">
      <c r="A70" s="38"/>
      <c r="B70" s="39" t="s">
        <v>92</v>
      </c>
      <c r="C70" s="40">
        <f t="shared" si="25"/>
        <v>-15938.43</v>
      </c>
      <c r="D70" s="40">
        <f>+D68-VLOOKUP(Dulieu!$C$44&amp;"_PRE_Y",Dulieu!$C$88:$N$400,2,FALSE)</f>
        <v>-143</v>
      </c>
      <c r="E70" s="40">
        <f>+E68-VLOOKUP(Dulieu!$C$44&amp;"_PRE_Y",Dulieu!$C$88:$N$400,3,FALSE)</f>
        <v>-309.90000000000009</v>
      </c>
      <c r="F70" s="40">
        <f>+F68-VLOOKUP(Dulieu!$C$44&amp;"_PRE_Y",Dulieu!$C$88:$N$400,4,FALSE)</f>
        <v>-556.09999999999945</v>
      </c>
      <c r="G70" s="40">
        <f>+G68-VLOOKUP(Dulieu!$C$44&amp;"_PRE_Y",Dulieu!$C$88:$N$400,5,FALSE)</f>
        <v>-329.50000000000045</v>
      </c>
      <c r="H70" s="40">
        <f>+H68-VLOOKUP(Dulieu!$C$44&amp;"_PRE_Y",Dulieu!$C$88:$N$400,6,FALSE)</f>
        <v>-537.77000000000044</v>
      </c>
      <c r="I70" s="40">
        <f>+I68-VLOOKUP(Dulieu!$C$44&amp;"_PRE_Y",Dulieu!$C$88:$N$400,7,FALSE)</f>
        <v>-289.69999999999891</v>
      </c>
      <c r="J70" s="40">
        <f>+J68-VLOOKUP(Dulieu!$C$44&amp;"_PRE_Y",Dulieu!$C$88:$N$400,8,FALSE)</f>
        <v>54.590000000000146</v>
      </c>
      <c r="K70" s="40">
        <f>+K68-VLOOKUP(Dulieu!$C$44&amp;"_PRE_Y",Dulieu!$C$88:$N$400,9,FALSE)</f>
        <v>-608.39999999999964</v>
      </c>
      <c r="L70" s="40">
        <f>+L68-VLOOKUP(Dulieu!$C$44&amp;"_PRE_Y",Dulieu!$C$88:$N$400,10,FALSE)</f>
        <v>-822.69999999999982</v>
      </c>
      <c r="M70" s="40">
        <f>+M68-VLOOKUP(Dulieu!$C$44&amp;"_PRE_Y",Dulieu!$C$88:$N$400,11,FALSE)</f>
        <v>-161</v>
      </c>
      <c r="N70" s="40">
        <f>+N68-VLOOKUP(Dulieu!$C$44&amp;"_PRE_Y",Dulieu!$C$88:$N$400,12,FALSE)</f>
        <v>-732.60000000000036</v>
      </c>
      <c r="O70" s="40">
        <f>+O68-VLOOKUP(Dulieu!$C$44&amp;"_PRE_Y",Dulieu!$C$88:$Y$400,13,FALSE)</f>
        <v>-200</v>
      </c>
      <c r="P70" s="40">
        <f>+P68-VLOOKUP(Dulieu!$C$44&amp;"_PRE_Y",Dulieu!$C$88:$Y$400,14,FALSE)</f>
        <v>-2402.6000000000022</v>
      </c>
      <c r="Q70" s="40">
        <f>+Q68-VLOOKUP(Dulieu!$C$44&amp;"_PRE_Y",Dulieu!$C$88:$Y$400,15,FALSE)</f>
        <v>-10.5</v>
      </c>
      <c r="R70" s="40">
        <f>+R68-VLOOKUP(Dulieu!$C$44&amp;"_PRE_Y",Dulieu!$C$88:$Y$400,16,FALSE)</f>
        <v>-136</v>
      </c>
      <c r="S70" s="40">
        <f>+S68-VLOOKUP(Dulieu!$C$44&amp;"_PRE_Y",Dulieu!$C$88:$Y$400,17,FALSE)</f>
        <v>-2427.0199999999968</v>
      </c>
      <c r="T70" s="40">
        <f>+T68-VLOOKUP(Dulieu!$C$44&amp;"_PRE_Y",Dulieu!$C$88:$Y$400,18,FALSE)</f>
        <v>-142</v>
      </c>
      <c r="U70" s="40">
        <f>+U68-VLOOKUP(Dulieu!$C$44&amp;"_PRE_Y",Dulieu!$C$88:$Y$400,19,FALSE)</f>
        <v>-39</v>
      </c>
      <c r="V70" s="40">
        <f>+V68-VLOOKUP(Dulieu!$C$44&amp;"_PRE_Y",Dulieu!$C$88:$Y$400,20,FALSE)</f>
        <v>-2104.010000000002</v>
      </c>
      <c r="W70" s="40">
        <f>+W68-VLOOKUP(Dulieu!$C$44&amp;"_PRE_Y",Dulieu!$C$88:$Y$400,21,FALSE)</f>
        <v>-2847.7200000000012</v>
      </c>
      <c r="X70" s="40">
        <f>+X68-VLOOKUP(Dulieu!$C$44&amp;"_PRE_Y",Dulieu!$C$88:$Y$400,22,FALSE)</f>
        <v>-832.5</v>
      </c>
      <c r="Y70" s="40">
        <f>+Y68-VLOOKUP(Dulieu!$C$44&amp;"_PRE_Y",Dulieu!$C$88:$Y$400,23,FALSE)</f>
        <v>-361</v>
      </c>
    </row>
    <row r="71" spans="1:25" s="32" customFormat="1" ht="12" x14ac:dyDescent="0.25">
      <c r="A71" s="42"/>
      <c r="B71" s="43" t="s">
        <v>42</v>
      </c>
      <c r="C71" s="44">
        <f t="shared" si="25"/>
        <v>207302.38</v>
      </c>
      <c r="D71" s="44">
        <f>+Dulieu!D45</f>
        <v>136.02000000000001</v>
      </c>
      <c r="E71" s="44">
        <f>+Dulieu!E45</f>
        <v>2716.1</v>
      </c>
      <c r="F71" s="44">
        <f>+Dulieu!F45</f>
        <v>2197.5</v>
      </c>
      <c r="G71" s="44">
        <f>+Dulieu!G45</f>
        <v>1504.99</v>
      </c>
      <c r="H71" s="44">
        <f>+Dulieu!H45</f>
        <v>4516.05</v>
      </c>
      <c r="I71" s="44">
        <f>+Dulieu!I45</f>
        <v>11980.28</v>
      </c>
      <c r="J71" s="44">
        <f>+Dulieu!J45</f>
        <v>2129.98</v>
      </c>
      <c r="K71" s="44">
        <f>+Dulieu!K45</f>
        <v>6935.89</v>
      </c>
      <c r="L71" s="44">
        <f>+Dulieu!L45</f>
        <v>4369.55</v>
      </c>
      <c r="M71" s="44">
        <f>+Dulieu!M45</f>
        <v>1543.22</v>
      </c>
      <c r="N71" s="44">
        <f>+Dulieu!N45</f>
        <v>2589.38</v>
      </c>
      <c r="O71" s="44">
        <f>+Dulieu!O45</f>
        <v>3762</v>
      </c>
      <c r="P71" s="44">
        <f>+Dulieu!P45</f>
        <v>17343.599999999999</v>
      </c>
      <c r="Q71" s="44">
        <f>+Dulieu!Q45</f>
        <v>260.81</v>
      </c>
      <c r="R71" s="44">
        <f>+Dulieu!R45</f>
        <v>2352</v>
      </c>
      <c r="S71" s="44">
        <f>+Dulieu!S45</f>
        <v>46169.61</v>
      </c>
      <c r="T71" s="44">
        <f>+Dulieu!T45</f>
        <v>2056</v>
      </c>
      <c r="U71" s="44">
        <f>+Dulieu!U45</f>
        <v>58</v>
      </c>
      <c r="V71" s="44">
        <f>+Dulieu!V45</f>
        <v>20944.060000000001</v>
      </c>
      <c r="W71" s="44">
        <f>+Dulieu!W45</f>
        <v>31171.53</v>
      </c>
      <c r="X71" s="44">
        <f>+Dulieu!X45</f>
        <v>17936.28</v>
      </c>
      <c r="Y71" s="44">
        <f>+Dulieu!Y45</f>
        <v>24629.53</v>
      </c>
    </row>
    <row r="72" spans="1:25" s="32" customFormat="1" ht="12" x14ac:dyDescent="0.25">
      <c r="A72" s="42"/>
      <c r="B72" s="43" t="s">
        <v>43</v>
      </c>
      <c r="C72" s="44">
        <f t="shared" si="25"/>
        <v>37452.960000000006</v>
      </c>
      <c r="D72" s="44">
        <f>+Dulieu!D46</f>
        <v>823.5</v>
      </c>
      <c r="E72" s="44">
        <f>+Dulieu!E46</f>
        <v>1010.3</v>
      </c>
      <c r="F72" s="44">
        <f>+Dulieu!F46</f>
        <v>4256.1000000000004</v>
      </c>
      <c r="G72" s="44">
        <f>+Dulieu!G46</f>
        <v>2464.4</v>
      </c>
      <c r="H72" s="44">
        <f>+Dulieu!H46</f>
        <v>3644.3</v>
      </c>
      <c r="I72" s="44">
        <f>+Dulieu!I46</f>
        <v>2752.5</v>
      </c>
      <c r="J72" s="44">
        <f>+Dulieu!J46</f>
        <v>708</v>
      </c>
      <c r="K72" s="44">
        <f>+Dulieu!K46</f>
        <v>6579.1</v>
      </c>
      <c r="L72" s="44">
        <f>+Dulieu!L46</f>
        <v>3753.16</v>
      </c>
      <c r="M72" s="44">
        <f>+Dulieu!M46</f>
        <v>558</v>
      </c>
      <c r="N72" s="44">
        <f>+Dulieu!N46</f>
        <v>3867.31</v>
      </c>
      <c r="O72" s="44">
        <f>+Dulieu!O46</f>
        <v>0</v>
      </c>
      <c r="P72" s="44">
        <f>+Dulieu!P46</f>
        <v>169</v>
      </c>
      <c r="Q72" s="44">
        <f>+Dulieu!Q46</f>
        <v>0</v>
      </c>
      <c r="R72" s="44">
        <f>+Dulieu!R46</f>
        <v>0</v>
      </c>
      <c r="S72" s="44">
        <f>+Dulieu!S46</f>
        <v>70</v>
      </c>
      <c r="T72" s="44">
        <f>+Dulieu!T46</f>
        <v>0</v>
      </c>
      <c r="U72" s="44">
        <f>+Dulieu!U46</f>
        <v>0</v>
      </c>
      <c r="V72" s="44">
        <f>+Dulieu!V46</f>
        <v>1508.29</v>
      </c>
      <c r="W72" s="44">
        <f>+Dulieu!W46</f>
        <v>2501.5</v>
      </c>
      <c r="X72" s="44">
        <f>+Dulieu!X46</f>
        <v>1650.5</v>
      </c>
      <c r="Y72" s="44">
        <f>+Dulieu!Y46</f>
        <v>1137</v>
      </c>
    </row>
    <row r="73" spans="1:25" s="32" customFormat="1" ht="12" x14ac:dyDescent="0.25">
      <c r="A73" s="42"/>
      <c r="B73" s="43" t="s">
        <v>95</v>
      </c>
      <c r="C73" s="44">
        <f t="shared" si="25"/>
        <v>37452.946945999996</v>
      </c>
      <c r="D73" s="44">
        <f>+IFERROR(VLOOKUP(Dulieu!$C$46&amp;"T",Dulieu!$C$88:$N$400,2,FALSE),0)</f>
        <v>823.5</v>
      </c>
      <c r="E73" s="44">
        <f>+IFERROR(VLOOKUP(Dulieu!$C$46&amp;"T",Dulieu!$C$88:$N$400,3,FALSE),0)</f>
        <v>1010.3</v>
      </c>
      <c r="F73" s="44">
        <f>+IFERROR(VLOOKUP(Dulieu!$C$46&amp;"T",Dulieu!$C$88:$N$400,4,FALSE),0)</f>
        <v>4256.0953310000004</v>
      </c>
      <c r="G73" s="44">
        <f>+IFERROR(VLOOKUP(Dulieu!$C$46&amp;"T",Dulieu!$C$88:$N$400,5,FALSE),0)</f>
        <v>2464.4</v>
      </c>
      <c r="H73" s="44">
        <f>+IFERROR(VLOOKUP(Dulieu!$C$46&amp;"T",Dulieu!$C$88:$N$400,6,FALSE),0)</f>
        <v>3644.3036430000002</v>
      </c>
      <c r="I73" s="44">
        <f>+IFERROR(VLOOKUP(Dulieu!$C$46&amp;"T",Dulieu!$C$88:$N$400,7,FALSE),0)</f>
        <v>2752.5</v>
      </c>
      <c r="J73" s="44">
        <f>+IFERROR(VLOOKUP(Dulieu!$C$46&amp;"T",Dulieu!$C$88:$N$400,8,FALSE),0)</f>
        <v>708</v>
      </c>
      <c r="K73" s="44">
        <f>+IFERROR(VLOOKUP(Dulieu!$C$46&amp;"T",Dulieu!$C$88:$N$400,9,FALSE),0)</f>
        <v>6579.1</v>
      </c>
      <c r="L73" s="44">
        <f>+IFERROR(VLOOKUP(Dulieu!$C$46&amp;"T",Dulieu!$C$88:$N$400,10,FALSE),0)</f>
        <v>3753.1532050000001</v>
      </c>
      <c r="M73" s="44">
        <f>+IFERROR(VLOOKUP(Dulieu!$C$46&amp;"T",Dulieu!$C$88:$N$400,11,FALSE),0)</f>
        <v>558</v>
      </c>
      <c r="N73" s="44">
        <f>+IFERROR(VLOOKUP(Dulieu!$C$46&amp;"T",Dulieu!$C$88:$N$400,12,FALSE),0)</f>
        <v>3867.3049999999998</v>
      </c>
      <c r="O73" s="44">
        <f>+IFERROR(VLOOKUP(Dulieu!$C$46&amp;"T",Dulieu!$C$88:$Y$400,13,FALSE),0)</f>
        <v>0</v>
      </c>
      <c r="P73" s="44">
        <f>+IFERROR(VLOOKUP(Dulieu!$C$46&amp;"T",Dulieu!$C$88:$Y$400,14,FALSE),0)</f>
        <v>169</v>
      </c>
      <c r="Q73" s="44">
        <f>+IFERROR(VLOOKUP(Dulieu!$C$46&amp;"T",Dulieu!$C$88:$Y$400,15,FALSE),0)</f>
        <v>0</v>
      </c>
      <c r="R73" s="44">
        <f>+IFERROR(VLOOKUP(Dulieu!$C$46&amp;"T",Dulieu!$C$88:$Y$400,16,FALSE),0)</f>
        <v>0</v>
      </c>
      <c r="S73" s="44">
        <f>+IFERROR(VLOOKUP(Dulieu!$C$46&amp;"T",Dulieu!$C$88:$Y$400,17,FALSE),0)</f>
        <v>70</v>
      </c>
      <c r="T73" s="44">
        <f>+IFERROR(VLOOKUP(Dulieu!$C$46&amp;"T",Dulieu!$C$88:$Y$400,18,FALSE),0)</f>
        <v>0</v>
      </c>
      <c r="U73" s="44">
        <f>+IFERROR(VLOOKUP(Dulieu!$C$46&amp;"T",Dulieu!$C$88:$Y$400,19,FALSE),0)</f>
        <v>0</v>
      </c>
      <c r="V73" s="44">
        <f>+IFERROR(VLOOKUP(Dulieu!$C$46&amp;"T",Dulieu!$C$88:$Y$400,20,FALSE),0)</f>
        <v>1508.289767</v>
      </c>
      <c r="W73" s="44">
        <f>+IFERROR(VLOOKUP(Dulieu!$C$46&amp;"T",Dulieu!$C$88:$Y$400,21,FALSE),0)</f>
        <v>2501.5</v>
      </c>
      <c r="X73" s="44">
        <f>+IFERROR(VLOOKUP(Dulieu!$C$46&amp;"T",Dulieu!$C$88:$Y$400,22,FALSE),0)</f>
        <v>1650.5</v>
      </c>
      <c r="Y73" s="44">
        <f>+IFERROR(VLOOKUP(Dulieu!$C$46&amp;"T",Dulieu!$C$88:$Y$400,23,FALSE),0)</f>
        <v>1137</v>
      </c>
    </row>
    <row r="74" spans="1:25" s="32" customFormat="1" ht="12" x14ac:dyDescent="0.25">
      <c r="A74" s="42"/>
      <c r="B74" s="43" t="s">
        <v>96</v>
      </c>
      <c r="C74" s="44">
        <f t="shared" si="25"/>
        <v>1.3053999999783628E-2</v>
      </c>
      <c r="D74" s="44">
        <f>+D72-D73</f>
        <v>0</v>
      </c>
      <c r="E74" s="44">
        <f t="shared" ref="E74:N74" si="26">+E72-E73</f>
        <v>0</v>
      </c>
      <c r="F74" s="44">
        <f t="shared" si="26"/>
        <v>4.6689999999216525E-3</v>
      </c>
      <c r="G74" s="44">
        <f t="shared" si="26"/>
        <v>0</v>
      </c>
      <c r="H74" s="44">
        <f t="shared" si="26"/>
        <v>-3.643000000010943E-3</v>
      </c>
      <c r="I74" s="44">
        <f t="shared" si="26"/>
        <v>0</v>
      </c>
      <c r="J74" s="44">
        <f t="shared" si="26"/>
        <v>0</v>
      </c>
      <c r="K74" s="44">
        <f t="shared" si="26"/>
        <v>0</v>
      </c>
      <c r="L74" s="44">
        <f t="shared" si="26"/>
        <v>6.794999999783613E-3</v>
      </c>
      <c r="M74" s="44">
        <f t="shared" si="26"/>
        <v>0</v>
      </c>
      <c r="N74" s="44">
        <f t="shared" si="26"/>
        <v>5.0000000001091394E-3</v>
      </c>
      <c r="O74" s="44">
        <f t="shared" ref="O74:Y74" si="27">+O72-O73</f>
        <v>0</v>
      </c>
      <c r="P74" s="44">
        <f t="shared" si="27"/>
        <v>0</v>
      </c>
      <c r="Q74" s="44">
        <f t="shared" si="27"/>
        <v>0</v>
      </c>
      <c r="R74" s="44">
        <f t="shared" si="27"/>
        <v>0</v>
      </c>
      <c r="S74" s="44">
        <f t="shared" si="27"/>
        <v>0</v>
      </c>
      <c r="T74" s="44">
        <f t="shared" si="27"/>
        <v>0</v>
      </c>
      <c r="U74" s="44">
        <f t="shared" si="27"/>
        <v>0</v>
      </c>
      <c r="V74" s="44">
        <f t="shared" si="27"/>
        <v>2.3299999998016574E-4</v>
      </c>
      <c r="W74" s="44">
        <f t="shared" si="27"/>
        <v>0</v>
      </c>
      <c r="X74" s="44">
        <f t="shared" si="27"/>
        <v>0</v>
      </c>
      <c r="Y74" s="44">
        <f t="shared" si="27"/>
        <v>0</v>
      </c>
    </row>
    <row r="75" spans="1:25" s="37" customFormat="1" ht="12" x14ac:dyDescent="0.25">
      <c r="A75" s="34">
        <v>2</v>
      </c>
      <c r="B75" s="35" t="s">
        <v>44</v>
      </c>
      <c r="C75" s="36">
        <f t="shared" si="25"/>
        <v>572719.05000000005</v>
      </c>
      <c r="D75" s="36">
        <f>+Dulieu!D47</f>
        <v>1022.18</v>
      </c>
      <c r="E75" s="36">
        <f>+Dulieu!E47</f>
        <v>1680.69</v>
      </c>
      <c r="F75" s="36">
        <f>+Dulieu!F47</f>
        <v>11298</v>
      </c>
      <c r="G75" s="36">
        <f>+Dulieu!G47</f>
        <v>3488.3</v>
      </c>
      <c r="H75" s="36">
        <f>+Dulieu!H47</f>
        <v>35145.67</v>
      </c>
      <c r="I75" s="36">
        <f>+Dulieu!I47</f>
        <v>16664.88</v>
      </c>
      <c r="J75" s="36">
        <f>+Dulieu!J47</f>
        <v>42147.01</v>
      </c>
      <c r="K75" s="36">
        <f>+Dulieu!K47</f>
        <v>74833.440000000002</v>
      </c>
      <c r="L75" s="36">
        <f>+Dulieu!L47</f>
        <v>11480.6</v>
      </c>
      <c r="M75" s="36">
        <f>+Dulieu!M47</f>
        <v>20654.330000000002</v>
      </c>
      <c r="N75" s="36">
        <f>+Dulieu!N47</f>
        <v>5430.7</v>
      </c>
      <c r="O75" s="36">
        <f>+Dulieu!O47</f>
        <v>4476</v>
      </c>
      <c r="P75" s="36">
        <f>+Dulieu!P47</f>
        <v>49995.24</v>
      </c>
      <c r="Q75" s="36">
        <f>+Dulieu!Q47</f>
        <v>632.6</v>
      </c>
      <c r="R75" s="36">
        <f>+Dulieu!R47</f>
        <v>6984</v>
      </c>
      <c r="S75" s="36">
        <f>+Dulieu!S47</f>
        <v>34144</v>
      </c>
      <c r="T75" s="36">
        <f>+Dulieu!T47</f>
        <v>61126.69</v>
      </c>
      <c r="U75" s="36">
        <f>+Dulieu!U47</f>
        <v>606</v>
      </c>
      <c r="V75" s="36">
        <f>+Dulieu!V47</f>
        <v>22324.95</v>
      </c>
      <c r="W75" s="36">
        <f>+Dulieu!W47</f>
        <v>106052.09</v>
      </c>
      <c r="X75" s="36">
        <f>+Dulieu!X47</f>
        <v>51366.68</v>
      </c>
      <c r="Y75" s="36">
        <f>+Dulieu!Y47</f>
        <v>11165</v>
      </c>
    </row>
    <row r="76" spans="1:25" s="41" customFormat="1" ht="12" x14ac:dyDescent="0.25">
      <c r="A76" s="38"/>
      <c r="B76" s="39" t="s">
        <v>91</v>
      </c>
      <c r="C76" s="40">
        <f t="shared" si="25"/>
        <v>-8685.0799999999908</v>
      </c>
      <c r="D76" s="40">
        <f>+D75-VLOOKUP(Dulieu!$C$47&amp;"_PRE_M",Dulieu!$C$88:$N$400,2,FALSE)</f>
        <v>-22.000000000000114</v>
      </c>
      <c r="E76" s="40">
        <f>+E75-VLOOKUP(Dulieu!$C$47&amp;"_PRE_M",Dulieu!$C$88:$N$400,3,FALSE)</f>
        <v>-15.119999999999891</v>
      </c>
      <c r="F76" s="40">
        <f>+F75-VLOOKUP(Dulieu!$C$47&amp;"_PRE_M",Dulieu!$C$88:$N$400,4,FALSE)</f>
        <v>29.100000000000364</v>
      </c>
      <c r="G76" s="40">
        <f>+G75-VLOOKUP(Dulieu!$C$47&amp;"_PRE_M",Dulieu!$C$88:$N$400,5,FALSE)</f>
        <v>-221.96000000000004</v>
      </c>
      <c r="H76" s="40">
        <f>+H75-VLOOKUP(Dulieu!$C$47&amp;"_PRE_M",Dulieu!$C$88:$N$400,6,FALSE)</f>
        <v>-216.75</v>
      </c>
      <c r="I76" s="40">
        <f>+I75-VLOOKUP(Dulieu!$C$47&amp;"_PRE_M",Dulieu!$C$88:$N$400,7,FALSE)</f>
        <v>114</v>
      </c>
      <c r="J76" s="40">
        <f>+J75-VLOOKUP(Dulieu!$C$47&amp;"_PRE_M",Dulieu!$C$88:$N$400,8,FALSE)</f>
        <v>-353.19999999999709</v>
      </c>
      <c r="K76" s="40">
        <f>+K75-VLOOKUP(Dulieu!$C$47&amp;"_PRE_M",Dulieu!$C$88:$N$400,9,FALSE)</f>
        <v>-431.59999999999127</v>
      </c>
      <c r="L76" s="40">
        <f>+L75-VLOOKUP(Dulieu!$C$47&amp;"_PRE_M",Dulieu!$C$88:$N$400,10,FALSE)</f>
        <v>300.11000000000058</v>
      </c>
      <c r="M76" s="40">
        <f>+M75-VLOOKUP(Dulieu!$C$47&amp;"_PRE_M",Dulieu!$C$88:$N$400,11,FALSE)</f>
        <v>-157.59999999999854</v>
      </c>
      <c r="N76" s="40">
        <f>+N75-VLOOKUP(Dulieu!$C$47&amp;"_PRE_M",Dulieu!$C$88:$N$400,12,FALSE)</f>
        <v>-89.180000000000291</v>
      </c>
      <c r="O76" s="40">
        <f>+O75-VLOOKUP(Dulieu!$C$47&amp;"_PRE_M",Dulieu!$C$88:$Y$400,13,FALSE)</f>
        <v>-50</v>
      </c>
      <c r="P76" s="40">
        <f>+P75-VLOOKUP(Dulieu!$C$47&amp;"_PRE_M",Dulieu!$C$88:$Y$400,14,FALSE)</f>
        <v>-2034.9800000000032</v>
      </c>
      <c r="Q76" s="40">
        <f>+Q75-VLOOKUP(Dulieu!$C$47&amp;"_PRE_M",Dulieu!$C$88:$Y$400,15,FALSE)</f>
        <v>-0.5</v>
      </c>
      <c r="R76" s="40">
        <f>+R75-VLOOKUP(Dulieu!$C$47&amp;"_PRE_M",Dulieu!$C$88:$Y$400,16,FALSE)</f>
        <v>-47</v>
      </c>
      <c r="S76" s="40">
        <f>+S75-VLOOKUP(Dulieu!$C$47&amp;"_PRE_M",Dulieu!$C$88:$Y$400,17,FALSE)</f>
        <v>-325</v>
      </c>
      <c r="T76" s="40">
        <f>+T75-VLOOKUP(Dulieu!$C$47&amp;"_PRE_M",Dulieu!$C$88:$Y$400,18,FALSE)</f>
        <v>-995.5</v>
      </c>
      <c r="U76" s="40">
        <f>+U75-VLOOKUP(Dulieu!$C$47&amp;"_PRE_M",Dulieu!$C$88:$Y$400,19,FALSE)</f>
        <v>0</v>
      </c>
      <c r="V76" s="40">
        <f>+V75-VLOOKUP(Dulieu!$C$47&amp;"_PRE_M",Dulieu!$C$88:$Y$400,20,FALSE)</f>
        <v>-628.59999999999854</v>
      </c>
      <c r="W76" s="40">
        <f>+W75-VLOOKUP(Dulieu!$C$47&amp;"_PRE_M",Dulieu!$C$88:$Y$400,21,FALSE)</f>
        <v>-3021.3000000000029</v>
      </c>
      <c r="X76" s="40">
        <f>+X75-VLOOKUP(Dulieu!$C$47&amp;"_PRE_M",Dulieu!$C$88:$Y$400,22,FALSE)</f>
        <v>-390</v>
      </c>
      <c r="Y76" s="40">
        <f>+Y75-VLOOKUP(Dulieu!$C$47&amp;"_PRE_M",Dulieu!$C$88:$Y$400,23,FALSE)</f>
        <v>-128</v>
      </c>
    </row>
    <row r="77" spans="1:25" s="41" customFormat="1" ht="12" x14ac:dyDescent="0.25">
      <c r="A77" s="38"/>
      <c r="B77" s="39" t="s">
        <v>92</v>
      </c>
      <c r="C77" s="40">
        <f t="shared" si="25"/>
        <v>-17479.449999999983</v>
      </c>
      <c r="D77" s="40">
        <f>+D75-VLOOKUP(Dulieu!$C$47&amp;"_PRE_Y",Dulieu!$C$88:$N$400,2,FALSE)</f>
        <v>76</v>
      </c>
      <c r="E77" s="40">
        <f>+E75-VLOOKUP(Dulieu!$C$47&amp;"_PRE_Y",Dulieu!$C$88:$N$400,3,FALSE)</f>
        <v>-40.119999999999891</v>
      </c>
      <c r="F77" s="40">
        <f>+F75-VLOOKUP(Dulieu!$C$47&amp;"_PRE_Y",Dulieu!$C$88:$N$400,4,FALSE)</f>
        <v>724.60000000000036</v>
      </c>
      <c r="G77" s="40">
        <f>+G75-VLOOKUP(Dulieu!$C$47&amp;"_PRE_Y",Dulieu!$C$88:$N$400,5,FALSE)</f>
        <v>-542.96</v>
      </c>
      <c r="H77" s="40">
        <f>+H75-VLOOKUP(Dulieu!$C$47&amp;"_PRE_Y",Dulieu!$C$88:$N$400,6,FALSE)</f>
        <v>-1004.3499999999985</v>
      </c>
      <c r="I77" s="40">
        <f>+I75-VLOOKUP(Dulieu!$C$47&amp;"_PRE_Y",Dulieu!$C$88:$N$400,7,FALSE)</f>
        <v>611.90000000000146</v>
      </c>
      <c r="J77" s="40">
        <f>+J75-VLOOKUP(Dulieu!$C$47&amp;"_PRE_Y",Dulieu!$C$88:$N$400,8,FALSE)</f>
        <v>-317.11999999999534</v>
      </c>
      <c r="K77" s="40">
        <f>+K75-VLOOKUP(Dulieu!$C$47&amp;"_PRE_Y",Dulieu!$C$88:$N$400,9,FALSE)</f>
        <v>503.79000000000815</v>
      </c>
      <c r="L77" s="40">
        <f>+L75-VLOOKUP(Dulieu!$C$47&amp;"_PRE_Y",Dulieu!$C$88:$N$400,10,FALSE)</f>
        <v>283.30999999999949</v>
      </c>
      <c r="M77" s="40">
        <f>+M75-VLOOKUP(Dulieu!$C$47&amp;"_PRE_Y",Dulieu!$C$88:$N$400,11,FALSE)</f>
        <v>-695.53999999999724</v>
      </c>
      <c r="N77" s="40">
        <f>+N75-VLOOKUP(Dulieu!$C$47&amp;"_PRE_Y",Dulieu!$C$88:$N$400,12,FALSE)</f>
        <v>-235.98000000000047</v>
      </c>
      <c r="O77" s="40">
        <f>+O75-VLOOKUP(Dulieu!$C$47&amp;"_PRE_Y",Dulieu!$C$88:$Y$400,13,FALSE)</f>
        <v>-220</v>
      </c>
      <c r="P77" s="40">
        <f>+P75-VLOOKUP(Dulieu!$C$47&amp;"_PRE_Y",Dulieu!$C$88:$Y$400,14,FALSE)</f>
        <v>-3184.4800000000032</v>
      </c>
      <c r="Q77" s="40">
        <f>+Q75-VLOOKUP(Dulieu!$C$47&amp;"_PRE_Y",Dulieu!$C$88:$Y$400,15,FALSE)</f>
        <v>-18</v>
      </c>
      <c r="R77" s="40">
        <f>+R75-VLOOKUP(Dulieu!$C$47&amp;"_PRE_Y",Dulieu!$C$88:$Y$400,16,FALSE)</f>
        <v>-217</v>
      </c>
      <c r="S77" s="40">
        <f>+S75-VLOOKUP(Dulieu!$C$47&amp;"_PRE_Y",Dulieu!$C$88:$Y$400,17,FALSE)</f>
        <v>-1226</v>
      </c>
      <c r="T77" s="40">
        <f>+T75-VLOOKUP(Dulieu!$C$47&amp;"_PRE_Y",Dulieu!$C$88:$Y$400,18,FALSE)</f>
        <v>-2832.3699999999953</v>
      </c>
      <c r="U77" s="40">
        <f>+U75-VLOOKUP(Dulieu!$C$47&amp;"_PRE_Y",Dulieu!$C$88:$Y$400,19,FALSE)</f>
        <v>0</v>
      </c>
      <c r="V77" s="40">
        <f>+V75-VLOOKUP(Dulieu!$C$47&amp;"_PRE_Y",Dulieu!$C$88:$Y$400,20,FALSE)</f>
        <v>-2643.2000000000007</v>
      </c>
      <c r="W77" s="40">
        <f>+W75-VLOOKUP(Dulieu!$C$47&amp;"_PRE_Y",Dulieu!$C$88:$Y$400,21,FALSE)</f>
        <v>-5606.7799999999988</v>
      </c>
      <c r="X77" s="40">
        <f>+X75-VLOOKUP(Dulieu!$C$47&amp;"_PRE_Y",Dulieu!$C$88:$Y$400,22,FALSE)</f>
        <v>-665.15000000000146</v>
      </c>
      <c r="Y77" s="40">
        <f>+Y75-VLOOKUP(Dulieu!$C$47&amp;"_PRE_Y",Dulieu!$C$88:$Y$400,23,FALSE)</f>
        <v>-230</v>
      </c>
    </row>
    <row r="78" spans="1:25" s="32" customFormat="1" ht="12" x14ac:dyDescent="0.25">
      <c r="A78" s="42"/>
      <c r="B78" s="43" t="s">
        <v>42</v>
      </c>
      <c r="C78" s="44">
        <f t="shared" si="25"/>
        <v>458612.14000000007</v>
      </c>
      <c r="D78" s="44">
        <f>+Dulieu!D48</f>
        <v>349</v>
      </c>
      <c r="E78" s="44">
        <f>+Dulieu!E48</f>
        <v>1325.69</v>
      </c>
      <c r="F78" s="44">
        <f>+Dulieu!F48</f>
        <v>1389.7</v>
      </c>
      <c r="G78" s="44">
        <f>+Dulieu!G48</f>
        <v>1084.3</v>
      </c>
      <c r="H78" s="44">
        <f>+Dulieu!H48</f>
        <v>20512.28</v>
      </c>
      <c r="I78" s="44">
        <f>+Dulieu!I48</f>
        <v>10573.93</v>
      </c>
      <c r="J78" s="44">
        <f>+Dulieu!J48</f>
        <v>23503.919999999998</v>
      </c>
      <c r="K78" s="44">
        <f>+Dulieu!K48</f>
        <v>34546.94</v>
      </c>
      <c r="L78" s="44">
        <f>+Dulieu!L48</f>
        <v>4993.12</v>
      </c>
      <c r="M78" s="44">
        <f>+Dulieu!M48</f>
        <v>9631.01</v>
      </c>
      <c r="N78" s="44">
        <f>+Dulieu!N48</f>
        <v>2321.1</v>
      </c>
      <c r="O78" s="44">
        <f>+Dulieu!O48</f>
        <v>4476</v>
      </c>
      <c r="P78" s="44">
        <f>+Dulieu!P48</f>
        <v>49577.74</v>
      </c>
      <c r="Q78" s="44">
        <f>+Dulieu!Q48</f>
        <v>618</v>
      </c>
      <c r="R78" s="44">
        <f>+Dulieu!R48</f>
        <v>6984</v>
      </c>
      <c r="S78" s="44">
        <f>+Dulieu!S48</f>
        <v>34144</v>
      </c>
      <c r="T78" s="44">
        <f>+Dulieu!T48</f>
        <v>61126.69</v>
      </c>
      <c r="U78" s="44">
        <f>+Dulieu!U48</f>
        <v>606</v>
      </c>
      <c r="V78" s="44">
        <f>+Dulieu!V48</f>
        <v>22264.95</v>
      </c>
      <c r="W78" s="44">
        <f>+Dulieu!W48</f>
        <v>106052.09</v>
      </c>
      <c r="X78" s="44">
        <f>+Dulieu!X48</f>
        <v>51366.68</v>
      </c>
      <c r="Y78" s="44">
        <f>+Dulieu!Y48</f>
        <v>11165</v>
      </c>
    </row>
    <row r="79" spans="1:25" s="32" customFormat="1" ht="12" x14ac:dyDescent="0.25">
      <c r="A79" s="42"/>
      <c r="B79" s="43" t="s">
        <v>43</v>
      </c>
      <c r="C79" s="44">
        <f t="shared" si="25"/>
        <v>114106.92000000001</v>
      </c>
      <c r="D79" s="44">
        <f>+Dulieu!D49</f>
        <v>673.18</v>
      </c>
      <c r="E79" s="44">
        <f>+Dulieu!E49</f>
        <v>355</v>
      </c>
      <c r="F79" s="44">
        <f>+Dulieu!F49</f>
        <v>9908.2999999999993</v>
      </c>
      <c r="G79" s="44">
        <f>+Dulieu!G49</f>
        <v>2404</v>
      </c>
      <c r="H79" s="44">
        <f>+Dulieu!H49</f>
        <v>14633.39</v>
      </c>
      <c r="I79" s="44">
        <f>+Dulieu!I49</f>
        <v>6090.95</v>
      </c>
      <c r="J79" s="44">
        <f>+Dulieu!J49</f>
        <v>18643.09</v>
      </c>
      <c r="K79" s="44">
        <f>+Dulieu!K49</f>
        <v>40286.5</v>
      </c>
      <c r="L79" s="44">
        <f>+Dulieu!L49</f>
        <v>6487.49</v>
      </c>
      <c r="M79" s="44">
        <f>+Dulieu!M49</f>
        <v>11023.32</v>
      </c>
      <c r="N79" s="44">
        <f>+Dulieu!N49</f>
        <v>3109.6</v>
      </c>
      <c r="O79" s="44">
        <f>+Dulieu!O49</f>
        <v>0</v>
      </c>
      <c r="P79" s="44">
        <f>+Dulieu!P49</f>
        <v>417.5</v>
      </c>
      <c r="Q79" s="44">
        <f>+Dulieu!Q49</f>
        <v>14.6</v>
      </c>
      <c r="R79" s="44">
        <f>+Dulieu!R49</f>
        <v>0</v>
      </c>
      <c r="S79" s="44">
        <f>+Dulieu!S49</f>
        <v>0</v>
      </c>
      <c r="T79" s="44">
        <f>+Dulieu!T49</f>
        <v>0</v>
      </c>
      <c r="U79" s="44">
        <f>+Dulieu!U49</f>
        <v>0</v>
      </c>
      <c r="V79" s="44">
        <f>+Dulieu!V49</f>
        <v>60</v>
      </c>
      <c r="W79" s="44">
        <f>+Dulieu!W49</f>
        <v>0</v>
      </c>
      <c r="X79" s="44">
        <f>+Dulieu!X49</f>
        <v>0</v>
      </c>
      <c r="Y79" s="44">
        <f>+Dulieu!Y49</f>
        <v>0</v>
      </c>
    </row>
    <row r="80" spans="1:25" s="32" customFormat="1" ht="12" x14ac:dyDescent="0.25">
      <c r="A80" s="42"/>
      <c r="B80" s="43" t="s">
        <v>95</v>
      </c>
      <c r="C80" s="44">
        <f t="shared" si="25"/>
        <v>114106.91974900002</v>
      </c>
      <c r="D80" s="44">
        <f>+IFERROR(VLOOKUP(Dulieu!$C$49&amp;"T",Dulieu!$C$88:$N$400,2,FALSE),0)</f>
        <v>673.18401600000004</v>
      </c>
      <c r="E80" s="44">
        <f>+IFERROR(VLOOKUP(Dulieu!$C$49&amp;"T",Dulieu!$C$88:$N$400,3,FALSE),0)</f>
        <v>355</v>
      </c>
      <c r="F80" s="44">
        <f>+IFERROR(VLOOKUP(Dulieu!$C$49&amp;"T",Dulieu!$C$88:$N$400,4,FALSE),0)</f>
        <v>9908.2999999999993</v>
      </c>
      <c r="G80" s="44">
        <f>+IFERROR(VLOOKUP(Dulieu!$C$49&amp;"T",Dulieu!$C$88:$N$400,5,FALSE),0)</f>
        <v>2404</v>
      </c>
      <c r="H80" s="44">
        <f>+IFERROR(VLOOKUP(Dulieu!$C$49&amp;"T",Dulieu!$C$88:$N$400,6,FALSE),0)</f>
        <v>14633.390866</v>
      </c>
      <c r="I80" s="44">
        <f>+IFERROR(VLOOKUP(Dulieu!$C$49&amp;"T",Dulieu!$C$88:$N$400,7,FALSE),0)</f>
        <v>6090.95</v>
      </c>
      <c r="J80" s="44">
        <f>+IFERROR(VLOOKUP(Dulieu!$C$49&amp;"T",Dulieu!$C$88:$N$400,8,FALSE),0)</f>
        <v>18643.088248</v>
      </c>
      <c r="K80" s="44">
        <f>+IFERROR(VLOOKUP(Dulieu!$C$49&amp;"T",Dulieu!$C$88:$N$400,9,FALSE),0)</f>
        <v>40286.5</v>
      </c>
      <c r="L80" s="44">
        <f>+IFERROR(VLOOKUP(Dulieu!$C$49&amp;"T",Dulieu!$C$88:$N$400,10,FALSE),0)</f>
        <v>6487.4866190000002</v>
      </c>
      <c r="M80" s="44">
        <f>+IFERROR(VLOOKUP(Dulieu!$C$49&amp;"T",Dulieu!$C$88:$N$400,11,FALSE),0)</f>
        <v>11023.32</v>
      </c>
      <c r="N80" s="44">
        <f>+IFERROR(VLOOKUP(Dulieu!$C$49&amp;"T",Dulieu!$C$88:$N$400,12,FALSE),0)</f>
        <v>3109.6</v>
      </c>
      <c r="O80" s="44">
        <f>+IFERROR(VLOOKUP(Dulieu!$C$49&amp;"T",Dulieu!$C$88:$Y$400,13,FALSE),0)</f>
        <v>0</v>
      </c>
      <c r="P80" s="44">
        <f>+IFERROR(VLOOKUP(Dulieu!$C$49&amp;"T",Dulieu!$C$88:$Y$400,14,FALSE),0)</f>
        <v>417.5</v>
      </c>
      <c r="Q80" s="44">
        <f>+IFERROR(VLOOKUP(Dulieu!$C$49&amp;"T",Dulieu!$C$88:$Y$400,15,FALSE),0)</f>
        <v>14.6</v>
      </c>
      <c r="R80" s="44">
        <f>+IFERROR(VLOOKUP(Dulieu!$C$49&amp;"T",Dulieu!$C$88:$Y$400,16,FALSE),0)</f>
        <v>0</v>
      </c>
      <c r="S80" s="44">
        <f>+IFERROR(VLOOKUP(Dulieu!$C$49&amp;"T",Dulieu!$C$88:$Y$400,17,FALSE),0)</f>
        <v>0</v>
      </c>
      <c r="T80" s="44">
        <f>+IFERROR(VLOOKUP(Dulieu!$C$49&amp;"T",Dulieu!$C$88:$Y$400,18,FALSE),0)</f>
        <v>0</v>
      </c>
      <c r="U80" s="44">
        <f>+IFERROR(VLOOKUP(Dulieu!$C$49&amp;"T",Dulieu!$C$88:$Y$400,19,FALSE),0)</f>
        <v>0</v>
      </c>
      <c r="V80" s="44">
        <f>+IFERROR(VLOOKUP(Dulieu!$C$49&amp;"T",Dulieu!$C$88:$Y$400,20,FALSE),0)</f>
        <v>60</v>
      </c>
      <c r="W80" s="44">
        <f>+IFERROR(VLOOKUP(Dulieu!$C$49&amp;"T",Dulieu!$C$88:$Y$400,21,FALSE),0)</f>
        <v>0</v>
      </c>
      <c r="X80" s="44">
        <f>+IFERROR(VLOOKUP(Dulieu!$C$49&amp;"T",Dulieu!$C$88:$Y$400,22,FALSE),0)</f>
        <v>0</v>
      </c>
      <c r="Y80" s="44">
        <f>+IFERROR(VLOOKUP(Dulieu!$C$49&amp;"T",Dulieu!$C$88:$Y$400,23,FALSE),0)</f>
        <v>0</v>
      </c>
    </row>
    <row r="81" spans="1:25" s="32" customFormat="1" ht="12" x14ac:dyDescent="0.25">
      <c r="A81" s="42"/>
      <c r="B81" s="43" t="s">
        <v>96</v>
      </c>
      <c r="C81" s="44">
        <f t="shared" si="25"/>
        <v>2.5099999925259908E-4</v>
      </c>
      <c r="D81" s="44">
        <f>+D79-D80</f>
        <v>-4.0160000000923901E-3</v>
      </c>
      <c r="E81" s="44">
        <f t="shared" ref="E81:N81" si="28">+E79-E80</f>
        <v>0</v>
      </c>
      <c r="F81" s="44">
        <f t="shared" si="28"/>
        <v>0</v>
      </c>
      <c r="G81" s="44">
        <f t="shared" si="28"/>
        <v>0</v>
      </c>
      <c r="H81" s="44">
        <f t="shared" si="28"/>
        <v>-8.6600000031467061E-4</v>
      </c>
      <c r="I81" s="44">
        <f t="shared" si="28"/>
        <v>0</v>
      </c>
      <c r="J81" s="44">
        <f t="shared" si="28"/>
        <v>1.7520000001240987E-3</v>
      </c>
      <c r="K81" s="44">
        <f t="shared" si="28"/>
        <v>0</v>
      </c>
      <c r="L81" s="44">
        <f t="shared" si="28"/>
        <v>3.3809999995355611E-3</v>
      </c>
      <c r="M81" s="44">
        <f t="shared" si="28"/>
        <v>0</v>
      </c>
      <c r="N81" s="44">
        <f t="shared" si="28"/>
        <v>0</v>
      </c>
      <c r="O81" s="44">
        <f t="shared" ref="O81:Y81" si="29">+O79-O80</f>
        <v>0</v>
      </c>
      <c r="P81" s="44">
        <f t="shared" si="29"/>
        <v>0</v>
      </c>
      <c r="Q81" s="44">
        <f t="shared" si="29"/>
        <v>0</v>
      </c>
      <c r="R81" s="44">
        <f t="shared" si="29"/>
        <v>0</v>
      </c>
      <c r="S81" s="44">
        <f t="shared" si="29"/>
        <v>0</v>
      </c>
      <c r="T81" s="44">
        <f t="shared" si="29"/>
        <v>0</v>
      </c>
      <c r="U81" s="44">
        <f t="shared" si="29"/>
        <v>0</v>
      </c>
      <c r="V81" s="44">
        <f t="shared" si="29"/>
        <v>0</v>
      </c>
      <c r="W81" s="44">
        <f t="shared" si="29"/>
        <v>0</v>
      </c>
      <c r="X81" s="44">
        <f t="shared" si="29"/>
        <v>0</v>
      </c>
      <c r="Y81" s="44">
        <f t="shared" si="29"/>
        <v>0</v>
      </c>
    </row>
    <row r="82" spans="1:25" s="37" customFormat="1" ht="12" x14ac:dyDescent="0.25">
      <c r="A82" s="34">
        <v>3</v>
      </c>
      <c r="B82" s="35" t="s">
        <v>45</v>
      </c>
      <c r="C82" s="36">
        <f t="shared" si="25"/>
        <v>971824.5</v>
      </c>
      <c r="D82" s="36">
        <f>+Dulieu!D50</f>
        <v>281</v>
      </c>
      <c r="E82" s="36">
        <f>+Dulieu!E50</f>
        <v>722.1</v>
      </c>
      <c r="F82" s="36">
        <f>+Dulieu!F50</f>
        <v>5790.15</v>
      </c>
      <c r="G82" s="36">
        <f>+Dulieu!G50</f>
        <v>3480.1</v>
      </c>
      <c r="H82" s="36">
        <f>+Dulieu!H50</f>
        <v>41325.919999999998</v>
      </c>
      <c r="I82" s="36">
        <f>+Dulieu!I50</f>
        <v>15019.3</v>
      </c>
      <c r="J82" s="36">
        <f>+Dulieu!J50</f>
        <v>49948.24</v>
      </c>
      <c r="K82" s="36">
        <f>+Dulieu!K50</f>
        <v>31752.2</v>
      </c>
      <c r="L82" s="36">
        <f>+Dulieu!L50</f>
        <v>3610.3</v>
      </c>
      <c r="M82" s="36">
        <f>+Dulieu!M50</f>
        <v>13021.44</v>
      </c>
      <c r="N82" s="36">
        <f>+Dulieu!N50</f>
        <v>11464.84</v>
      </c>
      <c r="O82" s="36">
        <f>+Dulieu!O50</f>
        <v>6805.1</v>
      </c>
      <c r="P82" s="36">
        <f>+Dulieu!P50</f>
        <v>148514.85999999999</v>
      </c>
      <c r="Q82" s="36">
        <f>+Dulieu!Q50</f>
        <v>269.2</v>
      </c>
      <c r="R82" s="36">
        <f>+Dulieu!R50</f>
        <v>15391.18</v>
      </c>
      <c r="S82" s="36">
        <f>+Dulieu!S50</f>
        <v>92465.3</v>
      </c>
      <c r="T82" s="36">
        <f>+Dulieu!T50</f>
        <v>53884.800000000003</v>
      </c>
      <c r="U82" s="36">
        <f>+Dulieu!U50</f>
        <v>80014.05</v>
      </c>
      <c r="V82" s="36">
        <f>+Dulieu!V50</f>
        <v>144374.53</v>
      </c>
      <c r="W82" s="36">
        <f>+Dulieu!W50</f>
        <v>42976.3</v>
      </c>
      <c r="X82" s="36">
        <f>+Dulieu!X50</f>
        <v>150670.28</v>
      </c>
      <c r="Y82" s="36">
        <f>+Dulieu!Y50</f>
        <v>60043.31</v>
      </c>
    </row>
    <row r="83" spans="1:25" s="41" customFormat="1" ht="12" x14ac:dyDescent="0.25">
      <c r="A83" s="38"/>
      <c r="B83" s="39" t="s">
        <v>91</v>
      </c>
      <c r="C83" s="40">
        <f t="shared" si="25"/>
        <v>-15722.910000000029</v>
      </c>
      <c r="D83" s="40">
        <f>+D82-VLOOKUP(Dulieu!$C$50&amp;"_PRE_M",Dulieu!$C$88:$N$400,2,FALSE)</f>
        <v>0</v>
      </c>
      <c r="E83" s="40">
        <f>+E82-VLOOKUP(Dulieu!$C$50&amp;"_PRE_M",Dulieu!$C$88:$N$400,3,FALSE)</f>
        <v>0</v>
      </c>
      <c r="F83" s="40">
        <f>+F82-VLOOKUP(Dulieu!$C$50&amp;"_PRE_M",Dulieu!$C$88:$N$400,4,FALSE)</f>
        <v>63.5</v>
      </c>
      <c r="G83" s="40">
        <f>+G82-VLOOKUP(Dulieu!$C$50&amp;"_PRE_M",Dulieu!$C$88:$N$400,5,FALSE)</f>
        <v>-86</v>
      </c>
      <c r="H83" s="40">
        <f>+H82-VLOOKUP(Dulieu!$C$50&amp;"_PRE_M",Dulieu!$C$88:$N$400,6,FALSE)</f>
        <v>-493.5</v>
      </c>
      <c r="I83" s="40">
        <f>+I82-VLOOKUP(Dulieu!$C$50&amp;"_PRE_M",Dulieu!$C$88:$N$400,7,FALSE)</f>
        <v>-114.5</v>
      </c>
      <c r="J83" s="40">
        <f>+J82-VLOOKUP(Dulieu!$C$50&amp;"_PRE_M",Dulieu!$C$88:$N$400,8,FALSE)</f>
        <v>-1912.3000000000029</v>
      </c>
      <c r="K83" s="40">
        <f>+K82-VLOOKUP(Dulieu!$C$50&amp;"_PRE_M",Dulieu!$C$88:$N$400,9,FALSE)</f>
        <v>-292.61999999999898</v>
      </c>
      <c r="L83" s="40">
        <f>+L82-VLOOKUP(Dulieu!$C$50&amp;"_PRE_M",Dulieu!$C$88:$N$400,10,FALSE)</f>
        <v>421</v>
      </c>
      <c r="M83" s="40">
        <f>+M82-VLOOKUP(Dulieu!$C$50&amp;"_PRE_M",Dulieu!$C$88:$N$400,11,FALSE)</f>
        <v>-453.5</v>
      </c>
      <c r="N83" s="40">
        <f>+N82-VLOOKUP(Dulieu!$C$50&amp;"_PRE_M",Dulieu!$C$88:$N$400,12,FALSE)</f>
        <v>387</v>
      </c>
      <c r="O83" s="40">
        <f>+O82-VLOOKUP(Dulieu!$C$50&amp;"_PRE_M",Dulieu!$C$88:$Y$400,13,FALSE)</f>
        <v>-403</v>
      </c>
      <c r="P83" s="40">
        <f>+P82-VLOOKUP(Dulieu!$C$50&amp;"_PRE_M",Dulieu!$C$88:$Y$400,14,FALSE)</f>
        <v>2220.2599999999802</v>
      </c>
      <c r="Q83" s="40">
        <f>+Q82-VLOOKUP(Dulieu!$C$50&amp;"_PRE_M",Dulieu!$C$88:$Y$400,15,FALSE)</f>
        <v>-5.3000000000000114</v>
      </c>
      <c r="R83" s="40">
        <f>+R82-VLOOKUP(Dulieu!$C$50&amp;"_PRE_M",Dulieu!$C$88:$Y$400,16,FALSE)</f>
        <v>-485.92000000000007</v>
      </c>
      <c r="S83" s="40">
        <f>+S82-VLOOKUP(Dulieu!$C$50&amp;"_PRE_M",Dulieu!$C$88:$Y$400,17,FALSE)</f>
        <v>-1487.1999999999971</v>
      </c>
      <c r="T83" s="40">
        <f>+T82-VLOOKUP(Dulieu!$C$50&amp;"_PRE_M",Dulieu!$C$88:$Y$400,18,FALSE)</f>
        <v>-748</v>
      </c>
      <c r="U83" s="40">
        <f>+U82-VLOOKUP(Dulieu!$C$50&amp;"_PRE_M",Dulieu!$C$88:$Y$400,19,FALSE)</f>
        <v>-598.5</v>
      </c>
      <c r="V83" s="40">
        <f>+V82-VLOOKUP(Dulieu!$C$50&amp;"_PRE_M",Dulieu!$C$88:$Y$400,20,FALSE)</f>
        <v>-3154.7900000000081</v>
      </c>
      <c r="W83" s="40">
        <f>+W82-VLOOKUP(Dulieu!$C$50&amp;"_PRE_M",Dulieu!$C$88:$Y$400,21,FALSE)</f>
        <v>-1490.3999999999942</v>
      </c>
      <c r="X83" s="40">
        <f>+X82-VLOOKUP(Dulieu!$C$50&amp;"_PRE_M",Dulieu!$C$88:$Y$400,22,FALSE)</f>
        <v>-4502.6900000000023</v>
      </c>
      <c r="Y83" s="40">
        <f>+Y82-VLOOKUP(Dulieu!$C$50&amp;"_PRE_M",Dulieu!$C$88:$Y$400,23,FALSE)</f>
        <v>-2586.4500000000044</v>
      </c>
    </row>
    <row r="84" spans="1:25" s="41" customFormat="1" ht="12" x14ac:dyDescent="0.25">
      <c r="A84" s="38"/>
      <c r="B84" s="39" t="s">
        <v>92</v>
      </c>
      <c r="C84" s="40">
        <f t="shared" si="25"/>
        <v>-30334.830000000013</v>
      </c>
      <c r="D84" s="40">
        <f>+D82-VLOOKUP(Dulieu!$C$50&amp;"_PRE_Y",Dulieu!$C$88:$N$400,2,FALSE)</f>
        <v>50</v>
      </c>
      <c r="E84" s="40">
        <f>+E82-VLOOKUP(Dulieu!$C$50&amp;"_PRE_Y",Dulieu!$C$88:$N$400,3,FALSE)</f>
        <v>-13</v>
      </c>
      <c r="F84" s="40">
        <f>+F82-VLOOKUP(Dulieu!$C$50&amp;"_PRE_Y",Dulieu!$C$88:$N$400,4,FALSE)</f>
        <v>-16</v>
      </c>
      <c r="G84" s="40">
        <f>+G82-VLOOKUP(Dulieu!$C$50&amp;"_PRE_Y",Dulieu!$C$88:$N$400,5,FALSE)</f>
        <v>-196.40000000000009</v>
      </c>
      <c r="H84" s="40">
        <f>+H82-VLOOKUP(Dulieu!$C$50&amp;"_PRE_Y",Dulieu!$C$88:$N$400,6,FALSE)</f>
        <v>-1270.3000000000029</v>
      </c>
      <c r="I84" s="40">
        <f>+I82-VLOOKUP(Dulieu!$C$50&amp;"_PRE_Y",Dulieu!$C$88:$N$400,7,FALSE)</f>
        <v>-1024.6900000000005</v>
      </c>
      <c r="J84" s="40">
        <f>+J82-VLOOKUP(Dulieu!$C$50&amp;"_PRE_Y",Dulieu!$C$88:$N$400,8,FALSE)</f>
        <v>-2498.0999999999985</v>
      </c>
      <c r="K84" s="40">
        <f>+K82-VLOOKUP(Dulieu!$C$50&amp;"_PRE_Y",Dulieu!$C$88:$N$400,9,FALSE)</f>
        <v>-1502.1000000000022</v>
      </c>
      <c r="L84" s="40">
        <f>+L82-VLOOKUP(Dulieu!$C$50&amp;"_PRE_Y",Dulieu!$C$88:$N$400,10,FALSE)</f>
        <v>405</v>
      </c>
      <c r="M84" s="40">
        <f>+M82-VLOOKUP(Dulieu!$C$50&amp;"_PRE_Y",Dulieu!$C$88:$N$400,11,FALSE)</f>
        <v>-1190.8500000000004</v>
      </c>
      <c r="N84" s="40">
        <f>+N82-VLOOKUP(Dulieu!$C$50&amp;"_PRE_Y",Dulieu!$C$88:$N$400,12,FALSE)</f>
        <v>334.79999999999927</v>
      </c>
      <c r="O84" s="40">
        <f>+O82-VLOOKUP(Dulieu!$C$50&amp;"_PRE_Y",Dulieu!$C$88:$Y$400,13,FALSE)</f>
        <v>-810.5</v>
      </c>
      <c r="P84" s="40">
        <f>+P82-VLOOKUP(Dulieu!$C$50&amp;"_PRE_Y",Dulieu!$C$88:$Y$400,14,FALSE)</f>
        <v>2465.4199999999837</v>
      </c>
      <c r="Q84" s="40">
        <f>+Q82-VLOOKUP(Dulieu!$C$50&amp;"_PRE_Y",Dulieu!$C$88:$Y$400,15,FALSE)</f>
        <v>-18.300000000000011</v>
      </c>
      <c r="R84" s="40">
        <f>+R82-VLOOKUP(Dulieu!$C$50&amp;"_PRE_Y",Dulieu!$C$88:$Y$400,16,FALSE)</f>
        <v>-1118.9199999999983</v>
      </c>
      <c r="S84" s="40">
        <f>+S82-VLOOKUP(Dulieu!$C$50&amp;"_PRE_Y",Dulieu!$C$88:$Y$400,17,FALSE)</f>
        <v>-4321.1999999999971</v>
      </c>
      <c r="T84" s="40">
        <f>+T82-VLOOKUP(Dulieu!$C$50&amp;"_PRE_Y",Dulieu!$C$88:$Y$400,18,FALSE)</f>
        <v>-1577.7999999999956</v>
      </c>
      <c r="U84" s="40">
        <f>+U82-VLOOKUP(Dulieu!$C$50&amp;"_PRE_Y",Dulieu!$C$88:$Y$400,19,FALSE)</f>
        <v>-598.5</v>
      </c>
      <c r="V84" s="40">
        <f>+V82-VLOOKUP(Dulieu!$C$50&amp;"_PRE_Y",Dulieu!$C$88:$Y$400,20,FALSE)</f>
        <v>-5500.4899999999907</v>
      </c>
      <c r="W84" s="40">
        <f>+W82-VLOOKUP(Dulieu!$C$50&amp;"_PRE_Y",Dulieu!$C$88:$Y$400,21,FALSE)</f>
        <v>-2445.0799999999945</v>
      </c>
      <c r="X84" s="40">
        <f>+X82-VLOOKUP(Dulieu!$C$50&amp;"_PRE_Y",Dulieu!$C$88:$Y$400,22,FALSE)</f>
        <v>-5418.0100000000093</v>
      </c>
      <c r="Y84" s="40">
        <f>+Y82-VLOOKUP(Dulieu!$C$50&amp;"_PRE_Y",Dulieu!$C$88:$Y$400,23,FALSE)</f>
        <v>-4069.8100000000049</v>
      </c>
    </row>
    <row r="85" spans="1:25" s="32" customFormat="1" ht="12" x14ac:dyDescent="0.25">
      <c r="A85" s="42"/>
      <c r="B85" s="43" t="s">
        <v>42</v>
      </c>
      <c r="C85" s="44">
        <f t="shared" si="25"/>
        <v>881223.15000000014</v>
      </c>
      <c r="D85" s="44">
        <f>+Dulieu!D51</f>
        <v>100</v>
      </c>
      <c r="E85" s="44">
        <f>+Dulieu!E51</f>
        <v>302.10000000000002</v>
      </c>
      <c r="F85" s="44">
        <f>+Dulieu!F51</f>
        <v>4090.15</v>
      </c>
      <c r="G85" s="44">
        <f>+Dulieu!G51</f>
        <v>1107.2</v>
      </c>
      <c r="H85" s="44">
        <f>+Dulieu!H51</f>
        <v>23195.94</v>
      </c>
      <c r="I85" s="44">
        <f>+Dulieu!I51</f>
        <v>10506.67</v>
      </c>
      <c r="J85" s="44">
        <f>+Dulieu!J51</f>
        <v>17399.5</v>
      </c>
      <c r="K85" s="44">
        <f>+Dulieu!K51</f>
        <v>14119.4</v>
      </c>
      <c r="L85" s="44">
        <f>+Dulieu!L51</f>
        <v>2124.8000000000002</v>
      </c>
      <c r="M85" s="44">
        <f>+Dulieu!M51</f>
        <v>9404.44</v>
      </c>
      <c r="N85" s="44">
        <f>+Dulieu!N51</f>
        <v>9364.64</v>
      </c>
      <c r="O85" s="44">
        <f>+Dulieu!O51</f>
        <v>6805.1</v>
      </c>
      <c r="P85" s="44">
        <f>+Dulieu!P51</f>
        <v>144113.85999999999</v>
      </c>
      <c r="Q85" s="44">
        <f>+Dulieu!Q51</f>
        <v>244.1</v>
      </c>
      <c r="R85" s="44">
        <f>+Dulieu!R51</f>
        <v>15391.18</v>
      </c>
      <c r="S85" s="44">
        <f>+Dulieu!S51</f>
        <v>92465.3</v>
      </c>
      <c r="T85" s="44">
        <f>+Dulieu!T51</f>
        <v>53884.800000000003</v>
      </c>
      <c r="U85" s="44">
        <f>+Dulieu!U51</f>
        <v>79681.55</v>
      </c>
      <c r="V85" s="44">
        <f>+Dulieu!V51</f>
        <v>143932.53</v>
      </c>
      <c r="W85" s="44">
        <f>+Dulieu!W51</f>
        <v>42976.3</v>
      </c>
      <c r="X85" s="44">
        <f>+Dulieu!X51</f>
        <v>149970.28</v>
      </c>
      <c r="Y85" s="44">
        <f>+Dulieu!Y51</f>
        <v>60043.31</v>
      </c>
    </row>
    <row r="86" spans="1:25" s="32" customFormat="1" ht="12" x14ac:dyDescent="0.25">
      <c r="A86" s="42"/>
      <c r="B86" s="43" t="s">
        <v>43</v>
      </c>
      <c r="C86" s="44">
        <f t="shared" si="25"/>
        <v>90601.35</v>
      </c>
      <c r="D86" s="44">
        <f>+Dulieu!D52</f>
        <v>181</v>
      </c>
      <c r="E86" s="44">
        <f>+Dulieu!E52</f>
        <v>420</v>
      </c>
      <c r="F86" s="44">
        <f>+Dulieu!F52</f>
        <v>1700</v>
      </c>
      <c r="G86" s="44">
        <f>+Dulieu!G52</f>
        <v>2372.9</v>
      </c>
      <c r="H86" s="44">
        <f>+Dulieu!H52</f>
        <v>18129.98</v>
      </c>
      <c r="I86" s="44">
        <f>+Dulieu!I52</f>
        <v>4512.63</v>
      </c>
      <c r="J86" s="44">
        <f>+Dulieu!J52</f>
        <v>32548.74</v>
      </c>
      <c r="K86" s="44">
        <f>+Dulieu!K52</f>
        <v>17632.8</v>
      </c>
      <c r="L86" s="44">
        <f>+Dulieu!L52</f>
        <v>1485.5</v>
      </c>
      <c r="M86" s="44">
        <f>+Dulieu!M52</f>
        <v>3617</v>
      </c>
      <c r="N86" s="44">
        <f>+Dulieu!N52</f>
        <v>2100.1999999999998</v>
      </c>
      <c r="O86" s="44">
        <f>+Dulieu!O52</f>
        <v>0</v>
      </c>
      <c r="P86" s="44">
        <f>+Dulieu!P52</f>
        <v>4401</v>
      </c>
      <c r="Q86" s="44">
        <f>+Dulieu!Q52</f>
        <v>25.1</v>
      </c>
      <c r="R86" s="44">
        <f>+Dulieu!R52</f>
        <v>0</v>
      </c>
      <c r="S86" s="44">
        <f>+Dulieu!S52</f>
        <v>0</v>
      </c>
      <c r="T86" s="44">
        <f>+Dulieu!T52</f>
        <v>0</v>
      </c>
      <c r="U86" s="44">
        <f>+Dulieu!U52</f>
        <v>332.5</v>
      </c>
      <c r="V86" s="44">
        <f>+Dulieu!V52</f>
        <v>442</v>
      </c>
      <c r="W86" s="44">
        <f>+Dulieu!W52</f>
        <v>0</v>
      </c>
      <c r="X86" s="44">
        <f>+Dulieu!X52</f>
        <v>700</v>
      </c>
      <c r="Y86" s="44">
        <f>+Dulieu!Y52</f>
        <v>0</v>
      </c>
    </row>
    <row r="87" spans="1:25" s="32" customFormat="1" ht="12" x14ac:dyDescent="0.25">
      <c r="A87" s="42"/>
      <c r="B87" s="43" t="s">
        <v>95</v>
      </c>
      <c r="C87" s="44">
        <f t="shared" si="25"/>
        <v>90601.350084000005</v>
      </c>
      <c r="D87" s="44">
        <f>+IFERROR(VLOOKUP(Dulieu!$C$52&amp;"T",Dulieu!$C$88:$N$400,2,FALSE),0)</f>
        <v>181</v>
      </c>
      <c r="E87" s="44">
        <f>+IFERROR(VLOOKUP(Dulieu!$C$52&amp;"T",Dulieu!$C$88:$N$400,3,FALSE),0)</f>
        <v>420</v>
      </c>
      <c r="F87" s="44">
        <f>+IFERROR(VLOOKUP(Dulieu!$C$52&amp;"T",Dulieu!$C$88:$N$400,4,FALSE),0)</f>
        <v>1700</v>
      </c>
      <c r="G87" s="44">
        <f>+IFERROR(VLOOKUP(Dulieu!$C$52&amp;"T",Dulieu!$C$88:$N$400,5,FALSE),0)</f>
        <v>2372.9</v>
      </c>
      <c r="H87" s="44">
        <f>+IFERROR(VLOOKUP(Dulieu!$C$52&amp;"T",Dulieu!$C$88:$N$400,6,FALSE),0)</f>
        <v>18129.978384999999</v>
      </c>
      <c r="I87" s="44">
        <f>+IFERROR(VLOOKUP(Dulieu!$C$52&amp;"T",Dulieu!$C$88:$N$400,7,FALSE),0)</f>
        <v>4512.63</v>
      </c>
      <c r="J87" s="44">
        <f>+IFERROR(VLOOKUP(Dulieu!$C$52&amp;"T",Dulieu!$C$88:$N$400,8,FALSE),0)</f>
        <v>32548.741698999998</v>
      </c>
      <c r="K87" s="44">
        <f>+IFERROR(VLOOKUP(Dulieu!$C$52&amp;"T",Dulieu!$C$88:$N$400,9,FALSE),0)</f>
        <v>17632.8</v>
      </c>
      <c r="L87" s="44">
        <f>+IFERROR(VLOOKUP(Dulieu!$C$52&amp;"T",Dulieu!$C$88:$N$400,10,FALSE),0)</f>
        <v>1485.5</v>
      </c>
      <c r="M87" s="44">
        <f>+IFERROR(VLOOKUP(Dulieu!$C$52&amp;"T",Dulieu!$C$88:$N$400,11,FALSE),0)</f>
        <v>3617</v>
      </c>
      <c r="N87" s="44">
        <f>+IFERROR(VLOOKUP(Dulieu!$C$52&amp;"T",Dulieu!$C$88:$N$400,12,FALSE),0)</f>
        <v>2100.1999999999998</v>
      </c>
      <c r="O87" s="44">
        <f>+IFERROR(VLOOKUP(Dulieu!$C$52&amp;"T",Dulieu!$C$88:$Y$400,13,FALSE),0)</f>
        <v>0</v>
      </c>
      <c r="P87" s="44">
        <f>+IFERROR(VLOOKUP(Dulieu!$C$52&amp;"T",Dulieu!$C$88:$Y$400,14,FALSE),0)</f>
        <v>4401</v>
      </c>
      <c r="Q87" s="44">
        <f>+IFERROR(VLOOKUP(Dulieu!$C$52&amp;"T",Dulieu!$C$88:$Y$400,15,FALSE),0)</f>
        <v>25.1</v>
      </c>
      <c r="R87" s="44">
        <f>+IFERROR(VLOOKUP(Dulieu!$C$52&amp;"T",Dulieu!$C$88:$Y$400,16,FALSE),0)</f>
        <v>0</v>
      </c>
      <c r="S87" s="44">
        <f>+IFERROR(VLOOKUP(Dulieu!$C$52&amp;"T",Dulieu!$C$88:$Y$400,17,FALSE),0)</f>
        <v>0</v>
      </c>
      <c r="T87" s="44">
        <f>+IFERROR(VLOOKUP(Dulieu!$C$52&amp;"T",Dulieu!$C$88:$Y$400,18,FALSE),0)</f>
        <v>0</v>
      </c>
      <c r="U87" s="44">
        <f>+IFERROR(VLOOKUP(Dulieu!$C$52&amp;"T",Dulieu!$C$88:$Y$400,19,FALSE),0)</f>
        <v>332.5</v>
      </c>
      <c r="V87" s="44">
        <f>+IFERROR(VLOOKUP(Dulieu!$C$52&amp;"T",Dulieu!$C$88:$Y$400,20,FALSE),0)</f>
        <v>442</v>
      </c>
      <c r="W87" s="44">
        <f>+IFERROR(VLOOKUP(Dulieu!$C$52&amp;"T",Dulieu!$C$88:$Y$400,21,FALSE),0)</f>
        <v>0</v>
      </c>
      <c r="X87" s="44">
        <f>+IFERROR(VLOOKUP(Dulieu!$C$52&amp;"T",Dulieu!$C$88:$Y$400,22,FALSE),0)</f>
        <v>700</v>
      </c>
      <c r="Y87" s="44">
        <f>+IFERROR(VLOOKUP(Dulieu!$C$52&amp;"T",Dulieu!$C$88:$Y$400,23,FALSE),0)</f>
        <v>0</v>
      </c>
    </row>
    <row r="88" spans="1:25" s="32" customFormat="1" ht="12" x14ac:dyDescent="0.25">
      <c r="A88" s="42"/>
      <c r="B88" s="43" t="s">
        <v>96</v>
      </c>
      <c r="C88" s="44">
        <f t="shared" si="25"/>
        <v>-8.3999995695194229E-5</v>
      </c>
      <c r="D88" s="44">
        <f>+D86-D87</f>
        <v>0</v>
      </c>
      <c r="E88" s="44">
        <f t="shared" ref="E88:N88" si="30">+E86-E87</f>
        <v>0</v>
      </c>
      <c r="F88" s="44">
        <f t="shared" si="30"/>
        <v>0</v>
      </c>
      <c r="G88" s="44">
        <f t="shared" si="30"/>
        <v>0</v>
      </c>
      <c r="H88" s="44">
        <f t="shared" si="30"/>
        <v>1.6150000010384247E-3</v>
      </c>
      <c r="I88" s="44">
        <f t="shared" si="30"/>
        <v>0</v>
      </c>
      <c r="J88" s="44">
        <f t="shared" si="30"/>
        <v>-1.6989999967336189E-3</v>
      </c>
      <c r="K88" s="44">
        <f t="shared" si="30"/>
        <v>0</v>
      </c>
      <c r="L88" s="44">
        <f t="shared" si="30"/>
        <v>0</v>
      </c>
      <c r="M88" s="44">
        <f t="shared" si="30"/>
        <v>0</v>
      </c>
      <c r="N88" s="44">
        <f t="shared" si="30"/>
        <v>0</v>
      </c>
      <c r="O88" s="44">
        <f t="shared" ref="O88:Y88" si="31">+O86-O87</f>
        <v>0</v>
      </c>
      <c r="P88" s="44">
        <f t="shared" si="31"/>
        <v>0</v>
      </c>
      <c r="Q88" s="44">
        <f t="shared" si="31"/>
        <v>0</v>
      </c>
      <c r="R88" s="44">
        <f t="shared" si="31"/>
        <v>0</v>
      </c>
      <c r="S88" s="44">
        <f t="shared" si="31"/>
        <v>0</v>
      </c>
      <c r="T88" s="44">
        <f t="shared" si="31"/>
        <v>0</v>
      </c>
      <c r="U88" s="44">
        <f t="shared" si="31"/>
        <v>0</v>
      </c>
      <c r="V88" s="44">
        <f t="shared" si="31"/>
        <v>0</v>
      </c>
      <c r="W88" s="44">
        <f t="shared" si="31"/>
        <v>0</v>
      </c>
      <c r="X88" s="44">
        <f t="shared" si="31"/>
        <v>0</v>
      </c>
      <c r="Y88" s="44">
        <f t="shared" si="31"/>
        <v>0</v>
      </c>
    </row>
    <row r="89" spans="1:25" s="37" customFormat="1" ht="12" x14ac:dyDescent="0.25">
      <c r="A89" s="34">
        <v>4</v>
      </c>
      <c r="B89" s="35" t="s">
        <v>46</v>
      </c>
      <c r="C89" s="36">
        <f t="shared" si="25"/>
        <v>1751192.9</v>
      </c>
      <c r="D89" s="36">
        <f>+Dulieu!D53</f>
        <v>81881.259999999995</v>
      </c>
      <c r="E89" s="36">
        <f>+Dulieu!E53</f>
        <v>73452.42</v>
      </c>
      <c r="F89" s="36">
        <f>+Dulieu!F53</f>
        <v>53562.25</v>
      </c>
      <c r="G89" s="36">
        <f>+Dulieu!G53</f>
        <v>103367.86</v>
      </c>
      <c r="H89" s="36">
        <f>+Dulieu!H53</f>
        <v>99618.11</v>
      </c>
      <c r="I89" s="36">
        <f>+Dulieu!I53</f>
        <v>99971.9</v>
      </c>
      <c r="J89" s="36">
        <f>+Dulieu!J53</f>
        <v>73230.429999999993</v>
      </c>
      <c r="K89" s="36">
        <f>+Dulieu!K53</f>
        <v>112259.65</v>
      </c>
      <c r="L89" s="36">
        <f>+Dulieu!L53</f>
        <v>59410.02</v>
      </c>
      <c r="M89" s="36">
        <f>+Dulieu!M53</f>
        <v>59410.62</v>
      </c>
      <c r="N89" s="36">
        <f>+Dulieu!N53</f>
        <v>54154.5</v>
      </c>
      <c r="O89" s="36">
        <f>+Dulieu!O53</f>
        <v>53438.8</v>
      </c>
      <c r="P89" s="36">
        <f>+Dulieu!P53</f>
        <v>107160.9</v>
      </c>
      <c r="Q89" s="36">
        <f>+Dulieu!Q53</f>
        <v>67455.490000000005</v>
      </c>
      <c r="R89" s="36">
        <f>+Dulieu!R53</f>
        <v>76895.240000000005</v>
      </c>
      <c r="S89" s="36">
        <f>+Dulieu!S53</f>
        <v>152528.85</v>
      </c>
      <c r="T89" s="36">
        <f>+Dulieu!T53</f>
        <v>57879.14</v>
      </c>
      <c r="U89" s="36">
        <f>+Dulieu!U53</f>
        <v>59894.9</v>
      </c>
      <c r="V89" s="36">
        <f>+Dulieu!V53</f>
        <v>50297.25</v>
      </c>
      <c r="W89" s="36">
        <f>+Dulieu!W53</f>
        <v>75832.399999999994</v>
      </c>
      <c r="X89" s="36">
        <f>+Dulieu!X53</f>
        <v>92327.21</v>
      </c>
      <c r="Y89" s="36">
        <f>+Dulieu!Y53</f>
        <v>87163.7</v>
      </c>
    </row>
    <row r="90" spans="1:25" s="41" customFormat="1" ht="12" x14ac:dyDescent="0.25">
      <c r="A90" s="38"/>
      <c r="B90" s="39" t="s">
        <v>91</v>
      </c>
      <c r="C90" s="40">
        <f t="shared" si="25"/>
        <v>-14247.890000000014</v>
      </c>
      <c r="D90" s="40">
        <f>+D89-VLOOKUP(Dulieu!$C$53&amp;"_PRE_M",Dulieu!$C$88:$N$400,2,FALSE)</f>
        <v>-579.1200000000099</v>
      </c>
      <c r="E90" s="40">
        <f>+E89-VLOOKUP(Dulieu!$C$53&amp;"_PRE_M",Dulieu!$C$88:$N$400,3,FALSE)</f>
        <v>-344.36000000000058</v>
      </c>
      <c r="F90" s="40">
        <f>+F89-VLOOKUP(Dulieu!$C$53&amp;"_PRE_M",Dulieu!$C$88:$N$400,4,FALSE)</f>
        <v>-358.69999999999709</v>
      </c>
      <c r="G90" s="40">
        <f>+G89-VLOOKUP(Dulieu!$C$53&amp;"_PRE_M",Dulieu!$C$88:$N$400,5,FALSE)</f>
        <v>-965.10000000000582</v>
      </c>
      <c r="H90" s="40">
        <f>+H89-VLOOKUP(Dulieu!$C$53&amp;"_PRE_M",Dulieu!$C$88:$N$400,6,FALSE)</f>
        <v>-1132.3999999999942</v>
      </c>
      <c r="I90" s="40">
        <f>+I89-VLOOKUP(Dulieu!$C$53&amp;"_PRE_M",Dulieu!$C$88:$N$400,7,FALSE)</f>
        <v>-895.04000000000815</v>
      </c>
      <c r="J90" s="40">
        <f>+J89-VLOOKUP(Dulieu!$C$53&amp;"_PRE_M",Dulieu!$C$88:$N$400,8,FALSE)</f>
        <v>-632.65000000000873</v>
      </c>
      <c r="K90" s="40">
        <f>+K89-VLOOKUP(Dulieu!$C$53&amp;"_PRE_M",Dulieu!$C$88:$N$400,9,FALSE)</f>
        <v>-836.58000000000175</v>
      </c>
      <c r="L90" s="40">
        <f>+L89-VLOOKUP(Dulieu!$C$53&amp;"_PRE_M",Dulieu!$C$88:$N$400,10,FALSE)</f>
        <v>-725.83000000000175</v>
      </c>
      <c r="M90" s="40">
        <f>+M89-VLOOKUP(Dulieu!$C$53&amp;"_PRE_M",Dulieu!$C$88:$N$400,11,FALSE)</f>
        <v>-549.61999999999534</v>
      </c>
      <c r="N90" s="40">
        <f>+N89-VLOOKUP(Dulieu!$C$53&amp;"_PRE_M",Dulieu!$C$88:$N$400,12,FALSE)</f>
        <v>66.099999999998545</v>
      </c>
      <c r="O90" s="40">
        <f>+O89-VLOOKUP(Dulieu!$C$53&amp;"_PRE_M",Dulieu!$C$88:$Y$400,13,FALSE)</f>
        <v>-342.5</v>
      </c>
      <c r="P90" s="40">
        <f>+P89-VLOOKUP(Dulieu!$C$53&amp;"_PRE_M",Dulieu!$C$88:$Y$400,14,FALSE)</f>
        <v>-725.5</v>
      </c>
      <c r="Q90" s="40">
        <f>+Q89-VLOOKUP(Dulieu!$C$53&amp;"_PRE_M",Dulieu!$C$88:$Y$400,15,FALSE)</f>
        <v>-709.34999999999127</v>
      </c>
      <c r="R90" s="40">
        <f>+R89-VLOOKUP(Dulieu!$C$53&amp;"_PRE_M",Dulieu!$C$88:$Y$400,16,FALSE)</f>
        <v>-724.83999999999651</v>
      </c>
      <c r="S90" s="40">
        <f>+S89-VLOOKUP(Dulieu!$C$53&amp;"_PRE_M",Dulieu!$C$88:$Y$400,17,FALSE)</f>
        <v>-1402</v>
      </c>
      <c r="T90" s="40">
        <f>+T89-VLOOKUP(Dulieu!$C$53&amp;"_PRE_M",Dulieu!$C$88:$Y$400,18,FALSE)</f>
        <v>-293</v>
      </c>
      <c r="U90" s="40">
        <f>+U89-VLOOKUP(Dulieu!$C$53&amp;"_PRE_M",Dulieu!$C$88:$Y$400,19,FALSE)</f>
        <v>-286</v>
      </c>
      <c r="V90" s="40">
        <f>+V89-VLOOKUP(Dulieu!$C$53&amp;"_PRE_M",Dulieu!$C$88:$Y$400,20,FALSE)</f>
        <v>-29.400000000001455</v>
      </c>
      <c r="W90" s="40">
        <f>+W89-VLOOKUP(Dulieu!$C$53&amp;"_PRE_M",Dulieu!$C$88:$Y$400,21,FALSE)</f>
        <v>-976.5</v>
      </c>
      <c r="X90" s="40">
        <f>+X89-VLOOKUP(Dulieu!$C$53&amp;"_PRE_M",Dulieu!$C$88:$Y$400,22,FALSE)</f>
        <v>-1187.5</v>
      </c>
      <c r="Y90" s="40">
        <f>+Y89-VLOOKUP(Dulieu!$C$53&amp;"_PRE_M",Dulieu!$C$88:$Y$400,23,FALSE)</f>
        <v>-618</v>
      </c>
    </row>
    <row r="91" spans="1:25" s="41" customFormat="1" ht="12" x14ac:dyDescent="0.25">
      <c r="A91" s="38"/>
      <c r="B91" s="39" t="s">
        <v>92</v>
      </c>
      <c r="C91" s="40">
        <f t="shared" si="25"/>
        <v>-17233.699999999997</v>
      </c>
      <c r="D91" s="40">
        <f>+D89-VLOOKUP(Dulieu!$C$53&amp;"_PRE_Y",Dulieu!$C$88:$N$400,2,FALSE)</f>
        <v>-1658.2600000000093</v>
      </c>
      <c r="E91" s="40">
        <f>+E89-VLOOKUP(Dulieu!$C$53&amp;"_PRE_Y",Dulieu!$C$88:$N$400,3,FALSE)</f>
        <v>-664.4600000000064</v>
      </c>
      <c r="F91" s="40">
        <f>+F89-VLOOKUP(Dulieu!$C$53&amp;"_PRE_Y",Dulieu!$C$88:$N$400,4,FALSE)</f>
        <v>-1175.5800000000017</v>
      </c>
      <c r="G91" s="40">
        <f>+G89-VLOOKUP(Dulieu!$C$53&amp;"_PRE_Y",Dulieu!$C$88:$N$400,5,FALSE)</f>
        <v>-1058.679999999993</v>
      </c>
      <c r="H91" s="40">
        <f>+H89-VLOOKUP(Dulieu!$C$53&amp;"_PRE_Y",Dulieu!$C$88:$N$400,6,FALSE)</f>
        <v>9992.9700000000012</v>
      </c>
      <c r="I91" s="40">
        <f>+I89-VLOOKUP(Dulieu!$C$53&amp;"_PRE_Y",Dulieu!$C$88:$N$400,7,FALSE)</f>
        <v>-1347.7400000000052</v>
      </c>
      <c r="J91" s="40">
        <f>+J89-VLOOKUP(Dulieu!$C$53&amp;"_PRE_Y",Dulieu!$C$88:$N$400,8,FALSE)</f>
        <v>-1161.75</v>
      </c>
      <c r="K91" s="40">
        <f>+K89-VLOOKUP(Dulieu!$C$53&amp;"_PRE_Y",Dulieu!$C$88:$N$400,9,FALSE)</f>
        <v>-2532.2200000000012</v>
      </c>
      <c r="L91" s="40">
        <f>+L89-VLOOKUP(Dulieu!$C$53&amp;"_PRE_Y",Dulieu!$C$88:$N$400,10,FALSE)</f>
        <v>-234.59000000000378</v>
      </c>
      <c r="M91" s="40">
        <f>+M89-VLOOKUP(Dulieu!$C$53&amp;"_PRE_Y",Dulieu!$C$88:$N$400,11,FALSE)</f>
        <v>-1561.8899999999994</v>
      </c>
      <c r="N91" s="40">
        <f>+N89-VLOOKUP(Dulieu!$C$53&amp;"_PRE_Y",Dulieu!$C$88:$N$400,12,FALSE)</f>
        <v>191.58000000000175</v>
      </c>
      <c r="O91" s="40">
        <f>+O89-VLOOKUP(Dulieu!$C$53&amp;"_PRE_Y",Dulieu!$C$88:$Y$400,13,FALSE)</f>
        <v>186</v>
      </c>
      <c r="P91" s="40">
        <f>+P89-VLOOKUP(Dulieu!$C$53&amp;"_PRE_Y",Dulieu!$C$88:$Y$400,14,FALSE)</f>
        <v>-3289.9100000000035</v>
      </c>
      <c r="Q91" s="40">
        <f>+Q89-VLOOKUP(Dulieu!$C$53&amp;"_PRE_Y",Dulieu!$C$88:$Y$400,15,FALSE)</f>
        <v>-1376.9399999999878</v>
      </c>
      <c r="R91" s="40">
        <f>+R89-VLOOKUP(Dulieu!$C$53&amp;"_PRE_Y",Dulieu!$C$88:$Y$400,16,FALSE)</f>
        <v>-805.83999999999651</v>
      </c>
      <c r="S91" s="40">
        <f>+S89-VLOOKUP(Dulieu!$C$53&amp;"_PRE_Y",Dulieu!$C$88:$Y$400,17,FALSE)</f>
        <v>-2328.7999999999884</v>
      </c>
      <c r="T91" s="40">
        <f>+T89-VLOOKUP(Dulieu!$C$53&amp;"_PRE_Y",Dulieu!$C$88:$Y$400,18,FALSE)</f>
        <v>-1158.5</v>
      </c>
      <c r="U91" s="40">
        <f>+U89-VLOOKUP(Dulieu!$C$53&amp;"_PRE_Y",Dulieu!$C$88:$Y$400,19,FALSE)</f>
        <v>502.40000000000146</v>
      </c>
      <c r="V91" s="40">
        <f>+V89-VLOOKUP(Dulieu!$C$53&amp;"_PRE_Y",Dulieu!$C$88:$Y$400,20,FALSE)</f>
        <v>-1906.25</v>
      </c>
      <c r="W91" s="40">
        <f>+W89-VLOOKUP(Dulieu!$C$53&amp;"_PRE_Y",Dulieu!$C$88:$Y$400,21,FALSE)</f>
        <v>-2660.6000000000058</v>
      </c>
      <c r="X91" s="40">
        <f>+X89-VLOOKUP(Dulieu!$C$53&amp;"_PRE_Y",Dulieu!$C$88:$Y$400,22,FALSE)</f>
        <v>-3087</v>
      </c>
      <c r="Y91" s="40">
        <f>+Y89-VLOOKUP(Dulieu!$C$53&amp;"_PRE_Y",Dulieu!$C$88:$Y$400,23,FALSE)</f>
        <v>-97.639999999999418</v>
      </c>
    </row>
    <row r="92" spans="1:25" s="37" customFormat="1" ht="12" x14ac:dyDescent="0.25">
      <c r="A92" s="34">
        <v>5</v>
      </c>
      <c r="B92" s="35" t="s">
        <v>47</v>
      </c>
      <c r="C92" s="36">
        <f t="shared" si="25"/>
        <v>2928770.7600000007</v>
      </c>
      <c r="D92" s="36">
        <f>+Dulieu!D54</f>
        <v>14951.64</v>
      </c>
      <c r="E92" s="36">
        <f>+Dulieu!E54</f>
        <v>152662.32999999999</v>
      </c>
      <c r="F92" s="36">
        <f>+Dulieu!F54</f>
        <v>158335.62</v>
      </c>
      <c r="G92" s="36">
        <f>+Dulieu!G54</f>
        <v>70077.86</v>
      </c>
      <c r="H92" s="36">
        <f>+Dulieu!H54</f>
        <v>211367.78</v>
      </c>
      <c r="I92" s="36">
        <f>+Dulieu!I54</f>
        <v>168702.52</v>
      </c>
      <c r="J92" s="36">
        <f>+Dulieu!J54</f>
        <v>135080.74</v>
      </c>
      <c r="K92" s="36">
        <f>+Dulieu!K54</f>
        <v>174947.6</v>
      </c>
      <c r="L92" s="36">
        <f>+Dulieu!L54</f>
        <v>157926.63</v>
      </c>
      <c r="M92" s="36">
        <f>+Dulieu!M54</f>
        <v>160485.81</v>
      </c>
      <c r="N92" s="36">
        <f>+Dulieu!N54</f>
        <v>148211.35</v>
      </c>
      <c r="O92" s="36">
        <f>+Dulieu!O54</f>
        <v>52412.6</v>
      </c>
      <c r="P92" s="36">
        <f>+Dulieu!P54</f>
        <v>199887.92</v>
      </c>
      <c r="Q92" s="36">
        <f>+Dulieu!Q54</f>
        <v>38095.870000000003</v>
      </c>
      <c r="R92" s="36">
        <f>+Dulieu!R54</f>
        <v>39861.07</v>
      </c>
      <c r="S92" s="36">
        <f>+Dulieu!S54</f>
        <v>227417.9</v>
      </c>
      <c r="T92" s="36">
        <f>+Dulieu!T54</f>
        <v>154553.63</v>
      </c>
      <c r="U92" s="36">
        <f>+Dulieu!U54</f>
        <v>68235.399999999994</v>
      </c>
      <c r="V92" s="36">
        <f>+Dulieu!V54</f>
        <v>149666.59</v>
      </c>
      <c r="W92" s="36">
        <f>+Dulieu!W54</f>
        <v>145732.14000000001</v>
      </c>
      <c r="X92" s="36">
        <f>+Dulieu!X54</f>
        <v>127098.16</v>
      </c>
      <c r="Y92" s="36">
        <f>+Dulieu!Y54</f>
        <v>173059.6</v>
      </c>
    </row>
    <row r="93" spans="1:25" s="41" customFormat="1" ht="12" x14ac:dyDescent="0.25">
      <c r="A93" s="38"/>
      <c r="B93" s="39" t="s">
        <v>91</v>
      </c>
      <c r="C93" s="40">
        <f t="shared" si="25"/>
        <v>47800.060000000034</v>
      </c>
      <c r="D93" s="40">
        <f>+D92-VLOOKUP(Dulieu!$C$54&amp;"_PRE_M",Dulieu!$C$88:$N$402,2,FALSE)-IFERROR(VLOOKUP(LEFT(Dulieu!$C$54,12)&amp;"37"&amp;"_PRE_M",Dulieu!$C$88:$N$402,2,FALSE),0)</f>
        <v>-582.19999999999982</v>
      </c>
      <c r="E93" s="40">
        <f>+E92-VLOOKUP(Dulieu!$C$54&amp;"_PRE_M",Dulieu!$C$88:$N$402,3,FALSE)-IFERROR(VLOOKUP(LEFT(Dulieu!$C$54,12)&amp;"37"&amp;"_PRE_M",Dulieu!$C$88:$N$402,3,FALSE),0)</f>
        <v>3577.0099999999948</v>
      </c>
      <c r="F93" s="40">
        <f>+F92-VLOOKUP(Dulieu!$C$54&amp;"_PRE_M",Dulieu!$C$88:$N$402,4,FALSE)-IFERROR(VLOOKUP(LEFT(Dulieu!$C$54,12)&amp;"37"&amp;"_PRE_M",Dulieu!$C$88:$N$402,4,FALSE),0)</f>
        <v>5494.5</v>
      </c>
      <c r="G93" s="40">
        <f>+G92-VLOOKUP(Dulieu!$C$54&amp;"_PRE_M",Dulieu!$C$88:$N$402,5,FALSE)-IFERROR(VLOOKUP(LEFT(Dulieu!$C$54,12)&amp;"37"&amp;"_PRE_M",Dulieu!$C$88:$N$402,5,FALSE),0)</f>
        <v>-1925.619999999999</v>
      </c>
      <c r="H93" s="40">
        <f>+H92-VLOOKUP(Dulieu!$C$54&amp;"_PRE_M",Dulieu!$C$88:$N$402,6,FALSE)-IFERROR(VLOOKUP(LEFT(Dulieu!$C$54,12)&amp;"37"&amp;"_PRE_M",Dulieu!$C$88:$N$402,6,FALSE),0)</f>
        <v>3930.9100000000035</v>
      </c>
      <c r="I93" s="40">
        <f>+I92-VLOOKUP(Dulieu!$C$54&amp;"_PRE_M",Dulieu!$C$88:$N$402,7,FALSE)-IFERROR(VLOOKUP(LEFT(Dulieu!$C$54,12)&amp;"37"&amp;"_PRE_M",Dulieu!$C$88:$N$402,7,FALSE),0)</f>
        <v>8767.3099999999977</v>
      </c>
      <c r="J93" s="40">
        <f>+J92-VLOOKUP(Dulieu!$C$54&amp;"_PRE_M",Dulieu!$C$88:$N$402,8,FALSE)-IFERROR(VLOOKUP(LEFT(Dulieu!$C$54,12)&amp;"37"&amp;"_PRE_M",Dulieu!$C$88:$N$402,8,FALSE),0)</f>
        <v>5555.5299999999843</v>
      </c>
      <c r="K93" s="40">
        <f>+K92-VLOOKUP(Dulieu!$C$54&amp;"_PRE_M",Dulieu!$C$88:$N$402,9,FALSE)-IFERROR(VLOOKUP(LEFT(Dulieu!$C$54,12)&amp;"37"&amp;"_PRE_M",Dulieu!$C$88:$N$402,9,FALSE),0)</f>
        <v>1630.0399999999936</v>
      </c>
      <c r="L93" s="40">
        <f>+L92-VLOOKUP(Dulieu!$C$54&amp;"_PRE_M",Dulieu!$C$88:$N$402,10,FALSE)-IFERROR(VLOOKUP(LEFT(Dulieu!$C$54,12)&amp;"37"&amp;"_PRE_M",Dulieu!$C$88:$N$402,10,FALSE),0)</f>
        <v>5982.4200000000128</v>
      </c>
      <c r="M93" s="40">
        <f>+M92-VLOOKUP(Dulieu!$C$54&amp;"_PRE_M",Dulieu!$C$88:$N$402,11,FALSE)-IFERROR(VLOOKUP(LEFT(Dulieu!$C$54,12)&amp;"37"&amp;"_PRE_M",Dulieu!$C$88:$N$402,11,FALSE),0)</f>
        <v>5827.5599999999977</v>
      </c>
      <c r="N93" s="40">
        <f>+N92-VLOOKUP(Dulieu!$C$54&amp;"_PRE_M",Dulieu!$C$88:$N$402,12,FALSE)-IFERROR(VLOOKUP(LEFT(Dulieu!$C$54,12)&amp;"37"&amp;"_PRE_M",Dulieu!$C$88:$N$402,12,FALSE),0)</f>
        <v>611.27000000000407</v>
      </c>
      <c r="O93" s="40">
        <f>+O92-VLOOKUP(Dulieu!$C$54&amp;"_PRE_M",Dulieu!$C$88:$Y$400,13,FALSE)-IFERROR(VLOOKUP(LEFT(Dulieu!$C$54,12)&amp;"37"&amp;"_PRE_M",Dulieu!$C$88:$Y$400,13,FALSE),0)</f>
        <v>-722.45000000000073</v>
      </c>
      <c r="P93" s="40">
        <f>+P92-VLOOKUP(Dulieu!$C$54&amp;"_PRE_M",Dulieu!$C$88:$Y$400,14,FALSE)-IFERROR(VLOOKUP(LEFT(Dulieu!$C$54,12)&amp;"37"&amp;"_PRE_M",Dulieu!$C$88:$Y$400,14,FALSE),0)</f>
        <v>47.930000000022119</v>
      </c>
      <c r="Q93" s="40">
        <f>+Q92-VLOOKUP(Dulieu!$C$54&amp;"_PRE_M",Dulieu!$C$88:$Y$400,15,FALSE)-IFERROR(VLOOKUP(LEFT(Dulieu!$C$54,12)&amp;"37"&amp;"_PRE_M",Dulieu!$C$88:$Y$400,15,FALSE),0)</f>
        <v>-856.92999999999665</v>
      </c>
      <c r="R93" s="40">
        <f>+R92-VLOOKUP(Dulieu!$C$54&amp;"_PRE_M",Dulieu!$C$88:$Y$400,16,FALSE)-IFERROR(VLOOKUP(LEFT(Dulieu!$C$54,12)&amp;"37"&amp;"_PRE_M",Dulieu!$C$88:$Y$400,16,FALSE),0)</f>
        <v>-612</v>
      </c>
      <c r="S93" s="40">
        <f>+S92-VLOOKUP(Dulieu!$C$54&amp;"_PRE_M",Dulieu!$C$88:$Y$400,17,FALSE)-IFERROR(VLOOKUP(LEFT(Dulieu!$C$54,12)&amp;"37"&amp;"_PRE_M",Dulieu!$C$88:$Y$400,17,FALSE),0)</f>
        <v>-66.5</v>
      </c>
      <c r="T93" s="40">
        <f>+T92-VLOOKUP(Dulieu!$C$54&amp;"_PRE_M",Dulieu!$C$88:$Y$400,18,FALSE)-IFERROR(VLOOKUP(LEFT(Dulieu!$C$54,12)&amp;"37"&amp;"_PRE_M",Dulieu!$C$88:$Y$400,18,FALSE),0)</f>
        <v>5067.6800000000076</v>
      </c>
      <c r="U93" s="40">
        <f>+U92-VLOOKUP(Dulieu!$C$54&amp;"_PRE_M",Dulieu!$C$88:$Y$400,19,FALSE)-IFERROR(VLOOKUP(LEFT(Dulieu!$C$54,12)&amp;"37"&amp;"_PRE_M",Dulieu!$C$88:$Y$400,19,FALSE),0)</f>
        <v>1044.0999999999985</v>
      </c>
      <c r="V93" s="40">
        <f>+V92-VLOOKUP(Dulieu!$C$54&amp;"_PRE_M",Dulieu!$C$88:$Y$400,20,FALSE)-IFERROR(VLOOKUP(LEFT(Dulieu!$C$54,12)&amp;"37"&amp;"_PRE_M",Dulieu!$C$88:$Y$400,20,FALSE),0)</f>
        <v>-129.88000000000466</v>
      </c>
      <c r="W93" s="40">
        <f>+W92-VLOOKUP(Dulieu!$C$54&amp;"_PRE_M",Dulieu!$C$88:$Y$400,21,FALSE)-IFERROR(VLOOKUP(LEFT(Dulieu!$C$54,12)&amp;"37"&amp;"_PRE_M",Dulieu!$C$88:$Y$400,21,FALSE),0)</f>
        <v>-304.99999999998545</v>
      </c>
      <c r="X93" s="40">
        <f>+X92-VLOOKUP(Dulieu!$C$54&amp;"_PRE_M",Dulieu!$C$88:$Y$400,22,FALSE)-IFERROR(VLOOKUP(LEFT(Dulieu!$C$54,12)&amp;"37"&amp;"_PRE_M",Dulieu!$C$88:$Y$400,22,FALSE),0)</f>
        <v>-526.5</v>
      </c>
      <c r="Y93" s="40">
        <f>+Y92-VLOOKUP(Dulieu!$C$54&amp;"_PRE_M",Dulieu!$C$88:$Y$400,23,FALSE)-IFERROR(VLOOKUP(LEFT(Dulieu!$C$54,12)&amp;"37"&amp;"_PRE_M",Dulieu!$C$88:$Y$400,23,FALSE),0)</f>
        <v>5990.8800000000047</v>
      </c>
    </row>
    <row r="94" spans="1:25" s="41" customFormat="1" ht="12" x14ac:dyDescent="0.25">
      <c r="A94" s="38"/>
      <c r="B94" s="39" t="s">
        <v>92</v>
      </c>
      <c r="C94" s="40">
        <f t="shared" si="25"/>
        <v>325095.61</v>
      </c>
      <c r="D94" s="40">
        <f>+D92-VLOOKUP(Dulieu!$C$54&amp;"_PRE_Y",Dulieu!$C$88:$N$402,2,FALSE)-IFERROR(VLOOKUP(LEFT(Dulieu!$C$54,12)&amp;"37"&amp;"_PRE_Y",Dulieu!$C$88:$N$402,2,FALSE),0)</f>
        <v>-1789.88</v>
      </c>
      <c r="E94" s="40">
        <f>+E92-VLOOKUP(Dulieu!$C$54&amp;"_PRE_Y",Dulieu!$C$88:$N$402,3,FALSE)-IFERROR(VLOOKUP(LEFT(Dulieu!$C$54,12)&amp;"37"&amp;"_PRE_Y",Dulieu!$C$88:$N$402,3,FALSE),0)</f>
        <v>17986.30999999999</v>
      </c>
      <c r="F94" s="40">
        <f>+F92-VLOOKUP(Dulieu!$C$54&amp;"_PRE_Y",Dulieu!$C$88:$N$402,4,FALSE)-IFERROR(VLOOKUP(LEFT(Dulieu!$C$54,12)&amp;"37"&amp;"_PRE_Y",Dulieu!$C$88:$N$402,4,FALSE),0)</f>
        <v>13486.869999999995</v>
      </c>
      <c r="G94" s="40">
        <f>+G92-VLOOKUP(Dulieu!$C$54&amp;"_PRE_Y",Dulieu!$C$88:$N$402,5,FALSE)-IFERROR(VLOOKUP(LEFT(Dulieu!$C$54,12)&amp;"37"&amp;"_PRE_Y",Dulieu!$C$88:$N$402,5,FALSE),0)</f>
        <v>-7082.2699999999968</v>
      </c>
      <c r="H94" s="40">
        <f>+H92-VLOOKUP(Dulieu!$C$54&amp;"_PRE_Y",Dulieu!$C$88:$N$402,6,FALSE)-IFERROR(VLOOKUP(LEFT(Dulieu!$C$54,12)&amp;"37"&amp;"_PRE_Y",Dulieu!$C$88:$N$402,6,FALSE),0)</f>
        <v>12522.539999999994</v>
      </c>
      <c r="I94" s="40">
        <f>+I92-VLOOKUP(Dulieu!$C$54&amp;"_PRE_Y",Dulieu!$C$88:$N$402,7,FALSE)-IFERROR(VLOOKUP(LEFT(Dulieu!$C$54,12)&amp;"37"&amp;"_PRE_Y",Dulieu!$C$88:$N$402,7,FALSE),0)</f>
        <v>19306.959999999992</v>
      </c>
      <c r="J94" s="40">
        <f>+J92-VLOOKUP(Dulieu!$C$54&amp;"_PRE_Y",Dulieu!$C$88:$N$402,8,FALSE)-IFERROR(VLOOKUP(LEFT(Dulieu!$C$54,12)&amp;"37"&amp;"_PRE_Y",Dulieu!$C$88:$N$402,8,FALSE),0)</f>
        <v>13784.929999999978</v>
      </c>
      <c r="K94" s="40">
        <f>+K92-VLOOKUP(Dulieu!$C$54&amp;"_PRE_Y",Dulieu!$C$88:$N$402,9,FALSE)-IFERROR(VLOOKUP(LEFT(Dulieu!$C$54,12)&amp;"37"&amp;"_PRE_Y",Dulieu!$C$88:$N$402,9,FALSE),0)</f>
        <v>17558.230000000003</v>
      </c>
      <c r="L94" s="40">
        <f>+L92-VLOOKUP(Dulieu!$C$54&amp;"_PRE_Y",Dulieu!$C$88:$N$402,10,FALSE)-IFERROR(VLOOKUP(LEFT(Dulieu!$C$54,12)&amp;"37"&amp;"_PRE_Y",Dulieu!$C$88:$N$402,10,FALSE),0)</f>
        <v>17409.440000000002</v>
      </c>
      <c r="M94" s="40">
        <f>+M92-VLOOKUP(Dulieu!$C$54&amp;"_PRE_Y",Dulieu!$C$88:$N$402,11,FALSE)-IFERROR(VLOOKUP(LEFT(Dulieu!$C$54,12)&amp;"37"&amp;"_PRE_Y",Dulieu!$C$88:$N$402,11,FALSE),0)</f>
        <v>15230.719999999994</v>
      </c>
      <c r="N94" s="40">
        <f>+N92-VLOOKUP(Dulieu!$C$54&amp;"_PRE_Y",Dulieu!$C$88:$N$402,12,FALSE)-IFERROR(VLOOKUP(LEFT(Dulieu!$C$54,12)&amp;"37"&amp;"_PRE_Y",Dulieu!$C$88:$N$402,12,FALSE),0)</f>
        <v>15481.250000000015</v>
      </c>
      <c r="O94" s="40">
        <f>+O92-VLOOKUP(Dulieu!$C$54&amp;"_PRE_Y",Dulieu!$C$88:$Y$400,13,FALSE)-IFERROR(VLOOKUP(LEFT(Dulieu!$C$54,12)&amp;"37"&amp;"_PRE_Y",Dulieu!$C$88:$Y$400,13,FALSE),0)</f>
        <v>-1859.25</v>
      </c>
      <c r="P94" s="40">
        <f>+P92-VLOOKUP(Dulieu!$C$54&amp;"_PRE_Y",Dulieu!$C$88:$Y$400,14,FALSE)-IFERROR(VLOOKUP(LEFT(Dulieu!$C$54,12)&amp;"37"&amp;"_PRE_Y",Dulieu!$C$88:$Y$400,14,FALSE),0)</f>
        <v>34929.910000000011</v>
      </c>
      <c r="Q94" s="40">
        <f>+Q92-VLOOKUP(Dulieu!$C$54&amp;"_PRE_Y",Dulieu!$C$88:$Y$400,15,FALSE)-IFERROR(VLOOKUP(LEFT(Dulieu!$C$54,12)&amp;"37"&amp;"_PRE_Y",Dulieu!$C$88:$Y$400,15,FALSE),0)</f>
        <v>-3654.8499999999949</v>
      </c>
      <c r="R94" s="40">
        <f>+R92-VLOOKUP(Dulieu!$C$54&amp;"_PRE_Y",Dulieu!$C$88:$Y$400,16,FALSE)-IFERROR(VLOOKUP(LEFT(Dulieu!$C$54,12)&amp;"37"&amp;"_PRE_Y",Dulieu!$C$88:$Y$400,16,FALSE),0)</f>
        <v>-2385.130000000001</v>
      </c>
      <c r="S94" s="40">
        <f>+S92-VLOOKUP(Dulieu!$C$54&amp;"_PRE_Y",Dulieu!$C$88:$Y$400,17,FALSE)-IFERROR(VLOOKUP(LEFT(Dulieu!$C$54,12)&amp;"37"&amp;"_PRE_Y",Dulieu!$C$88:$Y$400,17,FALSE),0)</f>
        <v>33828.959999999992</v>
      </c>
      <c r="T94" s="40">
        <f>+T92-VLOOKUP(Dulieu!$C$54&amp;"_PRE_Y",Dulieu!$C$88:$Y$400,18,FALSE)-IFERROR(VLOOKUP(LEFT(Dulieu!$C$54,12)&amp;"37"&amp;"_PRE_Y",Dulieu!$C$88:$Y$400,18,FALSE),0)</f>
        <v>27623.690000000002</v>
      </c>
      <c r="U94" s="40">
        <f>+U92-VLOOKUP(Dulieu!$C$54&amp;"_PRE_Y",Dulieu!$C$88:$Y$400,19,FALSE)-IFERROR(VLOOKUP(LEFT(Dulieu!$C$54,12)&amp;"37"&amp;"_PRE_Y",Dulieu!$C$88:$Y$400,19,FALSE),0)</f>
        <v>2317.1999999999971</v>
      </c>
      <c r="V94" s="40">
        <f>+V92-VLOOKUP(Dulieu!$C$54&amp;"_PRE_Y",Dulieu!$C$88:$Y$400,20,FALSE)-IFERROR(VLOOKUP(LEFT(Dulieu!$C$54,12)&amp;"37"&amp;"_PRE_Y",Dulieu!$C$88:$Y$400,20,FALSE),0)</f>
        <v>19796.89</v>
      </c>
      <c r="W94" s="40">
        <f>+W92-VLOOKUP(Dulieu!$C$54&amp;"_PRE_Y",Dulieu!$C$88:$Y$400,21,FALSE)-IFERROR(VLOOKUP(LEFT(Dulieu!$C$54,12)&amp;"37"&amp;"_PRE_Y",Dulieu!$C$88:$Y$400,21,FALSE),0)</f>
        <v>32676.400000000009</v>
      </c>
      <c r="X94" s="40">
        <f>+X92-VLOOKUP(Dulieu!$C$54&amp;"_PRE_Y",Dulieu!$C$88:$Y$400,22,FALSE)-IFERROR(VLOOKUP(LEFT(Dulieu!$C$54,12)&amp;"37"&amp;"_PRE_Y",Dulieu!$C$88:$Y$400,22,FALSE),0)</f>
        <v>23933.010000000009</v>
      </c>
      <c r="Y94" s="40">
        <f>+Y92-VLOOKUP(Dulieu!$C$54&amp;"_PRE_Y",Dulieu!$C$88:$Y$400,23,FALSE)-IFERROR(VLOOKUP(LEFT(Dulieu!$C$54,12)&amp;"37"&amp;"_PRE_Y",Dulieu!$C$88:$Y$400,23,FALSE),0)</f>
        <v>23993.68</v>
      </c>
    </row>
    <row r="95" spans="1:25" s="32" customFormat="1" ht="12" x14ac:dyDescent="0.25">
      <c r="A95" s="42"/>
      <c r="B95" s="43" t="s">
        <v>42</v>
      </c>
      <c r="C95" s="44">
        <f t="shared" si="25"/>
        <v>2920189.7600000007</v>
      </c>
      <c r="D95" s="44">
        <f>+Dulieu!D55</f>
        <v>14951.64</v>
      </c>
      <c r="E95" s="44">
        <f>+Dulieu!E55</f>
        <v>152662.32999999999</v>
      </c>
      <c r="F95" s="44">
        <f>+Dulieu!F55</f>
        <v>158335.62</v>
      </c>
      <c r="G95" s="44">
        <f>+Dulieu!G55</f>
        <v>70077.86</v>
      </c>
      <c r="H95" s="44">
        <f>+Dulieu!H55</f>
        <v>211292.78</v>
      </c>
      <c r="I95" s="44">
        <f>+Dulieu!I55</f>
        <v>168702.52</v>
      </c>
      <c r="J95" s="44">
        <f>+Dulieu!J55</f>
        <v>133605.74</v>
      </c>
      <c r="K95" s="44">
        <f>+Dulieu!K55</f>
        <v>174947.6</v>
      </c>
      <c r="L95" s="44">
        <f>+Dulieu!L55</f>
        <v>157926.63</v>
      </c>
      <c r="M95" s="44">
        <f>+Dulieu!M55</f>
        <v>160485.81</v>
      </c>
      <c r="N95" s="44">
        <f>+Dulieu!N55</f>
        <v>147211.35</v>
      </c>
      <c r="O95" s="44">
        <f>+Dulieu!O55</f>
        <v>52412.6</v>
      </c>
      <c r="P95" s="44">
        <f>+Dulieu!P55</f>
        <v>199761.92000000001</v>
      </c>
      <c r="Q95" s="44">
        <f>+Dulieu!Q55</f>
        <v>38095.870000000003</v>
      </c>
      <c r="R95" s="44">
        <f>+Dulieu!R55</f>
        <v>39861.07</v>
      </c>
      <c r="S95" s="44">
        <f>+Dulieu!S55</f>
        <v>227417.9</v>
      </c>
      <c r="T95" s="44">
        <f>+Dulieu!T55</f>
        <v>154553.63</v>
      </c>
      <c r="U95" s="44">
        <f>+Dulieu!U55</f>
        <v>67287.399999999994</v>
      </c>
      <c r="V95" s="44">
        <f>+Dulieu!V55</f>
        <v>147666.59</v>
      </c>
      <c r="W95" s="44">
        <f>+Dulieu!W55</f>
        <v>144747.14000000001</v>
      </c>
      <c r="X95" s="44">
        <f>+Dulieu!X55</f>
        <v>125146.16</v>
      </c>
      <c r="Y95" s="44">
        <f>+Dulieu!Y55</f>
        <v>173039.6</v>
      </c>
    </row>
    <row r="96" spans="1:25" s="32" customFormat="1" ht="12" x14ac:dyDescent="0.25">
      <c r="A96" s="42"/>
      <c r="B96" s="43" t="s">
        <v>43</v>
      </c>
      <c r="C96" s="44">
        <f t="shared" si="25"/>
        <v>8581</v>
      </c>
      <c r="D96" s="44">
        <f>+Dulieu!D56</f>
        <v>0</v>
      </c>
      <c r="E96" s="44">
        <f>+Dulieu!E56</f>
        <v>0</v>
      </c>
      <c r="F96" s="44">
        <f>+Dulieu!F56</f>
        <v>0</v>
      </c>
      <c r="G96" s="44">
        <f>+Dulieu!G56</f>
        <v>0</v>
      </c>
      <c r="H96" s="44">
        <f>+Dulieu!H56</f>
        <v>75</v>
      </c>
      <c r="I96" s="44">
        <f>+Dulieu!I56</f>
        <v>0</v>
      </c>
      <c r="J96" s="44">
        <f>+Dulieu!J56</f>
        <v>1475</v>
      </c>
      <c r="K96" s="44">
        <f>+Dulieu!K56</f>
        <v>0</v>
      </c>
      <c r="L96" s="44">
        <f>+Dulieu!L56</f>
        <v>0</v>
      </c>
      <c r="M96" s="44">
        <f>+Dulieu!M56</f>
        <v>0</v>
      </c>
      <c r="N96" s="44">
        <f>+Dulieu!N56</f>
        <v>1000</v>
      </c>
      <c r="O96" s="44">
        <f>+Dulieu!O56</f>
        <v>0</v>
      </c>
      <c r="P96" s="44">
        <f>+Dulieu!P56</f>
        <v>126</v>
      </c>
      <c r="Q96" s="44">
        <f>+Dulieu!Q56</f>
        <v>0</v>
      </c>
      <c r="R96" s="44">
        <f>+Dulieu!R56</f>
        <v>0</v>
      </c>
      <c r="S96" s="44">
        <f>+Dulieu!S56</f>
        <v>0</v>
      </c>
      <c r="T96" s="44">
        <f>+Dulieu!T56</f>
        <v>0</v>
      </c>
      <c r="U96" s="44">
        <f>+Dulieu!U56</f>
        <v>948</v>
      </c>
      <c r="V96" s="44">
        <f>+Dulieu!V56</f>
        <v>2000</v>
      </c>
      <c r="W96" s="44">
        <f>+Dulieu!W56</f>
        <v>985</v>
      </c>
      <c r="X96" s="44">
        <f>+Dulieu!X56</f>
        <v>1952</v>
      </c>
      <c r="Y96" s="44">
        <f>+Dulieu!Y56</f>
        <v>20</v>
      </c>
    </row>
    <row r="97" spans="1:25" s="37" customFormat="1" ht="12" x14ac:dyDescent="0.25">
      <c r="A97" s="34">
        <v>6</v>
      </c>
      <c r="B97" s="35" t="s">
        <v>48</v>
      </c>
      <c r="C97" s="36">
        <f t="shared" si="25"/>
        <v>4398115.959999999</v>
      </c>
      <c r="D97" s="36">
        <f>+Dulieu!D57</f>
        <v>411660.05</v>
      </c>
      <c r="E97" s="36">
        <f>+Dulieu!E57</f>
        <v>298553.15000000002</v>
      </c>
      <c r="F97" s="36">
        <f>+Dulieu!F57</f>
        <v>331531.34000000003</v>
      </c>
      <c r="G97" s="36">
        <f>+Dulieu!G57</f>
        <v>347199.83</v>
      </c>
      <c r="H97" s="36">
        <f>+Dulieu!H57</f>
        <v>290268.55</v>
      </c>
      <c r="I97" s="36">
        <f>+Dulieu!I57</f>
        <v>223329.1</v>
      </c>
      <c r="J97" s="36">
        <f>+Dulieu!J57</f>
        <v>274353.63</v>
      </c>
      <c r="K97" s="36">
        <f>+Dulieu!K57</f>
        <v>254695.37</v>
      </c>
      <c r="L97" s="36">
        <f>+Dulieu!L57</f>
        <v>298908.82</v>
      </c>
      <c r="M97" s="36">
        <f>+Dulieu!M57</f>
        <v>249618.36</v>
      </c>
      <c r="N97" s="36">
        <f>+Dulieu!N57</f>
        <v>284632.11</v>
      </c>
      <c r="O97" s="36">
        <f>+Dulieu!O57</f>
        <v>167087.46</v>
      </c>
      <c r="P97" s="36">
        <f>+Dulieu!P57</f>
        <v>53425.31</v>
      </c>
      <c r="Q97" s="36">
        <f>+Dulieu!Q57</f>
        <v>194184.3</v>
      </c>
      <c r="R97" s="36">
        <f>+Dulieu!R57</f>
        <v>167833.39</v>
      </c>
      <c r="S97" s="36">
        <f>+Dulieu!S57</f>
        <v>63811.58</v>
      </c>
      <c r="T97" s="36">
        <f>+Dulieu!T57</f>
        <v>109003.9</v>
      </c>
      <c r="U97" s="36">
        <f>+Dulieu!U57</f>
        <v>151173.53</v>
      </c>
      <c r="V97" s="36">
        <f>+Dulieu!V57</f>
        <v>47195.98</v>
      </c>
      <c r="W97" s="36">
        <f>+Dulieu!W57</f>
        <v>40668.800000000003</v>
      </c>
      <c r="X97" s="36">
        <f>+Dulieu!X57</f>
        <v>48521.18</v>
      </c>
      <c r="Y97" s="36">
        <f>+Dulieu!Y57</f>
        <v>90460.22</v>
      </c>
    </row>
    <row r="98" spans="1:25" s="41" customFormat="1" ht="12" x14ac:dyDescent="0.25">
      <c r="A98" s="38"/>
      <c r="B98" s="39" t="s">
        <v>91</v>
      </c>
      <c r="C98" s="40">
        <f t="shared" si="25"/>
        <v>-108070.05999999995</v>
      </c>
      <c r="D98" s="40">
        <f>+D97-VLOOKUP(Dulieu!$C$57&amp;"_PRE_M",Dulieu!$C$88:$N$400,2,FALSE)</f>
        <v>-19774.48000000004</v>
      </c>
      <c r="E98" s="40">
        <f>+E97-VLOOKUP(Dulieu!$C$57&amp;"_PRE_M",Dulieu!$C$88:$N$400,3,FALSE)</f>
        <v>-4671.7699999999604</v>
      </c>
      <c r="F98" s="40">
        <f>+F97-VLOOKUP(Dulieu!$C$57&amp;"_PRE_M",Dulieu!$C$88:$N$400,4,FALSE)</f>
        <v>-4716.8699999999953</v>
      </c>
      <c r="G98" s="40">
        <f>+G97-VLOOKUP(Dulieu!$C$57&amp;"_PRE_M",Dulieu!$C$88:$N$400,5,FALSE)</f>
        <v>-16170.639999999956</v>
      </c>
      <c r="H98" s="40">
        <f>+H97-VLOOKUP(Dulieu!$C$57&amp;"_PRE_M",Dulieu!$C$88:$N$400,6,FALSE)</f>
        <v>-6482.7800000000279</v>
      </c>
      <c r="I98" s="40">
        <f>+I97-VLOOKUP(Dulieu!$C$57&amp;"_PRE_M",Dulieu!$C$88:$N$400,7,FALSE)</f>
        <v>-3671.109999999986</v>
      </c>
      <c r="J98" s="40">
        <f>+J97-VLOOKUP(Dulieu!$C$57&amp;"_PRE_M",Dulieu!$C$88:$N$400,8,FALSE)</f>
        <v>-8544.6199999999953</v>
      </c>
      <c r="K98" s="40">
        <f>+K97-VLOOKUP(Dulieu!$C$57&amp;"_PRE_M",Dulieu!$C$88:$N$400,9,FALSE)</f>
        <v>-5383.6600000000035</v>
      </c>
      <c r="L98" s="40">
        <f>+L97-VLOOKUP(Dulieu!$C$57&amp;"_PRE_M",Dulieu!$C$88:$N$400,10,FALSE)</f>
        <v>-8756.1599999999744</v>
      </c>
      <c r="M98" s="40">
        <f>+M97-VLOOKUP(Dulieu!$C$57&amp;"_PRE_M",Dulieu!$C$88:$N$400,11,FALSE)</f>
        <v>-6452.3300000000163</v>
      </c>
      <c r="N98" s="40">
        <f>+N97-VLOOKUP(Dulieu!$C$57&amp;"_PRE_M",Dulieu!$C$88:$N$400,12,FALSE)</f>
        <v>-3591.5599999999977</v>
      </c>
      <c r="O98" s="40">
        <f>+O97-VLOOKUP(Dulieu!$C$57&amp;"_PRE_M",Dulieu!$C$88:$Y$400,13,FALSE)</f>
        <v>-2212</v>
      </c>
      <c r="P98" s="40">
        <f>+P97-VLOOKUP(Dulieu!$C$57&amp;"_PRE_M",Dulieu!$C$88:$Y$400,14,FALSE)</f>
        <v>-1052.9000000000015</v>
      </c>
      <c r="Q98" s="40">
        <f>+Q97-VLOOKUP(Dulieu!$C$57&amp;"_PRE_M",Dulieu!$C$88:$Y$400,15,FALSE)</f>
        <v>-4106.8500000000058</v>
      </c>
      <c r="R98" s="40">
        <f>+R97-VLOOKUP(Dulieu!$C$57&amp;"_PRE_M",Dulieu!$C$88:$Y$400,16,FALSE)</f>
        <v>-3000</v>
      </c>
      <c r="S98" s="40">
        <f>+S97-VLOOKUP(Dulieu!$C$57&amp;"_PRE_M",Dulieu!$C$88:$Y$400,17,FALSE)</f>
        <v>-474</v>
      </c>
      <c r="T98" s="40">
        <f>+T97-VLOOKUP(Dulieu!$C$57&amp;"_PRE_M",Dulieu!$C$88:$Y$400,18,FALSE)</f>
        <v>-2282.4000000000087</v>
      </c>
      <c r="U98" s="40">
        <f>+U97-VLOOKUP(Dulieu!$C$57&amp;"_PRE_M",Dulieu!$C$88:$Y$400,19,FALSE)</f>
        <v>-4219</v>
      </c>
      <c r="V98" s="40">
        <f>+V97-VLOOKUP(Dulieu!$C$57&amp;"_PRE_M",Dulieu!$C$88:$Y$400,20,FALSE)</f>
        <v>-609.5</v>
      </c>
      <c r="W98" s="40">
        <f>+W97-VLOOKUP(Dulieu!$C$57&amp;"_PRE_M",Dulieu!$C$88:$Y$400,21,FALSE)</f>
        <v>-601.79999999999563</v>
      </c>
      <c r="X98" s="40">
        <f>+X97-VLOOKUP(Dulieu!$C$57&amp;"_PRE_M",Dulieu!$C$88:$Y$400,22,FALSE)</f>
        <v>-818.19999999999709</v>
      </c>
      <c r="Y98" s="40">
        <f>+Y97-VLOOKUP(Dulieu!$C$57&amp;"_PRE_M",Dulieu!$C$88:$Y$400,23,FALSE)</f>
        <v>-477.42999999999302</v>
      </c>
    </row>
    <row r="99" spans="1:25" s="41" customFormat="1" ht="12" x14ac:dyDescent="0.25">
      <c r="A99" s="38"/>
      <c r="B99" s="39" t="s">
        <v>92</v>
      </c>
      <c r="C99" s="40">
        <f t="shared" ref="C99:C122" si="32">SUM(D99:Y99)</f>
        <v>-282436.23</v>
      </c>
      <c r="D99" s="40">
        <f>+D97-VLOOKUP(Dulieu!$C$57&amp;"_PRE_Y",Dulieu!$C$88:$N$400,2,FALSE)</f>
        <v>-41493.450000000012</v>
      </c>
      <c r="E99" s="40">
        <f>+E97-VLOOKUP(Dulieu!$C$57&amp;"_PRE_Y",Dulieu!$C$88:$N$400,3,FALSE)</f>
        <v>-22799</v>
      </c>
      <c r="F99" s="40">
        <f>+F97-VLOOKUP(Dulieu!$C$57&amp;"_PRE_Y",Dulieu!$C$88:$N$400,4,FALSE)</f>
        <v>-9512.3499999999767</v>
      </c>
      <c r="G99" s="40">
        <f>+G97-VLOOKUP(Dulieu!$C$57&amp;"_PRE_Y",Dulieu!$C$88:$N$400,5,FALSE)</f>
        <v>-33401.719999999972</v>
      </c>
      <c r="H99" s="40">
        <f>+H97-VLOOKUP(Dulieu!$C$57&amp;"_PRE_Y",Dulieu!$C$88:$N$400,6,FALSE)</f>
        <v>-8719.9700000000303</v>
      </c>
      <c r="I99" s="40">
        <f>+I97-VLOOKUP(Dulieu!$C$57&amp;"_PRE_Y",Dulieu!$C$88:$N$400,7,FALSE)</f>
        <v>-13664.779999999999</v>
      </c>
      <c r="J99" s="40">
        <f>+J97-VLOOKUP(Dulieu!$C$57&amp;"_PRE_Y",Dulieu!$C$88:$N$400,8,FALSE)</f>
        <v>-24903.830000000016</v>
      </c>
      <c r="K99" s="40">
        <f>+K97-VLOOKUP(Dulieu!$C$57&amp;"_PRE_Y",Dulieu!$C$88:$N$400,9,FALSE)</f>
        <v>-10770.190000000002</v>
      </c>
      <c r="L99" s="40">
        <f>+L97-VLOOKUP(Dulieu!$C$57&amp;"_PRE_Y",Dulieu!$C$88:$N$400,10,FALSE)</f>
        <v>-23917.25</v>
      </c>
      <c r="M99" s="40">
        <f>+M97-VLOOKUP(Dulieu!$C$57&amp;"_PRE_Y",Dulieu!$C$88:$N$400,11,FALSE)</f>
        <v>-20391.160000000033</v>
      </c>
      <c r="N99" s="40">
        <f>+N97-VLOOKUP(Dulieu!$C$57&amp;"_PRE_Y",Dulieu!$C$88:$N$400,12,FALSE)</f>
        <v>-16075.859999999986</v>
      </c>
      <c r="O99" s="40">
        <f>+O97-VLOOKUP(Dulieu!$C$57&amp;"_PRE_Y",Dulieu!$C$88:$Y$400,13,FALSE)</f>
        <v>-6163.140000000014</v>
      </c>
      <c r="P99" s="40">
        <f>+P97-VLOOKUP(Dulieu!$C$57&amp;"_PRE_Y",Dulieu!$C$88:$Y$400,14,FALSE)</f>
        <v>-2273.2000000000044</v>
      </c>
      <c r="Q99" s="40">
        <f>+Q97-VLOOKUP(Dulieu!$C$57&amp;"_PRE_Y",Dulieu!$C$88:$Y$400,15,FALSE)</f>
        <v>-13956.070000000007</v>
      </c>
      <c r="R99" s="40">
        <f>+R97-VLOOKUP(Dulieu!$C$57&amp;"_PRE_Y",Dulieu!$C$88:$Y$400,16,FALSE)</f>
        <v>-8001.5799999999872</v>
      </c>
      <c r="S99" s="40">
        <f>+S97-VLOOKUP(Dulieu!$C$57&amp;"_PRE_Y",Dulieu!$C$88:$Y$400,17,FALSE)</f>
        <v>-1210.489999999998</v>
      </c>
      <c r="T99" s="40">
        <f>+T97-VLOOKUP(Dulieu!$C$57&amp;"_PRE_Y",Dulieu!$C$88:$Y$400,18,FALSE)</f>
        <v>-5655.6000000000058</v>
      </c>
      <c r="U99" s="40">
        <f>+U97-VLOOKUP(Dulieu!$C$57&amp;"_PRE_Y",Dulieu!$C$88:$Y$400,19,FALSE)</f>
        <v>-12187.470000000001</v>
      </c>
      <c r="V99" s="40">
        <f>+V97-VLOOKUP(Dulieu!$C$57&amp;"_PRE_Y",Dulieu!$C$88:$Y$400,20,FALSE)</f>
        <v>-1441</v>
      </c>
      <c r="W99" s="40">
        <f>+W97-VLOOKUP(Dulieu!$C$57&amp;"_PRE_Y",Dulieu!$C$88:$Y$400,21,FALSE)</f>
        <v>-303.29999999999563</v>
      </c>
      <c r="X99" s="40">
        <f>+X97-VLOOKUP(Dulieu!$C$57&amp;"_PRE_Y",Dulieu!$C$88:$Y$400,22,FALSE)</f>
        <v>-3305.7200000000012</v>
      </c>
      <c r="Y99" s="40">
        <f>+Y97-VLOOKUP(Dulieu!$C$57&amp;"_PRE_Y",Dulieu!$C$88:$Y$400,23,FALSE)</f>
        <v>-2289.1000000000058</v>
      </c>
    </row>
    <row r="100" spans="1:25" s="32" customFormat="1" ht="12" x14ac:dyDescent="0.25">
      <c r="A100" s="42" t="s">
        <v>49</v>
      </c>
      <c r="B100" s="52" t="s">
        <v>50</v>
      </c>
      <c r="C100" s="44">
        <f t="shared" si="32"/>
        <v>128861.69664499999</v>
      </c>
      <c r="D100" s="44">
        <f>+Dulieu!D58</f>
        <v>7125.3203409999996</v>
      </c>
      <c r="E100" s="44">
        <f>+Dulieu!E58</f>
        <v>5185.3500000000004</v>
      </c>
      <c r="F100" s="44">
        <f>+Dulieu!F58</f>
        <v>4863.9235870000002</v>
      </c>
      <c r="G100" s="44">
        <f>+Dulieu!G58</f>
        <v>5645.7862130000003</v>
      </c>
      <c r="H100" s="44">
        <f>+Dulieu!H58</f>
        <v>6281.39</v>
      </c>
      <c r="I100" s="44">
        <f>+Dulieu!I58</f>
        <v>2784.8</v>
      </c>
      <c r="J100" s="44">
        <f>+Dulieu!J58</f>
        <v>8300.8909999999996</v>
      </c>
      <c r="K100" s="44">
        <f>+Dulieu!K58</f>
        <v>2086</v>
      </c>
      <c r="L100" s="44">
        <f>+Dulieu!L58</f>
        <v>4856.9279999999999</v>
      </c>
      <c r="M100" s="44">
        <f>+Dulieu!M58</f>
        <v>4996.9099200000001</v>
      </c>
      <c r="N100" s="44">
        <f>+Dulieu!N58</f>
        <v>8082.1011420000004</v>
      </c>
      <c r="O100" s="44">
        <f>+Dulieu!O58</f>
        <v>5649.7582590000002</v>
      </c>
      <c r="P100" s="44">
        <f>+Dulieu!P58</f>
        <v>7796.3727849999996</v>
      </c>
      <c r="Q100" s="44">
        <f>+Dulieu!Q58</f>
        <v>7629.1553160000003</v>
      </c>
      <c r="R100" s="44">
        <f>+Dulieu!R58</f>
        <v>3786</v>
      </c>
      <c r="S100" s="44">
        <f>+Dulieu!S58</f>
        <v>10629.572634</v>
      </c>
      <c r="T100" s="44">
        <f>+Dulieu!T58</f>
        <v>7065.0991969999995</v>
      </c>
      <c r="U100" s="44">
        <f>+Dulieu!U58</f>
        <v>6701.7250759999997</v>
      </c>
      <c r="V100" s="44">
        <f>+Dulieu!V58</f>
        <v>6310.7839020000001</v>
      </c>
      <c r="W100" s="44">
        <f>+Dulieu!W58</f>
        <v>4314.8</v>
      </c>
      <c r="X100" s="44">
        <f>+Dulieu!X58</f>
        <v>4070.8292729999998</v>
      </c>
      <c r="Y100" s="44">
        <f>+Dulieu!Y58</f>
        <v>4698.2</v>
      </c>
    </row>
    <row r="101" spans="1:25" s="32" customFormat="1" ht="12" x14ac:dyDescent="0.25">
      <c r="A101" s="42"/>
      <c r="B101" s="52" t="s">
        <v>51</v>
      </c>
      <c r="C101" s="44">
        <f t="shared" si="32"/>
        <v>117009.112427</v>
      </c>
      <c r="D101" s="44">
        <f>+Dulieu!D59</f>
        <v>6482.4572989999997</v>
      </c>
      <c r="E101" s="44">
        <f>+Dulieu!E59</f>
        <v>4705.3500000000004</v>
      </c>
      <c r="F101" s="44">
        <f>+Dulieu!F59</f>
        <v>4446.0870000000004</v>
      </c>
      <c r="G101" s="44">
        <f>+Dulieu!G59</f>
        <v>5490.7862130000003</v>
      </c>
      <c r="H101" s="44">
        <f>+Dulieu!H59</f>
        <v>6047.39</v>
      </c>
      <c r="I101" s="44">
        <f>+Dulieu!I59</f>
        <v>2533.8000000000002</v>
      </c>
      <c r="J101" s="44">
        <f>+Dulieu!J59</f>
        <v>6895.491</v>
      </c>
      <c r="K101" s="44">
        <f>+Dulieu!K59</f>
        <v>1951</v>
      </c>
      <c r="L101" s="44">
        <f>+Dulieu!L59</f>
        <v>4412.9279999999999</v>
      </c>
      <c r="M101" s="44">
        <f>+Dulieu!M59</f>
        <v>4931.9099200000001</v>
      </c>
      <c r="N101" s="44">
        <f>+Dulieu!N59</f>
        <v>7634.3011420000003</v>
      </c>
      <c r="O101" s="44">
        <f>+Dulieu!O59</f>
        <v>5460.4</v>
      </c>
      <c r="P101" s="44">
        <f>+Dulieu!P59</f>
        <v>7231.6</v>
      </c>
      <c r="Q101" s="44">
        <f>+Dulieu!Q59</f>
        <v>6623.8818789999996</v>
      </c>
      <c r="R101" s="44">
        <f>+Dulieu!R59</f>
        <v>3592</v>
      </c>
      <c r="S101" s="44">
        <f>+Dulieu!S59</f>
        <v>9619.1302059999998</v>
      </c>
      <c r="T101" s="44">
        <f>+Dulieu!T59</f>
        <v>6314.5</v>
      </c>
      <c r="U101" s="44">
        <f>+Dulieu!U59</f>
        <v>5515.6</v>
      </c>
      <c r="V101" s="44">
        <f>+Dulieu!V59</f>
        <v>5411.9997679999997</v>
      </c>
      <c r="W101" s="44">
        <f>+Dulieu!W59</f>
        <v>3637.8</v>
      </c>
      <c r="X101" s="44">
        <f>+Dulieu!X59</f>
        <v>3948.1</v>
      </c>
      <c r="Y101" s="44">
        <f>+Dulieu!Y59</f>
        <v>4122.6000000000004</v>
      </c>
    </row>
    <row r="102" spans="1:25" s="32" customFormat="1" ht="12" x14ac:dyDescent="0.25">
      <c r="A102" s="42"/>
      <c r="B102" s="52" t="s">
        <v>88</v>
      </c>
      <c r="C102" s="44">
        <f t="shared" si="32"/>
        <v>11852.584218000002</v>
      </c>
      <c r="D102" s="44">
        <f>+Dulieu!D60</f>
        <v>642.86304199999995</v>
      </c>
      <c r="E102" s="44">
        <f>+Dulieu!E60</f>
        <v>480</v>
      </c>
      <c r="F102" s="44">
        <f>+Dulieu!F60</f>
        <v>417.83658700000001</v>
      </c>
      <c r="G102" s="44">
        <f>+Dulieu!G60</f>
        <v>155</v>
      </c>
      <c r="H102" s="44">
        <f>+Dulieu!H60</f>
        <v>234</v>
      </c>
      <c r="I102" s="44">
        <f>+Dulieu!I60</f>
        <v>251</v>
      </c>
      <c r="J102" s="44">
        <f>+Dulieu!J60</f>
        <v>1405.4</v>
      </c>
      <c r="K102" s="44">
        <f>+Dulieu!K60</f>
        <v>135</v>
      </c>
      <c r="L102" s="44">
        <f>+Dulieu!L60</f>
        <v>444</v>
      </c>
      <c r="M102" s="44">
        <f>+Dulieu!M60</f>
        <v>65</v>
      </c>
      <c r="N102" s="44">
        <f>+Dulieu!N60</f>
        <v>447.8</v>
      </c>
      <c r="O102" s="44">
        <f>+Dulieu!O60</f>
        <v>189.358259</v>
      </c>
      <c r="P102" s="44">
        <f>+Dulieu!P60</f>
        <v>564.772785</v>
      </c>
      <c r="Q102" s="44">
        <f>+Dulieu!Q60</f>
        <v>1005.2734369999999</v>
      </c>
      <c r="R102" s="44">
        <f>+Dulieu!R60</f>
        <v>194</v>
      </c>
      <c r="S102" s="44">
        <f>+Dulieu!S60</f>
        <v>1010.4424279999999</v>
      </c>
      <c r="T102" s="44">
        <f>+Dulieu!T60</f>
        <v>750.599197</v>
      </c>
      <c r="U102" s="44">
        <f>+Dulieu!U60</f>
        <v>1186.125076</v>
      </c>
      <c r="V102" s="44">
        <f>+Dulieu!V60</f>
        <v>898.78413399999999</v>
      </c>
      <c r="W102" s="44">
        <f>+Dulieu!W60</f>
        <v>677</v>
      </c>
      <c r="X102" s="44">
        <f>+Dulieu!X60</f>
        <v>122.72927300000001</v>
      </c>
      <c r="Y102" s="44">
        <f>+Dulieu!Y60</f>
        <v>575.6</v>
      </c>
    </row>
    <row r="103" spans="1:25" s="32" customFormat="1" ht="12" x14ac:dyDescent="0.25">
      <c r="A103" s="42" t="s">
        <v>52</v>
      </c>
      <c r="B103" s="52" t="s">
        <v>53</v>
      </c>
      <c r="C103" s="44">
        <f t="shared" si="32"/>
        <v>3172930.3462529997</v>
      </c>
      <c r="D103" s="44">
        <f>+Dulieu!D61</f>
        <v>255468.49460800001</v>
      </c>
      <c r="E103" s="44">
        <f>+Dulieu!E61</f>
        <v>201401.061292</v>
      </c>
      <c r="F103" s="44">
        <f>+Dulieu!F61</f>
        <v>197774.83484600001</v>
      </c>
      <c r="G103" s="44">
        <f>+Dulieu!G61</f>
        <v>235865.51911299999</v>
      </c>
      <c r="H103" s="44">
        <f>+Dulieu!H61</f>
        <v>194022.67769499999</v>
      </c>
      <c r="I103" s="44">
        <f>+Dulieu!I61</f>
        <v>156472.00803699999</v>
      </c>
      <c r="J103" s="44">
        <f>+Dulieu!J61</f>
        <v>182021.18126499999</v>
      </c>
      <c r="K103" s="44">
        <f>+Dulieu!K61</f>
        <v>166853.14898299999</v>
      </c>
      <c r="L103" s="44">
        <f>+Dulieu!L61</f>
        <v>207923.959707</v>
      </c>
      <c r="M103" s="44">
        <f>+Dulieu!M61</f>
        <v>177916.18085100001</v>
      </c>
      <c r="N103" s="44">
        <f>+Dulieu!N61</f>
        <v>190547.21738799999</v>
      </c>
      <c r="O103" s="44">
        <f>+Dulieu!O61</f>
        <v>155896.69999699999</v>
      </c>
      <c r="P103" s="44">
        <f>+Dulieu!P61</f>
        <v>35541.538991000001</v>
      </c>
      <c r="Q103" s="44">
        <f>+Dulieu!Q61</f>
        <v>161137.92524400001</v>
      </c>
      <c r="R103" s="44">
        <f>+Dulieu!R61</f>
        <v>158436.99823600001</v>
      </c>
      <c r="S103" s="44">
        <f>+Dulieu!S61</f>
        <v>42029.3</v>
      </c>
      <c r="T103" s="44">
        <f>+Dulieu!T61</f>
        <v>106415.9</v>
      </c>
      <c r="U103" s="44">
        <f>+Dulieu!U61</f>
        <v>150059.20000000001</v>
      </c>
      <c r="V103" s="44">
        <f>+Dulieu!V61</f>
        <v>32562</v>
      </c>
      <c r="W103" s="44">
        <f>+Dulieu!W61</f>
        <v>32903.5</v>
      </c>
      <c r="X103" s="44">
        <f>+Dulieu!X61</f>
        <v>37641.4</v>
      </c>
      <c r="Y103" s="44">
        <f>+Dulieu!Y61</f>
        <v>94039.6</v>
      </c>
    </row>
    <row r="104" spans="1:25" s="32" customFormat="1" ht="12" x14ac:dyDescent="0.25">
      <c r="A104" s="42" t="s">
        <v>54</v>
      </c>
      <c r="B104" s="52" t="s">
        <v>55</v>
      </c>
      <c r="C104" s="44">
        <f t="shared" si="32"/>
        <v>1897202.775074</v>
      </c>
      <c r="D104" s="44">
        <f>+Dulieu!D62</f>
        <v>212534.53667599999</v>
      </c>
      <c r="E104" s="44">
        <f>+Dulieu!E62</f>
        <v>132684.02809499999</v>
      </c>
      <c r="F104" s="44">
        <f>+Dulieu!F62</f>
        <v>156218.578992</v>
      </c>
      <c r="G104" s="44">
        <f>+Dulieu!G62</f>
        <v>155216.226971</v>
      </c>
      <c r="H104" s="44">
        <f>+Dulieu!H62</f>
        <v>116572.48222400001</v>
      </c>
      <c r="I104" s="44">
        <f>+Dulieu!I62</f>
        <v>96837.888980999996</v>
      </c>
      <c r="J104" s="44">
        <f>+Dulieu!J62</f>
        <v>125854.544987</v>
      </c>
      <c r="K104" s="44">
        <f>+Dulieu!K62</f>
        <v>118951.21000599999</v>
      </c>
      <c r="L104" s="44">
        <f>+Dulieu!L62</f>
        <v>125766.966336</v>
      </c>
      <c r="M104" s="44">
        <f>+Dulieu!M62</f>
        <v>104324.26287399999</v>
      </c>
      <c r="N104" s="44">
        <f>+Dulieu!N62</f>
        <v>118029.038044</v>
      </c>
      <c r="O104" s="44">
        <f>+Dulieu!O62</f>
        <v>60793</v>
      </c>
      <c r="P104" s="44">
        <f>+Dulieu!P62</f>
        <v>25969.4</v>
      </c>
      <c r="Q104" s="44">
        <f>+Dulieu!Q62</f>
        <v>82022.446710000004</v>
      </c>
      <c r="R104" s="44">
        <f>+Dulieu!R62</f>
        <v>60800.387105000002</v>
      </c>
      <c r="S104" s="44">
        <f>+Dulieu!S62</f>
        <v>26790.708598000001</v>
      </c>
      <c r="T104" s="44">
        <f>+Dulieu!T62</f>
        <v>35690.9</v>
      </c>
      <c r="U104" s="44">
        <f>+Dulieu!U62</f>
        <v>49369.1</v>
      </c>
      <c r="V104" s="44">
        <f>+Dulieu!V62</f>
        <v>21871.200000000001</v>
      </c>
      <c r="W104" s="44">
        <f>+Dulieu!W62</f>
        <v>19713.5</v>
      </c>
      <c r="X104" s="44">
        <f>+Dulieu!X62</f>
        <v>21664.95234</v>
      </c>
      <c r="Y104" s="44">
        <f>+Dulieu!Y62</f>
        <v>29527.416134999999</v>
      </c>
    </row>
    <row r="105" spans="1:25" s="32" customFormat="1" ht="12" x14ac:dyDescent="0.25">
      <c r="A105" s="42"/>
      <c r="B105" s="52" t="s">
        <v>56</v>
      </c>
      <c r="C105" s="44">
        <f t="shared" si="32"/>
        <v>4402.7</v>
      </c>
      <c r="D105" s="44">
        <f>+Dulieu!D63</f>
        <v>0</v>
      </c>
      <c r="E105" s="44">
        <f>+Dulieu!E63</f>
        <v>3157</v>
      </c>
      <c r="F105" s="44">
        <f>+Dulieu!F63</f>
        <v>0</v>
      </c>
      <c r="G105" s="44">
        <f>+Dulieu!G63</f>
        <v>215</v>
      </c>
      <c r="H105" s="44">
        <f>+Dulieu!H63</f>
        <v>254</v>
      </c>
      <c r="I105" s="44">
        <f>+Dulieu!I63</f>
        <v>420</v>
      </c>
      <c r="J105" s="44">
        <f>+Dulieu!J63</f>
        <v>37.5</v>
      </c>
      <c r="K105" s="44">
        <f>+Dulieu!K63</f>
        <v>0</v>
      </c>
      <c r="L105" s="44">
        <f>+Dulieu!L63</f>
        <v>0</v>
      </c>
      <c r="M105" s="44">
        <f>+Dulieu!M63</f>
        <v>319.2</v>
      </c>
      <c r="N105" s="44">
        <f>+Dulieu!N63</f>
        <v>0</v>
      </c>
      <c r="O105" s="44">
        <f>+Dulieu!O63</f>
        <v>0</v>
      </c>
      <c r="P105" s="44">
        <f>+Dulieu!P63</f>
        <v>0</v>
      </c>
      <c r="Q105" s="44">
        <f>+Dulieu!Q63</f>
        <v>0</v>
      </c>
      <c r="R105" s="44">
        <f>+Dulieu!R63</f>
        <v>0</v>
      </c>
      <c r="S105" s="44">
        <f>+Dulieu!S63</f>
        <v>0</v>
      </c>
      <c r="T105" s="44">
        <f>+Dulieu!T63</f>
        <v>0</v>
      </c>
      <c r="U105" s="44">
        <f>+Dulieu!U63</f>
        <v>0</v>
      </c>
      <c r="V105" s="44">
        <f>+Dulieu!V63</f>
        <v>0</v>
      </c>
      <c r="W105" s="44">
        <f>+Dulieu!W63</f>
        <v>0</v>
      </c>
      <c r="X105" s="44">
        <f>+Dulieu!X63</f>
        <v>0</v>
      </c>
      <c r="Y105" s="44">
        <f>+Dulieu!Y63</f>
        <v>0</v>
      </c>
    </row>
    <row r="106" spans="1:25" s="32" customFormat="1" ht="12" x14ac:dyDescent="0.25">
      <c r="A106" s="42"/>
      <c r="B106" s="52" t="s">
        <v>89</v>
      </c>
      <c r="C106" s="44">
        <f t="shared" si="32"/>
        <v>1892800.0750740003</v>
      </c>
      <c r="D106" s="44">
        <f>+Dulieu!D64</f>
        <v>212534.53667599999</v>
      </c>
      <c r="E106" s="44">
        <f>+Dulieu!E64</f>
        <v>129527.028095</v>
      </c>
      <c r="F106" s="44">
        <f>+Dulieu!F64</f>
        <v>156218.578992</v>
      </c>
      <c r="G106" s="44">
        <f>+Dulieu!G64</f>
        <v>155001.226971</v>
      </c>
      <c r="H106" s="44">
        <f>+Dulieu!H64</f>
        <v>116318.48222400001</v>
      </c>
      <c r="I106" s="44">
        <f>+Dulieu!I64</f>
        <v>96417.888980999996</v>
      </c>
      <c r="J106" s="44">
        <f>+Dulieu!J64</f>
        <v>125817.044987</v>
      </c>
      <c r="K106" s="44">
        <f>+Dulieu!K64</f>
        <v>118951.21000599999</v>
      </c>
      <c r="L106" s="44">
        <f>+Dulieu!L64</f>
        <v>125766.966336</v>
      </c>
      <c r="M106" s="44">
        <f>+Dulieu!M64</f>
        <v>104005.062874</v>
      </c>
      <c r="N106" s="44">
        <f>+Dulieu!N64</f>
        <v>118029.038044</v>
      </c>
      <c r="O106" s="44">
        <f>+Dulieu!O64</f>
        <v>60793</v>
      </c>
      <c r="P106" s="44">
        <f>+Dulieu!P64</f>
        <v>25969.4</v>
      </c>
      <c r="Q106" s="44">
        <f>+Dulieu!Q64</f>
        <v>82022.446710000004</v>
      </c>
      <c r="R106" s="44">
        <f>+Dulieu!R64</f>
        <v>60800.387105000002</v>
      </c>
      <c r="S106" s="44">
        <f>+Dulieu!S64</f>
        <v>26790.708598000001</v>
      </c>
      <c r="T106" s="44">
        <f>+Dulieu!T64</f>
        <v>35690.9</v>
      </c>
      <c r="U106" s="44">
        <f>+Dulieu!U64</f>
        <v>49369.1</v>
      </c>
      <c r="V106" s="44">
        <f>+Dulieu!V64</f>
        <v>21871.200000000001</v>
      </c>
      <c r="W106" s="44">
        <f>+Dulieu!W64</f>
        <v>19713.5</v>
      </c>
      <c r="X106" s="44">
        <f>+Dulieu!X64</f>
        <v>21664.95234</v>
      </c>
      <c r="Y106" s="44">
        <f>+Dulieu!Y64</f>
        <v>29527.416134999999</v>
      </c>
    </row>
    <row r="107" spans="1:25" s="37" customFormat="1" ht="12" x14ac:dyDescent="0.25">
      <c r="A107" s="34">
        <v>7</v>
      </c>
      <c r="B107" s="53" t="s">
        <v>57</v>
      </c>
      <c r="C107" s="36">
        <f t="shared" si="32"/>
        <v>89.2</v>
      </c>
      <c r="D107" s="36">
        <f>+Dulieu!D65</f>
        <v>0</v>
      </c>
      <c r="E107" s="36">
        <f>+Dulieu!E65</f>
        <v>0</v>
      </c>
      <c r="F107" s="36">
        <f>+Dulieu!F65</f>
        <v>0</v>
      </c>
      <c r="G107" s="36">
        <f>+Dulieu!G65</f>
        <v>0</v>
      </c>
      <c r="H107" s="36">
        <f>+Dulieu!H65</f>
        <v>8</v>
      </c>
      <c r="I107" s="36">
        <f>+Dulieu!I65</f>
        <v>16</v>
      </c>
      <c r="J107" s="36">
        <f>+Dulieu!J65</f>
        <v>0</v>
      </c>
      <c r="K107" s="36">
        <f>+Dulieu!K65</f>
        <v>0</v>
      </c>
      <c r="L107" s="36">
        <f>+Dulieu!L65</f>
        <v>0</v>
      </c>
      <c r="M107" s="36">
        <f>+Dulieu!M65</f>
        <v>0</v>
      </c>
      <c r="N107" s="36">
        <f>+Dulieu!N65</f>
        <v>0</v>
      </c>
      <c r="O107" s="36">
        <f>+Dulieu!O65</f>
        <v>0</v>
      </c>
      <c r="P107" s="36">
        <f>+Dulieu!P65</f>
        <v>17.2</v>
      </c>
      <c r="Q107" s="36">
        <f>+Dulieu!Q65</f>
        <v>0</v>
      </c>
      <c r="R107" s="36">
        <f>+Dulieu!R65</f>
        <v>0</v>
      </c>
      <c r="S107" s="36">
        <f>+Dulieu!S65</f>
        <v>8</v>
      </c>
      <c r="T107" s="36">
        <f>+Dulieu!T65</f>
        <v>0</v>
      </c>
      <c r="U107" s="36">
        <f>+Dulieu!U65</f>
        <v>0</v>
      </c>
      <c r="V107" s="36">
        <f>+Dulieu!V65</f>
        <v>0</v>
      </c>
      <c r="W107" s="36">
        <f>+Dulieu!W65</f>
        <v>16</v>
      </c>
      <c r="X107" s="36">
        <f>+Dulieu!X65</f>
        <v>0</v>
      </c>
      <c r="Y107" s="36">
        <f>+Dulieu!Y65</f>
        <v>24</v>
      </c>
    </row>
    <row r="108" spans="1:25" s="41" customFormat="1" ht="12" x14ac:dyDescent="0.25">
      <c r="A108" s="38"/>
      <c r="B108" s="39" t="s">
        <v>91</v>
      </c>
      <c r="C108" s="40">
        <f t="shared" si="32"/>
        <v>-8.5</v>
      </c>
      <c r="D108" s="40">
        <f>+D107-VLOOKUP(Dulieu!$C$65&amp;"_PRE_M",Dulieu!$C$88:$N$400,2,FALSE)</f>
        <v>0</v>
      </c>
      <c r="E108" s="40">
        <f>+E107-VLOOKUP(Dulieu!$C$65&amp;"_PRE_M",Dulieu!$C$88:$N$400,3,FALSE)</f>
        <v>0</v>
      </c>
      <c r="F108" s="40">
        <f>+F107-VLOOKUP(Dulieu!$C$65&amp;"_PRE_M",Dulieu!$C$88:$N$400,4,FALSE)</f>
        <v>0</v>
      </c>
      <c r="G108" s="40">
        <f>+G107-VLOOKUP(Dulieu!$C$65&amp;"_PRE_M",Dulieu!$C$88:$N$400,5,FALSE)</f>
        <v>0</v>
      </c>
      <c r="H108" s="40">
        <f>+H107-VLOOKUP(Dulieu!$C$65&amp;"_PRE_M",Dulieu!$C$88:$N$400,6,FALSE)</f>
        <v>0</v>
      </c>
      <c r="I108" s="40">
        <f>+I107-VLOOKUP(Dulieu!$C$65&amp;"_PRE_M",Dulieu!$C$88:$N$400,7,FALSE)</f>
        <v>0</v>
      </c>
      <c r="J108" s="40">
        <f>+J107-VLOOKUP(Dulieu!$C$65&amp;"_PRE_M",Dulieu!$C$88:$N$400,8,FALSE)</f>
        <v>0</v>
      </c>
      <c r="K108" s="40">
        <f>+K107-VLOOKUP(Dulieu!$C$65&amp;"_PRE_M",Dulieu!$C$88:$N$400,9,FALSE)</f>
        <v>0</v>
      </c>
      <c r="L108" s="40">
        <f>+L107-VLOOKUP(Dulieu!$C$65&amp;"_PRE_M",Dulieu!$C$88:$N$400,10,FALSE)</f>
        <v>0</v>
      </c>
      <c r="M108" s="40">
        <f>+M107-VLOOKUP(Dulieu!$C$65&amp;"_PRE_M",Dulieu!$C$88:$N$400,11,FALSE)</f>
        <v>0</v>
      </c>
      <c r="N108" s="40">
        <f>+N107-VLOOKUP(Dulieu!$C$65&amp;"_PRE_M",Dulieu!$C$88:$N$400,12,FALSE)</f>
        <v>0</v>
      </c>
      <c r="O108" s="40">
        <f>+O107-VLOOKUP(Dulieu!$C$65&amp;"_PRE_M",Dulieu!$C$88:$Y$400,13,FALSE)</f>
        <v>0</v>
      </c>
      <c r="P108" s="40">
        <f>+P107-VLOOKUP(Dulieu!$C$65&amp;"_PRE_M",Dulieu!$C$88:$Y$400,14,FALSE)</f>
        <v>-0.5</v>
      </c>
      <c r="Q108" s="40">
        <f>+Q107-VLOOKUP(Dulieu!$C$65&amp;"_PRE_M",Dulieu!$C$88:$Y$400,15,FALSE)</f>
        <v>0</v>
      </c>
      <c r="R108" s="40">
        <f>+R107-VLOOKUP(Dulieu!$C$65&amp;"_PRE_M",Dulieu!$C$88:$Y$400,16,FALSE)</f>
        <v>0</v>
      </c>
      <c r="S108" s="40">
        <f>+S107-VLOOKUP(Dulieu!$C$65&amp;"_PRE_M",Dulieu!$C$88:$Y$400,17,FALSE)</f>
        <v>0</v>
      </c>
      <c r="T108" s="40">
        <f>+T107-VLOOKUP(Dulieu!$C$65&amp;"_PRE_M",Dulieu!$C$88:$Y$400,18,FALSE)</f>
        <v>0</v>
      </c>
      <c r="U108" s="40">
        <f>+U107-VLOOKUP(Dulieu!$C$65&amp;"_PRE_M",Dulieu!$C$88:$Y$400,19,FALSE)</f>
        <v>0</v>
      </c>
      <c r="V108" s="40">
        <f>+V107-VLOOKUP(Dulieu!$C$65&amp;"_PRE_M",Dulieu!$C$88:$Y$400,20,FALSE)</f>
        <v>0</v>
      </c>
      <c r="W108" s="40">
        <f>+W107-VLOOKUP(Dulieu!$C$65&amp;"_PRE_M",Dulieu!$C$88:$Y$400,21,FALSE)</f>
        <v>0</v>
      </c>
      <c r="X108" s="40">
        <f>+X107-VLOOKUP(Dulieu!$C$65&amp;"_PRE_M",Dulieu!$C$88:$Y$400,22,FALSE)</f>
        <v>0</v>
      </c>
      <c r="Y108" s="40">
        <f>+Y107-VLOOKUP(Dulieu!$C$65&amp;"_PRE_M",Dulieu!$C$88:$Y$400,23,FALSE)</f>
        <v>-8</v>
      </c>
    </row>
    <row r="109" spans="1:25" s="41" customFormat="1" ht="12" x14ac:dyDescent="0.25">
      <c r="A109" s="38"/>
      <c r="B109" s="39" t="s">
        <v>92</v>
      </c>
      <c r="C109" s="40">
        <f t="shared" si="32"/>
        <v>-17.5</v>
      </c>
      <c r="D109" s="40">
        <f>+D107-VLOOKUP(Dulieu!$C$65&amp;"_PRE_Y",Dulieu!$C$88:$N$400,2,FALSE)</f>
        <v>0</v>
      </c>
      <c r="E109" s="40">
        <f>+E107-VLOOKUP(Dulieu!$C$65&amp;"_PRE_Y",Dulieu!$C$88:$N$400,3,FALSE)</f>
        <v>0</v>
      </c>
      <c r="F109" s="40">
        <f>+F107-VLOOKUP(Dulieu!$C$65&amp;"_PRE_Y",Dulieu!$C$88:$N$400,4,FALSE)</f>
        <v>0</v>
      </c>
      <c r="G109" s="40">
        <f>+G107-VLOOKUP(Dulieu!$C$65&amp;"_PRE_Y",Dulieu!$C$88:$N$400,5,FALSE)</f>
        <v>0</v>
      </c>
      <c r="H109" s="40">
        <f>+H107-VLOOKUP(Dulieu!$C$65&amp;"_PRE_Y",Dulieu!$C$88:$N$400,6,FALSE)</f>
        <v>0</v>
      </c>
      <c r="I109" s="40">
        <f>+I107-VLOOKUP(Dulieu!$C$65&amp;"_PRE_Y",Dulieu!$C$88:$N$400,7,FALSE)</f>
        <v>0</v>
      </c>
      <c r="J109" s="40">
        <f>+J107-VLOOKUP(Dulieu!$C$65&amp;"_PRE_Y",Dulieu!$C$88:$N$400,8,FALSE)</f>
        <v>0</v>
      </c>
      <c r="K109" s="40">
        <f>+K107-VLOOKUP(Dulieu!$C$65&amp;"_PRE_Y",Dulieu!$C$88:$N$400,9,FALSE)</f>
        <v>0</v>
      </c>
      <c r="L109" s="40">
        <f>+L107-VLOOKUP(Dulieu!$C$65&amp;"_PRE_Y",Dulieu!$C$88:$N$400,10,FALSE)</f>
        <v>0</v>
      </c>
      <c r="M109" s="40">
        <f>+M107-VLOOKUP(Dulieu!$C$65&amp;"_PRE_Y",Dulieu!$C$88:$N$400,11,FALSE)</f>
        <v>0</v>
      </c>
      <c r="N109" s="40">
        <f>+N107-VLOOKUP(Dulieu!$C$65&amp;"_PRE_Y",Dulieu!$C$88:$N$400,12,FALSE)</f>
        <v>0</v>
      </c>
      <c r="O109" s="40">
        <f>+O107-VLOOKUP(Dulieu!$C$65&amp;"_PRE_Y",Dulieu!$C$88:$Y$400,13,FALSE)</f>
        <v>0</v>
      </c>
      <c r="P109" s="40">
        <f>+P107-VLOOKUP(Dulieu!$C$65&amp;"_PRE_Y",Dulieu!$C$88:$Y$400,14,FALSE)</f>
        <v>-1.5</v>
      </c>
      <c r="Q109" s="40">
        <f>+Q107-VLOOKUP(Dulieu!$C$65&amp;"_PRE_Y",Dulieu!$C$88:$Y$400,15,FALSE)</f>
        <v>0</v>
      </c>
      <c r="R109" s="40">
        <f>+R107-VLOOKUP(Dulieu!$C$65&amp;"_PRE_Y",Dulieu!$C$88:$Y$400,16,FALSE)</f>
        <v>0</v>
      </c>
      <c r="S109" s="40">
        <f>+S107-VLOOKUP(Dulieu!$C$65&amp;"_PRE_Y",Dulieu!$C$88:$Y$400,17,FALSE)</f>
        <v>0</v>
      </c>
      <c r="T109" s="40">
        <f>+T107-VLOOKUP(Dulieu!$C$65&amp;"_PRE_Y",Dulieu!$C$88:$Y$400,18,FALSE)</f>
        <v>0</v>
      </c>
      <c r="U109" s="40">
        <f>+U107-VLOOKUP(Dulieu!$C$65&amp;"_PRE_Y",Dulieu!$C$88:$Y$400,19,FALSE)</f>
        <v>0</v>
      </c>
      <c r="V109" s="40">
        <f>+V107-VLOOKUP(Dulieu!$C$65&amp;"_PRE_Y",Dulieu!$C$88:$Y$400,20,FALSE)</f>
        <v>-8</v>
      </c>
      <c r="W109" s="40">
        <f>+W107-VLOOKUP(Dulieu!$C$65&amp;"_PRE_Y",Dulieu!$C$88:$Y$400,21,FALSE)</f>
        <v>0</v>
      </c>
      <c r="X109" s="40">
        <f>+X107-VLOOKUP(Dulieu!$C$65&amp;"_PRE_Y",Dulieu!$C$88:$Y$400,22,FALSE)</f>
        <v>0</v>
      </c>
      <c r="Y109" s="40">
        <f>+Y107-VLOOKUP(Dulieu!$C$65&amp;"_PRE_Y",Dulieu!$C$88:$Y$400,23,FALSE)</f>
        <v>-8</v>
      </c>
    </row>
    <row r="110" spans="1:25" s="41" customFormat="1" ht="12" x14ac:dyDescent="0.25">
      <c r="A110" s="38"/>
      <c r="B110" s="43" t="s">
        <v>42</v>
      </c>
      <c r="C110" s="40">
        <f>SUM(D110:Y110)</f>
        <v>81.2</v>
      </c>
      <c r="D110" s="64">
        <f>+IFERROR(VLOOKUP(LEFT(Dulieu!$C$44,10)&amp;"NV_070701",Dulieu!$C$88:$Y$400,2,FALSE),0)</f>
        <v>0</v>
      </c>
      <c r="E110" s="64">
        <f>+IFERROR(VLOOKUP(LEFT(Dulieu!$C$44,10)&amp;"NV_070701",Dulieu!$C$88:$Y$400,3,FALSE),0)</f>
        <v>0</v>
      </c>
      <c r="F110" s="64">
        <f>+IFERROR(VLOOKUP(LEFT(Dulieu!$C$44,10)&amp;"NV_070701",Dulieu!$C$88:$Y$400,4,FALSE),0)</f>
        <v>0</v>
      </c>
      <c r="G110" s="64">
        <f>+IFERROR(VLOOKUP(LEFT(Dulieu!$C$44,10)&amp;"NV_070701",Dulieu!$C$88:$Y$400,5,FALSE),0)</f>
        <v>0</v>
      </c>
      <c r="H110" s="64">
        <f>+IFERROR(VLOOKUP(LEFT(Dulieu!$C$44,10)&amp;"NV_070701",Dulieu!$C$88:$Y$400,6,FALSE),0)</f>
        <v>8</v>
      </c>
      <c r="I110" s="64">
        <f>+IFERROR(VLOOKUP(LEFT(Dulieu!$C$44,10)&amp;"NV_070701",Dulieu!$C$88:$Y$400,7,FALSE),0)</f>
        <v>16</v>
      </c>
      <c r="J110" s="64">
        <f>+IFERROR(VLOOKUP(LEFT(Dulieu!$C$44,10)&amp;"NV_070701",Dulieu!$C$88:$Y$400,8,FALSE),0)</f>
        <v>0</v>
      </c>
      <c r="K110" s="64">
        <f>+IFERROR(VLOOKUP(LEFT(Dulieu!$C$44,10)&amp;"NV_070701",Dulieu!$C$88:$Y$400,9,FALSE),0)</f>
        <v>0</v>
      </c>
      <c r="L110" s="64">
        <f>+IFERROR(VLOOKUP(LEFT(Dulieu!$C$44,10)&amp;"NV_070701",Dulieu!$C$88:$Y$400,10,FALSE),0)</f>
        <v>0</v>
      </c>
      <c r="M110" s="64">
        <f>+IFERROR(VLOOKUP(LEFT(Dulieu!$C$44,10)&amp;"NV_070701",Dulieu!$C$88:$Y$400,11,FALSE),0)</f>
        <v>0</v>
      </c>
      <c r="N110" s="64">
        <f>+IFERROR(VLOOKUP(LEFT(Dulieu!$C$44,10)&amp;"NV_070701",Dulieu!$C$88:$Y$400,12,FALSE),0)</f>
        <v>0</v>
      </c>
      <c r="O110" s="64">
        <f>+IFERROR(VLOOKUP(LEFT(Dulieu!$C$44,10)&amp;"NV_070701",Dulieu!$C$88:$Y$400,13,FALSE),0)</f>
        <v>0</v>
      </c>
      <c r="P110" s="64">
        <f>+IFERROR(VLOOKUP(LEFT(Dulieu!$C$44,10)&amp;"NV_070701",Dulieu!$C$88:$Y$400,14,FALSE),0)</f>
        <v>17.2</v>
      </c>
      <c r="Q110" s="64">
        <f>+IFERROR(VLOOKUP(LEFT(Dulieu!$C$44,10)&amp;"NV_070701",Dulieu!$C$88:$Y$400,15,FALSE),0)</f>
        <v>0</v>
      </c>
      <c r="R110" s="64">
        <f>+IFERROR(VLOOKUP(LEFT(Dulieu!$C$44,10)&amp;"NV_070701",Dulieu!$C$88:$Y$400,16,FALSE),0)</f>
        <v>0</v>
      </c>
      <c r="S110" s="64">
        <f>+IFERROR(VLOOKUP(LEFT(Dulieu!$C$44,10)&amp;"NV_070701",Dulieu!$C$88:$Y$400,17,FALSE),0)</f>
        <v>8</v>
      </c>
      <c r="T110" s="64">
        <f>+IFERROR(VLOOKUP(LEFT(Dulieu!$C$44,10)&amp;"NV_070701",Dulieu!$C$88:$Y$400,18,FALSE),0)</f>
        <v>0</v>
      </c>
      <c r="U110" s="64">
        <f>+IFERROR(VLOOKUP(LEFT(Dulieu!$C$44,10)&amp;"NV_070701",Dulieu!$C$88:$Y$400,19,FALSE),0)</f>
        <v>0</v>
      </c>
      <c r="V110" s="64">
        <f>+IFERROR(VLOOKUP(LEFT(Dulieu!$C$44,10)&amp;"NV_070701",Dulieu!$C$88:$Y$400,20,FALSE),0)</f>
        <v>0</v>
      </c>
      <c r="W110" s="64">
        <f>+IFERROR(VLOOKUP(LEFT(Dulieu!$C$44,10)&amp;"NV_070701",Dulieu!$C$88:$Y$400,21,FALSE),0)</f>
        <v>8</v>
      </c>
      <c r="X110" s="64">
        <f>+IFERROR(VLOOKUP(LEFT(Dulieu!$C$44,10)&amp;"NV_070701",Dulieu!$C$88:$Y$400,22,FALSE),0)</f>
        <v>0</v>
      </c>
      <c r="Y110" s="64">
        <f>+IFERROR(VLOOKUP(LEFT(Dulieu!$C$44,10)&amp;"NV_070701",Dulieu!$C$88:$Y$400,23,FALSE),0)</f>
        <v>24</v>
      </c>
    </row>
    <row r="111" spans="1:25" s="41" customFormat="1" ht="12" x14ac:dyDescent="0.25">
      <c r="A111" s="38"/>
      <c r="B111" s="43" t="s">
        <v>43</v>
      </c>
      <c r="C111" s="40">
        <f>SUM(D111:Y111)</f>
        <v>8</v>
      </c>
      <c r="D111" s="64">
        <f>+D107-D110</f>
        <v>0</v>
      </c>
      <c r="E111" s="64">
        <f t="shared" ref="E111:Y111" si="33">+E107-E110</f>
        <v>0</v>
      </c>
      <c r="F111" s="64">
        <f t="shared" si="33"/>
        <v>0</v>
      </c>
      <c r="G111" s="64">
        <f t="shared" si="33"/>
        <v>0</v>
      </c>
      <c r="H111" s="64">
        <f t="shared" si="33"/>
        <v>0</v>
      </c>
      <c r="I111" s="64">
        <f t="shared" si="33"/>
        <v>0</v>
      </c>
      <c r="J111" s="64">
        <f t="shared" si="33"/>
        <v>0</v>
      </c>
      <c r="K111" s="64">
        <f t="shared" si="33"/>
        <v>0</v>
      </c>
      <c r="L111" s="64">
        <f t="shared" si="33"/>
        <v>0</v>
      </c>
      <c r="M111" s="64">
        <f t="shared" si="33"/>
        <v>0</v>
      </c>
      <c r="N111" s="64">
        <f t="shared" si="33"/>
        <v>0</v>
      </c>
      <c r="O111" s="64">
        <f t="shared" si="33"/>
        <v>0</v>
      </c>
      <c r="P111" s="64">
        <f t="shared" si="33"/>
        <v>0</v>
      </c>
      <c r="Q111" s="64">
        <f t="shared" si="33"/>
        <v>0</v>
      </c>
      <c r="R111" s="64">
        <f t="shared" si="33"/>
        <v>0</v>
      </c>
      <c r="S111" s="64">
        <f t="shared" si="33"/>
        <v>0</v>
      </c>
      <c r="T111" s="64">
        <f t="shared" si="33"/>
        <v>0</v>
      </c>
      <c r="U111" s="64">
        <f t="shared" si="33"/>
        <v>0</v>
      </c>
      <c r="V111" s="64">
        <f t="shared" si="33"/>
        <v>0</v>
      </c>
      <c r="W111" s="64">
        <f t="shared" si="33"/>
        <v>8</v>
      </c>
      <c r="X111" s="64">
        <f t="shared" si="33"/>
        <v>0</v>
      </c>
      <c r="Y111" s="64">
        <f t="shared" si="33"/>
        <v>0</v>
      </c>
    </row>
    <row r="112" spans="1:25" s="37" customFormat="1" ht="12" x14ac:dyDescent="0.25">
      <c r="A112" s="34">
        <v>8</v>
      </c>
      <c r="B112" s="53" t="s">
        <v>58</v>
      </c>
      <c r="C112" s="36">
        <f t="shared" si="32"/>
        <v>10672.17</v>
      </c>
      <c r="D112" s="36">
        <f>+Dulieu!D66</f>
        <v>0</v>
      </c>
      <c r="E112" s="36">
        <f>+Dulieu!E66</f>
        <v>0</v>
      </c>
      <c r="F112" s="36">
        <f>+Dulieu!F66</f>
        <v>0</v>
      </c>
      <c r="G112" s="36">
        <f>+Dulieu!G66</f>
        <v>0</v>
      </c>
      <c r="H112" s="36">
        <f>+Dulieu!H66</f>
        <v>0</v>
      </c>
      <c r="I112" s="36">
        <f>+Dulieu!I66</f>
        <v>69.8</v>
      </c>
      <c r="J112" s="36">
        <f>+Dulieu!J66</f>
        <v>0</v>
      </c>
      <c r="K112" s="36">
        <f>+Dulieu!K66</f>
        <v>96.9</v>
      </c>
      <c r="L112" s="36">
        <f>+Dulieu!L66</f>
        <v>0</v>
      </c>
      <c r="M112" s="36">
        <f>+Dulieu!M66</f>
        <v>25</v>
      </c>
      <c r="N112" s="36">
        <f>+Dulieu!N66</f>
        <v>0</v>
      </c>
      <c r="O112" s="36">
        <f>+Dulieu!O66</f>
        <v>0</v>
      </c>
      <c r="P112" s="36">
        <f>+Dulieu!P66</f>
        <v>2856.6</v>
      </c>
      <c r="Q112" s="36">
        <f>+Dulieu!Q66</f>
        <v>0</v>
      </c>
      <c r="R112" s="36">
        <f>+Dulieu!R66</f>
        <v>0</v>
      </c>
      <c r="S112" s="36">
        <f>+Dulieu!S66</f>
        <v>1328.9</v>
      </c>
      <c r="T112" s="36">
        <f>+Dulieu!T66</f>
        <v>576</v>
      </c>
      <c r="U112" s="36">
        <f>+Dulieu!U66</f>
        <v>0</v>
      </c>
      <c r="V112" s="36">
        <f>+Dulieu!V66</f>
        <v>936</v>
      </c>
      <c r="W112" s="36">
        <f>+Dulieu!W66</f>
        <v>2243.17</v>
      </c>
      <c r="X112" s="36">
        <f>+Dulieu!X66</f>
        <v>2197.3000000000002</v>
      </c>
      <c r="Y112" s="36">
        <f>+Dulieu!Y66</f>
        <v>342.5</v>
      </c>
    </row>
    <row r="113" spans="1:25" s="41" customFormat="1" ht="12" x14ac:dyDescent="0.25">
      <c r="A113" s="38"/>
      <c r="B113" s="39" t="s">
        <v>91</v>
      </c>
      <c r="C113" s="40">
        <f t="shared" si="32"/>
        <v>-123.40000000000009</v>
      </c>
      <c r="D113" s="40">
        <f>+D112-VLOOKUP(Dulieu!$C$66&amp;"_PRE_M",Dulieu!$C$88:$N$400,2,FALSE)</f>
        <v>0</v>
      </c>
      <c r="E113" s="40">
        <f>+E112-VLOOKUP(Dulieu!$C$66&amp;"_PRE_M",Dulieu!$C$88:$N$400,3,FALSE)</f>
        <v>0</v>
      </c>
      <c r="F113" s="40">
        <f>+F112-VLOOKUP(Dulieu!$C$66&amp;"_PRE_M",Dulieu!$C$88:$N$400,4,FALSE)</f>
        <v>0</v>
      </c>
      <c r="G113" s="40">
        <f>+G112-VLOOKUP(Dulieu!$C$66&amp;"_PRE_M",Dulieu!$C$88:$N$400,5,FALSE)</f>
        <v>0</v>
      </c>
      <c r="H113" s="40">
        <f>+H112-VLOOKUP(Dulieu!$C$66&amp;"_PRE_M",Dulieu!$C$88:$N$400,6,FALSE)</f>
        <v>0</v>
      </c>
      <c r="I113" s="40">
        <f>+I112-VLOOKUP(Dulieu!$C$66&amp;"_PRE_M",Dulieu!$C$88:$N$400,7,FALSE)</f>
        <v>0</v>
      </c>
      <c r="J113" s="40">
        <f>+J112-VLOOKUP(Dulieu!$C$66&amp;"_PRE_M",Dulieu!$C$88:$N$400,8,FALSE)</f>
        <v>0</v>
      </c>
      <c r="K113" s="40">
        <f>+K112-VLOOKUP(Dulieu!$C$66&amp;"_PRE_M",Dulieu!$C$88:$N$400,9,FALSE)</f>
        <v>0</v>
      </c>
      <c r="L113" s="40">
        <f>+L112-VLOOKUP(Dulieu!$C$66&amp;"_PRE_M",Dulieu!$C$88:$N$400,10,FALSE)</f>
        <v>0</v>
      </c>
      <c r="M113" s="40">
        <f>+M112-VLOOKUP(Dulieu!$C$66&amp;"_PRE_M",Dulieu!$C$88:$N$400,11,FALSE)</f>
        <v>0</v>
      </c>
      <c r="N113" s="40">
        <f>+N112-VLOOKUP(Dulieu!$C$66&amp;"_PRE_M",Dulieu!$C$88:$N$400,12,FALSE)</f>
        <v>0</v>
      </c>
      <c r="O113" s="40">
        <f>+O112-VLOOKUP(Dulieu!$C$66&amp;"_PRE_M",Dulieu!$C$88:$Y$400,13,FALSE)</f>
        <v>0</v>
      </c>
      <c r="P113" s="40">
        <f>+P112-VLOOKUP(Dulieu!$C$66&amp;"_PRE_M",Dulieu!$C$88:$Y$400,14,FALSE)</f>
        <v>-50</v>
      </c>
      <c r="Q113" s="40">
        <f>+Q112-VLOOKUP(Dulieu!$C$66&amp;"_PRE_M",Dulieu!$C$88:$Y$400,15,FALSE)</f>
        <v>0</v>
      </c>
      <c r="R113" s="40">
        <f>+R112-VLOOKUP(Dulieu!$C$66&amp;"_PRE_M",Dulieu!$C$88:$Y$400,16,FALSE)</f>
        <v>0</v>
      </c>
      <c r="S113" s="40">
        <f>+S112-VLOOKUP(Dulieu!$C$66&amp;"_PRE_M",Dulieu!$C$88:$Y$400,17,FALSE)</f>
        <v>-5</v>
      </c>
      <c r="T113" s="40">
        <f>+T112-VLOOKUP(Dulieu!$C$66&amp;"_PRE_M",Dulieu!$C$88:$Y$400,18,FALSE)</f>
        <v>0</v>
      </c>
      <c r="U113" s="40">
        <f>+U112-VLOOKUP(Dulieu!$C$66&amp;"_PRE_M",Dulieu!$C$88:$Y$400,19,FALSE)</f>
        <v>0</v>
      </c>
      <c r="V113" s="40">
        <f>+V112-VLOOKUP(Dulieu!$C$66&amp;"_PRE_M",Dulieu!$C$88:$Y$400,20,FALSE)</f>
        <v>0</v>
      </c>
      <c r="W113" s="40">
        <f>+W112-VLOOKUP(Dulieu!$C$66&amp;"_PRE_M",Dulieu!$C$88:$Y$400,21,FALSE)</f>
        <v>-43.400000000000091</v>
      </c>
      <c r="X113" s="40">
        <f>+X112-VLOOKUP(Dulieu!$C$66&amp;"_PRE_M",Dulieu!$C$88:$Y$400,22,FALSE)</f>
        <v>-25</v>
      </c>
      <c r="Y113" s="40">
        <f>+Y112-VLOOKUP(Dulieu!$C$66&amp;"_PRE_M",Dulieu!$C$88:$Y$400,23,FALSE)</f>
        <v>0</v>
      </c>
    </row>
    <row r="114" spans="1:25" s="41" customFormat="1" ht="12" x14ac:dyDescent="0.25">
      <c r="A114" s="38"/>
      <c r="B114" s="39" t="s">
        <v>92</v>
      </c>
      <c r="C114" s="40">
        <f t="shared" si="32"/>
        <v>-266.5</v>
      </c>
      <c r="D114" s="40">
        <f>+D112-VLOOKUP(Dulieu!$C$66&amp;"_PRE_Y",Dulieu!$C$88:$N$400,2,FALSE)</f>
        <v>0</v>
      </c>
      <c r="E114" s="40">
        <f>+E112-VLOOKUP(Dulieu!$C$66&amp;"_PRE_Y",Dulieu!$C$88:$N$400,3,FALSE)</f>
        <v>0</v>
      </c>
      <c r="F114" s="40">
        <f>+F112-VLOOKUP(Dulieu!$C$66&amp;"_PRE_Y",Dulieu!$C$88:$N$400,4,FALSE)</f>
        <v>0</v>
      </c>
      <c r="G114" s="40">
        <f>+G112-VLOOKUP(Dulieu!$C$66&amp;"_PRE_Y",Dulieu!$C$88:$N$400,5,FALSE)</f>
        <v>0</v>
      </c>
      <c r="H114" s="40">
        <f>+H112-VLOOKUP(Dulieu!$C$66&amp;"_PRE_Y",Dulieu!$C$88:$N$400,6,FALSE)</f>
        <v>0</v>
      </c>
      <c r="I114" s="40">
        <f>+I112-VLOOKUP(Dulieu!$C$66&amp;"_PRE_Y",Dulieu!$C$88:$N$400,7,FALSE)</f>
        <v>0</v>
      </c>
      <c r="J114" s="40">
        <f>+J112-VLOOKUP(Dulieu!$C$66&amp;"_PRE_Y",Dulieu!$C$88:$N$400,8,FALSE)</f>
        <v>0</v>
      </c>
      <c r="K114" s="40">
        <f>+K112-VLOOKUP(Dulieu!$C$66&amp;"_PRE_Y",Dulieu!$C$88:$N$400,9,FALSE)</f>
        <v>-2.5</v>
      </c>
      <c r="L114" s="40">
        <f>+L112-VLOOKUP(Dulieu!$C$66&amp;"_PRE_Y",Dulieu!$C$88:$N$400,10,FALSE)</f>
        <v>0</v>
      </c>
      <c r="M114" s="40">
        <f>+M112-VLOOKUP(Dulieu!$C$66&amp;"_PRE_Y",Dulieu!$C$88:$N$400,11,FALSE)</f>
        <v>0</v>
      </c>
      <c r="N114" s="40">
        <f>+N112-VLOOKUP(Dulieu!$C$66&amp;"_PRE_Y",Dulieu!$C$88:$N$400,12,FALSE)</f>
        <v>0</v>
      </c>
      <c r="O114" s="40">
        <f>+O112-VLOOKUP(Dulieu!$C$66&amp;"_PRE_Y",Dulieu!$C$88:$Y$400,13,FALSE)</f>
        <v>0</v>
      </c>
      <c r="P114" s="40">
        <f>+P112-VLOOKUP(Dulieu!$C$66&amp;"_PRE_Y",Dulieu!$C$88:$Y$400,14,FALSE)</f>
        <v>-106</v>
      </c>
      <c r="Q114" s="40">
        <f>+Q112-VLOOKUP(Dulieu!$C$66&amp;"_PRE_Y",Dulieu!$C$88:$Y$400,15,FALSE)</f>
        <v>0</v>
      </c>
      <c r="R114" s="40">
        <f>+R112-VLOOKUP(Dulieu!$C$66&amp;"_PRE_Y",Dulieu!$C$88:$Y$400,16,FALSE)</f>
        <v>0</v>
      </c>
      <c r="S114" s="40">
        <f>+S112-VLOOKUP(Dulieu!$C$66&amp;"_PRE_Y",Dulieu!$C$88:$Y$400,17,FALSE)</f>
        <v>-5</v>
      </c>
      <c r="T114" s="40">
        <f>+T112-VLOOKUP(Dulieu!$C$66&amp;"_PRE_Y",Dulieu!$C$88:$Y$400,18,FALSE)</f>
        <v>0</v>
      </c>
      <c r="U114" s="40">
        <f>+U112-VLOOKUP(Dulieu!$C$66&amp;"_PRE_Y",Dulieu!$C$88:$Y$400,19,FALSE)</f>
        <v>0</v>
      </c>
      <c r="V114" s="40">
        <f>+V112-VLOOKUP(Dulieu!$C$66&amp;"_PRE_Y",Dulieu!$C$88:$Y$400,20,FALSE)</f>
        <v>0</v>
      </c>
      <c r="W114" s="40">
        <f>+W112-VLOOKUP(Dulieu!$C$66&amp;"_PRE_Y",Dulieu!$C$88:$Y$400,21,FALSE)</f>
        <v>-80.900000000000091</v>
      </c>
      <c r="X114" s="40">
        <f>+X112-VLOOKUP(Dulieu!$C$66&amp;"_PRE_Y",Dulieu!$C$88:$Y$400,22,FALSE)</f>
        <v>-72.099999999999909</v>
      </c>
      <c r="Y114" s="40">
        <f>+Y112-VLOOKUP(Dulieu!$C$66&amp;"_PRE_Y",Dulieu!$C$88:$Y$400,23,FALSE)</f>
        <v>0</v>
      </c>
    </row>
    <row r="115" spans="1:25" s="37" customFormat="1" ht="12" x14ac:dyDescent="0.25">
      <c r="A115" s="34">
        <v>9</v>
      </c>
      <c r="B115" s="53" t="s">
        <v>59</v>
      </c>
      <c r="C115" s="36">
        <f t="shared" si="32"/>
        <v>620993.37000000011</v>
      </c>
      <c r="D115" s="36">
        <f>+SUMIF(Dulieu!$C$8:$C$1000,LEFT(Dulieu!$C$67,12)&amp;"??",Dulieu!D8:D1000)</f>
        <v>138419.20000000001</v>
      </c>
      <c r="E115" s="36">
        <f>+SUMIF(Dulieu!$C$8:$C$1000,LEFT(Dulieu!$C$67,12)&amp;"??",Dulieu!E8:E1000)</f>
        <v>2704.8</v>
      </c>
      <c r="F115" s="36">
        <f>+SUMIF(Dulieu!$C$8:$C$1000,LEFT(Dulieu!$C$67,12)&amp;"??",Dulieu!F8:F1000)</f>
        <v>24639.940000000002</v>
      </c>
      <c r="G115" s="36">
        <f>+SUMIF(Dulieu!$C$8:$C$1000,LEFT(Dulieu!$C$67,12)&amp;"??",Dulieu!G8:G1000)</f>
        <v>166779.63</v>
      </c>
      <c r="H115" s="36">
        <f>+SUMIF(Dulieu!$C$8:$C$1000,LEFT(Dulieu!$C$67,12)&amp;"??",Dulieu!H8:H1000)</f>
        <v>16104.960000000001</v>
      </c>
      <c r="I115" s="36">
        <f>+SUMIF(Dulieu!$C$8:$C$1000,LEFT(Dulieu!$C$67,12)&amp;"??",Dulieu!I8:I1000)</f>
        <v>19506.7</v>
      </c>
      <c r="J115" s="36">
        <f>+SUMIF(Dulieu!$C$8:$C$1000,LEFT(Dulieu!$C$67,12)&amp;"??",Dulieu!J8:J1000)</f>
        <v>17949.8</v>
      </c>
      <c r="K115" s="36">
        <f>+SUMIF(Dulieu!$C$8:$C$1000,LEFT(Dulieu!$C$67,12)&amp;"??",Dulieu!K8:K1000)</f>
        <v>11509.18</v>
      </c>
      <c r="L115" s="36">
        <f>+SUMIF(Dulieu!$C$8:$C$1000,LEFT(Dulieu!$C$67,12)&amp;"??",Dulieu!L8:L1000)</f>
        <v>13289.400000000001</v>
      </c>
      <c r="M115" s="36">
        <f>+SUMIF(Dulieu!$C$8:$C$1000,LEFT(Dulieu!$C$67,12)&amp;"??",Dulieu!M8:M1000)</f>
        <v>11998.8</v>
      </c>
      <c r="N115" s="36">
        <f>+SUMIF(Dulieu!$C$8:$C$1000,LEFT(Dulieu!$C$67,12)&amp;"??",Dulieu!N8:N1000)</f>
        <v>23093.1</v>
      </c>
      <c r="O115" s="36">
        <f>+SUMIF(Dulieu!$C$8:$C$1000,LEFT(Dulieu!$C$67,12)&amp;"??",Dulieu!O8:O1000)</f>
        <v>2843.86</v>
      </c>
      <c r="P115" s="36">
        <f>+SUMIF(Dulieu!$C$8:$C$1000,LEFT(Dulieu!$C$67,12)&amp;"??",Dulieu!P8:P1000)</f>
        <v>1520.58</v>
      </c>
      <c r="Q115" s="36">
        <f>+SUMIF(Dulieu!$C$8:$C$1000,LEFT(Dulieu!$C$67,12)&amp;"??",Dulieu!Q8:Q1000)</f>
        <v>23522.559999999998</v>
      </c>
      <c r="R115" s="36">
        <f>+SUMIF(Dulieu!$C$8:$C$1000,LEFT(Dulieu!$C$67,12)&amp;"??",Dulieu!R8:R1000)</f>
        <v>8021.94</v>
      </c>
      <c r="S115" s="36">
        <f>+SUMIF(Dulieu!$C$8:$C$1000,LEFT(Dulieu!$C$67,12)&amp;"??",Dulieu!S8:S1000)</f>
        <v>12364.29</v>
      </c>
      <c r="T115" s="36">
        <f>+SUMIF(Dulieu!$C$8:$C$1000,LEFT(Dulieu!$C$67,12)&amp;"??",Dulieu!T8:T1000)</f>
        <v>32866.06</v>
      </c>
      <c r="U115" s="36">
        <f>+SUMIF(Dulieu!$C$8:$C$1000,LEFT(Dulieu!$C$67,12)&amp;"??",Dulieu!U8:U1000)</f>
        <v>10045.16</v>
      </c>
      <c r="V115" s="36">
        <f>+SUMIF(Dulieu!$C$8:$C$1000,LEFT(Dulieu!$C$67,12)&amp;"??",Dulieu!V8:V1000)</f>
        <v>12475.14</v>
      </c>
      <c r="W115" s="36">
        <f>+SUMIF(Dulieu!$C$8:$C$1000,LEFT(Dulieu!$C$67,12)&amp;"??",Dulieu!W8:W1000)</f>
        <v>12230</v>
      </c>
      <c r="X115" s="36">
        <f>+SUMIF(Dulieu!$C$8:$C$1000,LEFT(Dulieu!$C$67,12)&amp;"??",Dulieu!X8:X1000)</f>
        <v>57782.27</v>
      </c>
      <c r="Y115" s="36">
        <f>+SUMIF(Dulieu!$C$8:$C$1000,LEFT(Dulieu!$C$67,12)&amp;"??",Dulieu!Y8:Y1000)</f>
        <v>1326</v>
      </c>
    </row>
    <row r="116" spans="1:25" s="41" customFormat="1" ht="12" x14ac:dyDescent="0.25">
      <c r="A116" s="38"/>
      <c r="B116" s="39" t="s">
        <v>91</v>
      </c>
      <c r="C116" s="40">
        <f t="shared" si="32"/>
        <v>5194.2300000000123</v>
      </c>
      <c r="D116" s="40">
        <f>+D115-SUMIF(Dulieu!$C$8:$C$1000,LEFT(Dulieu!$C$67,12)&amp;"??_PRE_M",Dulieu!D8:D1000)</f>
        <v>5070.5100000000093</v>
      </c>
      <c r="E116" s="40">
        <f>+E115-SUMIF(Dulieu!$C$8:$C$1000,LEFT(Dulieu!$C$67,12)&amp;"??_PRE_M",Dulieu!E8:E1000)</f>
        <v>-14.699999999999818</v>
      </c>
      <c r="F116" s="40">
        <f>+F115-SUMIF(Dulieu!$C$8:$C$1000,LEFT(Dulieu!$C$67,12)&amp;"??_PRE_M",Dulieu!F8:F1000)</f>
        <v>1116.4300000000003</v>
      </c>
      <c r="G116" s="40">
        <f>+G115-SUMIF(Dulieu!$C$8:$C$1000,LEFT(Dulieu!$C$67,12)&amp;"??_PRE_M",Dulieu!G8:G1000)</f>
        <v>-329.05999999999767</v>
      </c>
      <c r="H116" s="40">
        <f>+H115-SUMIF(Dulieu!$C$8:$C$1000,LEFT(Dulieu!$C$67,12)&amp;"??_PRE_M",Dulieu!H8:H1000)</f>
        <v>-58.779999999998836</v>
      </c>
      <c r="I116" s="40">
        <f>+I115-SUMIF(Dulieu!$C$8:$C$1000,LEFT(Dulieu!$C$67,12)&amp;"??_PRE_M",Dulieu!I8:I1000)</f>
        <v>-157.69999999999709</v>
      </c>
      <c r="J116" s="40">
        <f>+J115-SUMIF(Dulieu!$C$8:$C$1000,LEFT(Dulieu!$C$67,12)&amp;"??_PRE_M",Dulieu!J8:J1000)</f>
        <v>-97.5</v>
      </c>
      <c r="K116" s="40">
        <f>+K115-SUMIF(Dulieu!$C$8:$C$1000,LEFT(Dulieu!$C$67,12)&amp;"??_PRE_M",Dulieu!K8:K1000)</f>
        <v>-11.899999999999636</v>
      </c>
      <c r="L116" s="40">
        <f>+L115-SUMIF(Dulieu!$C$8:$C$1000,LEFT(Dulieu!$C$67,12)&amp;"??_PRE_M",Dulieu!L8:L1000)</f>
        <v>159.40000000000146</v>
      </c>
      <c r="M116" s="40">
        <f>+M115-SUMIF(Dulieu!$C$8:$C$1000,LEFT(Dulieu!$C$67,12)&amp;"??_PRE_M",Dulieu!M8:M1000)</f>
        <v>-72.399999999999636</v>
      </c>
      <c r="N116" s="40">
        <f>+N115-SUMIF(Dulieu!$C$8:$C$1000,LEFT(Dulieu!$C$67,12)&amp;"??_PRE_M",Dulieu!N8:N1000)</f>
        <v>-72.940000000002328</v>
      </c>
      <c r="O116" s="40">
        <f>+O115-SUMIF(Dulieu!$C$8:$C$1000,LEFT(Dulieu!$C$67,12)&amp;"??_PRE_M",Dulieu!O8:O1000)</f>
        <v>-11.670000000000073</v>
      </c>
      <c r="P116" s="40">
        <f>+P115-SUMIF(Dulieu!$C$8:$C$1000,LEFT(Dulieu!$C$67,12)&amp;"??_PRE_M",Dulieu!P8:P1000)</f>
        <v>0</v>
      </c>
      <c r="Q116" s="40">
        <f>+Q115-SUMIF(Dulieu!$C$8:$C$1000,LEFT(Dulieu!$C$67,12)&amp;"??_PRE_M",Dulieu!Q8:Q1000)</f>
        <v>-223.13999999999942</v>
      </c>
      <c r="R116" s="40">
        <f>+R115-SUMIF(Dulieu!$C$8:$C$1000,LEFT(Dulieu!$C$67,12)&amp;"??_PRE_M",Dulieu!R8:R1000)</f>
        <v>-41.910000000000764</v>
      </c>
      <c r="S116" s="40">
        <f>+S115-SUMIF(Dulieu!$C$8:$C$1000,LEFT(Dulieu!$C$67,12)&amp;"??_PRE_M",Dulieu!S8:S1000)</f>
        <v>-48.529999999998836</v>
      </c>
      <c r="T116" s="40">
        <f>+T115-SUMIF(Dulieu!$C$8:$C$1000,LEFT(Dulieu!$C$67,12)&amp;"??_PRE_M",Dulieu!T8:T1000)</f>
        <v>474.70999999999913</v>
      </c>
      <c r="U116" s="40">
        <f>+U115-SUMIF(Dulieu!$C$8:$C$1000,LEFT(Dulieu!$C$67,12)&amp;"??_PRE_M",Dulieu!U8:U1000)</f>
        <v>-69.899999999999636</v>
      </c>
      <c r="V116" s="40">
        <f>+V115-SUMIF(Dulieu!$C$8:$C$1000,LEFT(Dulieu!$C$67,12)&amp;"??_PRE_M",Dulieu!V8:V1000)</f>
        <v>-35</v>
      </c>
      <c r="W116" s="40">
        <f>+W115-SUMIF(Dulieu!$C$8:$C$1000,LEFT(Dulieu!$C$67,12)&amp;"??_PRE_M",Dulieu!W8:W1000)</f>
        <v>-61.600000000000364</v>
      </c>
      <c r="X116" s="40">
        <f>+X115-SUMIF(Dulieu!$C$8:$C$1000,LEFT(Dulieu!$C$67,12)&amp;"??_PRE_M",Dulieu!X8:X1000)</f>
        <v>-280.09000000000378</v>
      </c>
      <c r="Y116" s="40">
        <f>+Y115-SUMIF(Dulieu!$C$8:$C$1000,LEFT(Dulieu!$C$67,12)&amp;"??_PRE_M",Dulieu!Y8:Y1000)</f>
        <v>-40</v>
      </c>
    </row>
    <row r="117" spans="1:25" s="41" customFormat="1" ht="12" x14ac:dyDescent="0.25">
      <c r="A117" s="38"/>
      <c r="B117" s="39" t="s">
        <v>92</v>
      </c>
      <c r="C117" s="40">
        <f t="shared" si="32"/>
        <v>45010.560000000019</v>
      </c>
      <c r="D117" s="40">
        <f>+D115-SUMIF(Dulieu!$C$8:$C$1000,LEFT(Dulieu!$C$67,12)&amp;"??_PRE_Y",Dulieu!D8:D1000)</f>
        <v>19868.000000000015</v>
      </c>
      <c r="E117" s="40">
        <f>+E115-SUMIF(Dulieu!$C$8:$C$1000,LEFT(Dulieu!$C$67,12)&amp;"??_PRE_Y",Dulieu!E8:E1000)</f>
        <v>-44.099999999999909</v>
      </c>
      <c r="F117" s="40">
        <f>+F115-SUMIF(Dulieu!$C$8:$C$1000,LEFT(Dulieu!$C$67,12)&amp;"??_PRE_Y",Dulieu!F8:F1000)</f>
        <v>1487.3000000000029</v>
      </c>
      <c r="G117" s="40">
        <f>+G115-SUMIF(Dulieu!$C$8:$C$1000,LEFT(Dulieu!$C$67,12)&amp;"??_PRE_Y",Dulieu!G8:G1000)</f>
        <v>15875.279999999999</v>
      </c>
      <c r="H117" s="40">
        <f>+H115-SUMIF(Dulieu!$C$8:$C$1000,LEFT(Dulieu!$C$67,12)&amp;"??_PRE_Y",Dulieu!H8:H1000)</f>
        <v>-211.1299999999992</v>
      </c>
      <c r="I117" s="40">
        <f>+I115-SUMIF(Dulieu!$C$8:$C$1000,LEFT(Dulieu!$C$67,12)&amp;"??_PRE_Y",Dulieu!I8:I1000)</f>
        <v>-1559.3999999999978</v>
      </c>
      <c r="J117" s="40">
        <f>+J115-SUMIF(Dulieu!$C$8:$C$1000,LEFT(Dulieu!$C$67,12)&amp;"??_PRE_Y",Dulieu!J8:J1000)</f>
        <v>-724.20000000000073</v>
      </c>
      <c r="K117" s="40">
        <f>+K115-SUMIF(Dulieu!$C$8:$C$1000,LEFT(Dulieu!$C$67,12)&amp;"??_PRE_Y",Dulieu!K8:K1000)</f>
        <v>-201</v>
      </c>
      <c r="L117" s="40">
        <f>+L115-SUMIF(Dulieu!$C$8:$C$1000,LEFT(Dulieu!$C$67,12)&amp;"??_PRE_Y",Dulieu!L8:L1000)</f>
        <v>224.90000000000146</v>
      </c>
      <c r="M117" s="40">
        <f>+M115-SUMIF(Dulieu!$C$8:$C$1000,LEFT(Dulieu!$C$67,12)&amp;"??_PRE_Y",Dulieu!M8:M1000)</f>
        <v>-244.5</v>
      </c>
      <c r="N117" s="40">
        <f>+N115-SUMIF(Dulieu!$C$8:$C$1000,LEFT(Dulieu!$C$67,12)&amp;"??_PRE_Y",Dulieu!N8:N1000)</f>
        <v>-903.20000000000073</v>
      </c>
      <c r="O117" s="40">
        <f>+O115-SUMIF(Dulieu!$C$8:$C$1000,LEFT(Dulieu!$C$67,12)&amp;"??_PRE_Y",Dulieu!O8:O1000)</f>
        <v>-73.590000000000146</v>
      </c>
      <c r="P117" s="40">
        <f>+P115-SUMIF(Dulieu!$C$8:$C$1000,LEFT(Dulieu!$C$67,12)&amp;"??_PRE_Y",Dulieu!P8:P1000)</f>
        <v>-5.4600000000000364</v>
      </c>
      <c r="Q117" s="40">
        <f>+Q115-SUMIF(Dulieu!$C$8:$C$1000,LEFT(Dulieu!$C$67,12)&amp;"??_PRE_Y",Dulieu!Q8:Q1000)</f>
        <v>-1171.2400000000016</v>
      </c>
      <c r="R117" s="40">
        <f>+R115-SUMIF(Dulieu!$C$8:$C$1000,LEFT(Dulieu!$C$67,12)&amp;"??_PRE_Y",Dulieu!R8:R1000)</f>
        <v>-234.96000000000004</v>
      </c>
      <c r="S117" s="40">
        <f>+S115-SUMIF(Dulieu!$C$8:$C$1000,LEFT(Dulieu!$C$67,12)&amp;"??_PRE_Y",Dulieu!S8:S1000)</f>
        <v>-493.7599999999984</v>
      </c>
      <c r="T117" s="40">
        <f>+T115-SUMIF(Dulieu!$C$8:$C$1000,LEFT(Dulieu!$C$67,12)&amp;"??_PRE_Y",Dulieu!T8:T1000)</f>
        <v>14051.89</v>
      </c>
      <c r="U117" s="40">
        <f>+U115-SUMIF(Dulieu!$C$8:$C$1000,LEFT(Dulieu!$C$67,12)&amp;"??_PRE_Y",Dulieu!U8:U1000)</f>
        <v>-195.10000000000036</v>
      </c>
      <c r="V117" s="40">
        <f>+V115-SUMIF(Dulieu!$C$8:$C$1000,LEFT(Dulieu!$C$67,12)&amp;"??_PRE_Y",Dulieu!V8:V1000)</f>
        <v>154.02000000000044</v>
      </c>
      <c r="W117" s="40">
        <f>+W115-SUMIF(Dulieu!$C$8:$C$1000,LEFT(Dulieu!$C$67,12)&amp;"??_PRE_Y",Dulieu!W8:W1000)</f>
        <v>-151.60000000000036</v>
      </c>
      <c r="X117" s="40">
        <f>+X115-SUMIF(Dulieu!$C$8:$C$1000,LEFT(Dulieu!$C$67,12)&amp;"??_PRE_Y",Dulieu!X8:X1000)</f>
        <v>-389.1900000000096</v>
      </c>
      <c r="Y117" s="40">
        <f>+Y115-SUMIF(Dulieu!$C$8:$C$1000,LEFT(Dulieu!$C$67,12)&amp;"??_PRE_Y",Dulieu!Y8:Y1000)</f>
        <v>-48.400000000000091</v>
      </c>
    </row>
    <row r="118" spans="1:25" s="32" customFormat="1" ht="12" x14ac:dyDescent="0.25">
      <c r="A118" s="42"/>
      <c r="B118" s="43" t="s">
        <v>42</v>
      </c>
      <c r="C118" s="44">
        <f t="shared" si="32"/>
        <v>322840.69</v>
      </c>
      <c r="D118" s="44">
        <f>+SUMIF(Dulieu!$C$8:$C$1000,LEFT(Dulieu!$C$68,15)&amp;"??01",Dulieu!D8:D1000)</f>
        <v>18995.8</v>
      </c>
      <c r="E118" s="44">
        <f>+SUMIF(Dulieu!$C$8:$C$1000,LEFT(Dulieu!$C$68,15)&amp;"??01",Dulieu!E8:E1000)</f>
        <v>1322.3</v>
      </c>
      <c r="F118" s="44">
        <f>+SUMIF(Dulieu!$C$8:$C$1000,LEFT(Dulieu!$C$68,15)&amp;"??01",Dulieu!F8:F1000)</f>
        <v>16804.440000000002</v>
      </c>
      <c r="G118" s="44">
        <f>+SUMIF(Dulieu!$C$8:$C$1000,LEFT(Dulieu!$C$68,15)&amp;"??01",Dulieu!G8:G1000)</f>
        <v>50660.07</v>
      </c>
      <c r="H118" s="44">
        <f>+SUMIF(Dulieu!$C$8:$C$1000,LEFT(Dulieu!$C$68,15)&amp;"??01",Dulieu!H8:H1000)</f>
        <v>10706.960000000001</v>
      </c>
      <c r="I118" s="44">
        <f>+SUMIF(Dulieu!$C$8:$C$1000,LEFT(Dulieu!$C$68,15)&amp;"??01",Dulieu!I8:I1000)</f>
        <v>17285.8</v>
      </c>
      <c r="J118" s="44">
        <f>+SUMIF(Dulieu!$C$8:$C$1000,LEFT(Dulieu!$C$68,15)&amp;"??01",Dulieu!J8:J1000)</f>
        <v>11965.5</v>
      </c>
      <c r="K118" s="44">
        <f>+SUMIF(Dulieu!$C$8:$C$1000,LEFT(Dulieu!$C$68,15)&amp;"??01",Dulieu!K8:K1000)</f>
        <v>10366.08</v>
      </c>
      <c r="L118" s="44">
        <f>+SUMIF(Dulieu!$C$8:$C$1000,LEFT(Dulieu!$C$68,15)&amp;"??01",Dulieu!L8:L1000)</f>
        <v>12719.599999999999</v>
      </c>
      <c r="M118" s="44">
        <f>+SUMIF(Dulieu!$C$8:$C$1000,LEFT(Dulieu!$C$68,15)&amp;"??01",Dulieu!M8:M1000)</f>
        <v>9839.1999999999989</v>
      </c>
      <c r="N118" s="44">
        <f>+SUMIF(Dulieu!$C$8:$C$1000,LEFT(Dulieu!$C$68,15)&amp;"??01",Dulieu!N8:N1000)</f>
        <v>9862.7000000000007</v>
      </c>
      <c r="O118" s="44">
        <f>+SUMIF(Dulieu!$C$8:$C$1000,LEFT(Dulieu!$C$68,15)&amp;"??01",Dulieu!O8:O1000)</f>
        <v>2843.86</v>
      </c>
      <c r="P118" s="44">
        <f>+SUMIF(Dulieu!$C$8:$C$1000,LEFT(Dulieu!$C$68,15)&amp;"??01",Dulieu!P8:P1000)</f>
        <v>1520.58</v>
      </c>
      <c r="Q118" s="44">
        <f>+SUMIF(Dulieu!$C$8:$C$1000,LEFT(Dulieu!$C$68,15)&amp;"??01",Dulieu!Q8:Q1000)</f>
        <v>23522.559999999998</v>
      </c>
      <c r="R118" s="44">
        <f>+SUMIF(Dulieu!$C$8:$C$1000,LEFT(Dulieu!$C$68,15)&amp;"??01",Dulieu!R8:R1000)</f>
        <v>8021.94</v>
      </c>
      <c r="S118" s="44">
        <f>+SUMIF(Dulieu!$C$8:$C$1000,LEFT(Dulieu!$C$68,15)&amp;"??01",Dulieu!S8:S1000)</f>
        <v>11876.19</v>
      </c>
      <c r="T118" s="44">
        <f>+SUMIF(Dulieu!$C$8:$C$1000,LEFT(Dulieu!$C$68,15)&amp;"??01",Dulieu!T8:T1000)</f>
        <v>15377.800000000001</v>
      </c>
      <c r="U118" s="44">
        <f>+SUMIF(Dulieu!$C$8:$C$1000,LEFT(Dulieu!$C$68,15)&amp;"??01",Dulieu!U8:U1000)</f>
        <v>10045.16</v>
      </c>
      <c r="V118" s="44">
        <f>+SUMIF(Dulieu!$C$8:$C$1000,LEFT(Dulieu!$C$68,15)&amp;"??01",Dulieu!V8:V1000)</f>
        <v>12475.14</v>
      </c>
      <c r="W118" s="44">
        <f>+SUMIF(Dulieu!$C$8:$C$1000,LEFT(Dulieu!$C$68,15)&amp;"??01",Dulieu!W8:W1000)</f>
        <v>11850</v>
      </c>
      <c r="X118" s="44">
        <f>+SUMIF(Dulieu!$C$8:$C$1000,LEFT(Dulieu!$C$68,15)&amp;"??01",Dulieu!X8:X1000)</f>
        <v>53453.01</v>
      </c>
      <c r="Y118" s="44">
        <f>+SUMIF(Dulieu!$C$8:$C$1000,LEFT(Dulieu!$C$68,15)&amp;"??01",Dulieu!Y8:Y1000)</f>
        <v>1326</v>
      </c>
    </row>
    <row r="119" spans="1:25" s="32" customFormat="1" ht="12" x14ac:dyDescent="0.25">
      <c r="A119" s="42"/>
      <c r="B119" s="43" t="s">
        <v>43</v>
      </c>
      <c r="C119" s="44">
        <f t="shared" si="32"/>
        <v>298152.64999999997</v>
      </c>
      <c r="D119" s="44">
        <f>+SUMIF(Dulieu!$C$8:$C$1000,LEFT(Dulieu!$C$68,15)&amp;"??02",Dulieu!D8:D1000)</f>
        <v>119423.39</v>
      </c>
      <c r="E119" s="44">
        <f>+SUMIF(Dulieu!$C$8:$C$1000,LEFT(Dulieu!$C$68,15)&amp;"??02",Dulieu!E8:E1000)</f>
        <v>1382.5</v>
      </c>
      <c r="F119" s="44">
        <f>+SUMIF(Dulieu!$C$8:$C$1000,LEFT(Dulieu!$C$68,15)&amp;"??02",Dulieu!F8:F1000)</f>
        <v>7835.5</v>
      </c>
      <c r="G119" s="44">
        <f>+SUMIF(Dulieu!$C$8:$C$1000,LEFT(Dulieu!$C$68,15)&amp;"??02",Dulieu!G8:G1000)</f>
        <v>116119.56</v>
      </c>
      <c r="H119" s="44">
        <f>+SUMIF(Dulieu!$C$8:$C$1000,LEFT(Dulieu!$C$68,15)&amp;"??02",Dulieu!H8:H1000)</f>
        <v>5398</v>
      </c>
      <c r="I119" s="44">
        <f>+SUMIF(Dulieu!$C$8:$C$1000,LEFT(Dulieu!$C$68,15)&amp;"??02",Dulieu!I8:I1000)</f>
        <v>2220.9</v>
      </c>
      <c r="J119" s="44">
        <f>+SUMIF(Dulieu!$C$8:$C$1000,LEFT(Dulieu!$C$68,15)&amp;"??02",Dulieu!J8:J1000)</f>
        <v>5984.3</v>
      </c>
      <c r="K119" s="44">
        <f>+SUMIF(Dulieu!$C$8:$C$1000,LEFT(Dulieu!$C$68,15)&amp;"??02",Dulieu!K8:K1000)</f>
        <v>1143.0999999999999</v>
      </c>
      <c r="L119" s="44">
        <f>+SUMIF(Dulieu!$C$8:$C$1000,LEFT(Dulieu!$C$68,15)&amp;"??02",Dulieu!L8:L1000)</f>
        <v>569.79999999999995</v>
      </c>
      <c r="M119" s="44">
        <f>+SUMIF(Dulieu!$C$8:$C$1000,LEFT(Dulieu!$C$68,15)&amp;"??02",Dulieu!M8:M1000)</f>
        <v>2159.6</v>
      </c>
      <c r="N119" s="44">
        <f>+SUMIF(Dulieu!$C$8:$C$1000,LEFT(Dulieu!$C$68,15)&amp;"??02",Dulieu!N8:N1000)</f>
        <v>13230.4</v>
      </c>
      <c r="O119" s="44">
        <f>+SUMIF(Dulieu!$C$8:$C$1000,LEFT(Dulieu!$C$68,15)&amp;"??02",Dulieu!O8:O1000)</f>
        <v>0</v>
      </c>
      <c r="P119" s="44">
        <f>+SUMIF(Dulieu!$C$8:$C$1000,LEFT(Dulieu!$C$68,15)&amp;"??02",Dulieu!P8:P1000)</f>
        <v>0</v>
      </c>
      <c r="Q119" s="44">
        <f>+SUMIF(Dulieu!$C$8:$C$1000,LEFT(Dulieu!$C$68,15)&amp;"??02",Dulieu!Q8:Q1000)</f>
        <v>0</v>
      </c>
      <c r="R119" s="44">
        <f>+SUMIF(Dulieu!$C$8:$C$1000,LEFT(Dulieu!$C$68,15)&amp;"??02",Dulieu!R8:R1000)</f>
        <v>0</v>
      </c>
      <c r="S119" s="44">
        <f>+SUMIF(Dulieu!$C$8:$C$1000,LEFT(Dulieu!$C$68,15)&amp;"??02",Dulieu!S8:S1000)</f>
        <v>488.1</v>
      </c>
      <c r="T119" s="44">
        <f>+SUMIF(Dulieu!$C$8:$C$1000,LEFT(Dulieu!$C$68,15)&amp;"??02",Dulieu!T8:T1000)</f>
        <v>17488.25</v>
      </c>
      <c r="U119" s="44">
        <f>+SUMIF(Dulieu!$C$8:$C$1000,LEFT(Dulieu!$C$68,15)&amp;"??02",Dulieu!U8:U1000)</f>
        <v>0</v>
      </c>
      <c r="V119" s="44">
        <f>+SUMIF(Dulieu!$C$8:$C$1000,LEFT(Dulieu!$C$68,15)&amp;"??02",Dulieu!V8:V1000)</f>
        <v>0</v>
      </c>
      <c r="W119" s="44">
        <f>+SUMIF(Dulieu!$C$8:$C$1000,LEFT(Dulieu!$C$68,15)&amp;"??02",Dulieu!W8:W1000)</f>
        <v>380</v>
      </c>
      <c r="X119" s="44">
        <f>+SUMIF(Dulieu!$C$8:$C$1000,LEFT(Dulieu!$C$68,15)&amp;"??02",Dulieu!X8:X1000)</f>
        <v>4329.25</v>
      </c>
      <c r="Y119" s="44">
        <f>+SUMIF(Dulieu!$C$8:$C$1000,LEFT(Dulieu!$C$68,15)&amp;"??02",Dulieu!Y8:Y1000)</f>
        <v>0</v>
      </c>
    </row>
    <row r="120" spans="1:25" s="37" customFormat="1" ht="12" x14ac:dyDescent="0.25">
      <c r="A120" s="34">
        <v>10</v>
      </c>
      <c r="B120" s="53" t="s">
        <v>60</v>
      </c>
      <c r="C120" s="36">
        <f t="shared" si="32"/>
        <v>674759.42999999993</v>
      </c>
      <c r="D120" s="36">
        <f>+Dulieu!D70</f>
        <v>0</v>
      </c>
      <c r="E120" s="36">
        <f>+Dulieu!E70</f>
        <v>0</v>
      </c>
      <c r="F120" s="36">
        <f>+Dulieu!F70</f>
        <v>0</v>
      </c>
      <c r="G120" s="36">
        <f>+Dulieu!G70</f>
        <v>0</v>
      </c>
      <c r="H120" s="36">
        <f>+Dulieu!H70</f>
        <v>0.1</v>
      </c>
      <c r="I120" s="36">
        <f>+Dulieu!I70</f>
        <v>0</v>
      </c>
      <c r="J120" s="36">
        <f>+Dulieu!J70</f>
        <v>0</v>
      </c>
      <c r="K120" s="36">
        <f>+Dulieu!K70</f>
        <v>15</v>
      </c>
      <c r="L120" s="36">
        <f>+Dulieu!L70</f>
        <v>0</v>
      </c>
      <c r="M120" s="36">
        <f>+Dulieu!M70</f>
        <v>51.01</v>
      </c>
      <c r="N120" s="36">
        <f>+Dulieu!N70</f>
        <v>0</v>
      </c>
      <c r="O120" s="36">
        <f>+Dulieu!O70</f>
        <v>4687</v>
      </c>
      <c r="P120" s="36">
        <f>+Dulieu!P70</f>
        <v>156564.82</v>
      </c>
      <c r="Q120" s="36">
        <f>+Dulieu!Q70</f>
        <v>0</v>
      </c>
      <c r="R120" s="36">
        <f>+Dulieu!R70</f>
        <v>200</v>
      </c>
      <c r="S120" s="36">
        <f>+Dulieu!S70</f>
        <v>123802.2</v>
      </c>
      <c r="T120" s="36">
        <f>+Dulieu!T70</f>
        <v>11274.38</v>
      </c>
      <c r="U120" s="36">
        <f>+Dulieu!U70</f>
        <v>0</v>
      </c>
      <c r="V120" s="36">
        <f>+Dulieu!V70</f>
        <v>113332.75</v>
      </c>
      <c r="W120" s="36">
        <f>+Dulieu!W70</f>
        <v>179485.48</v>
      </c>
      <c r="X120" s="36">
        <f>+Dulieu!X70</f>
        <v>67507.09</v>
      </c>
      <c r="Y120" s="36">
        <f>+Dulieu!Y70</f>
        <v>17839.599999999999</v>
      </c>
    </row>
    <row r="121" spans="1:25" s="41" customFormat="1" ht="12" x14ac:dyDescent="0.25">
      <c r="A121" s="38"/>
      <c r="B121" s="39" t="s">
        <v>91</v>
      </c>
      <c r="C121" s="40">
        <f t="shared" si="32"/>
        <v>89468.900000000023</v>
      </c>
      <c r="D121" s="40">
        <f>+D120-VLOOKUP(Dulieu!$C$70&amp;"_PRE_M",Dulieu!$C$88:$N$400,2,FALSE)</f>
        <v>0</v>
      </c>
      <c r="E121" s="40">
        <f>+E120-VLOOKUP(Dulieu!$C$70&amp;"_PRE_M",Dulieu!$C$88:$N$400,3,FALSE)</f>
        <v>0</v>
      </c>
      <c r="F121" s="40">
        <f>+F120-VLOOKUP(Dulieu!$C$70&amp;"_PRE_M",Dulieu!$C$88:$N$400,4,FALSE)</f>
        <v>0</v>
      </c>
      <c r="G121" s="40">
        <f>+G120-VLOOKUP(Dulieu!$C$70&amp;"_PRE_M",Dulieu!$C$88:$N$400,5,FALSE)</f>
        <v>0</v>
      </c>
      <c r="H121" s="40">
        <f>+H120-VLOOKUP(Dulieu!$C$70&amp;"_PRE_M",Dulieu!$C$88:$N$400,6,FALSE)</f>
        <v>0</v>
      </c>
      <c r="I121" s="40">
        <f>+I120-VLOOKUP(Dulieu!$C$70&amp;"_PRE_M",Dulieu!$C$88:$N$400,7,FALSE)</f>
        <v>0</v>
      </c>
      <c r="J121" s="40">
        <f>+J120-VLOOKUP(Dulieu!$C$70&amp;"_PRE_M",Dulieu!$C$88:$N$400,8,FALSE)</f>
        <v>0</v>
      </c>
      <c r="K121" s="40">
        <f>+K120-VLOOKUP(Dulieu!$C$70&amp;"_PRE_M",Dulieu!$C$88:$N$400,9,FALSE)</f>
        <v>0</v>
      </c>
      <c r="L121" s="40">
        <f>+L120-VLOOKUP(Dulieu!$C$70&amp;"_PRE_M",Dulieu!$C$88:$N$400,10,FALSE)</f>
        <v>0</v>
      </c>
      <c r="M121" s="40">
        <f>+M120-VLOOKUP(Dulieu!$C$70&amp;"_PRE_M",Dulieu!$C$88:$N$400,11,FALSE)</f>
        <v>0</v>
      </c>
      <c r="N121" s="40">
        <f>+N120-VLOOKUP(Dulieu!$C$70&amp;"_PRE_M",Dulieu!$C$88:$N$400,12,FALSE)</f>
        <v>0</v>
      </c>
      <c r="O121" s="40">
        <f>+O120-VLOOKUP(Dulieu!$C$70&amp;"_PRE_M",Dulieu!$C$88:$Y$400,13,FALSE)</f>
        <v>-150</v>
      </c>
      <c r="P121" s="40">
        <f>+P120-VLOOKUP(Dulieu!$C$70&amp;"_PRE_M",Dulieu!$C$88:$Y$400,14,FALSE)</f>
        <v>16999.300000000017</v>
      </c>
      <c r="Q121" s="40">
        <f>+Q120-VLOOKUP(Dulieu!$C$70&amp;"_PRE_M",Dulieu!$C$88:$Y$400,15,FALSE)</f>
        <v>0</v>
      </c>
      <c r="R121" s="40">
        <f>+R120-VLOOKUP(Dulieu!$C$70&amp;"_PRE_M",Dulieu!$C$88:$Y$400,16,FALSE)</f>
        <v>0</v>
      </c>
      <c r="S121" s="40">
        <f>+S120-VLOOKUP(Dulieu!$C$70&amp;"_PRE_M",Dulieu!$C$88:$Y$400,17,FALSE)</f>
        <v>17971.5</v>
      </c>
      <c r="T121" s="40">
        <f>+T120-VLOOKUP(Dulieu!$C$70&amp;"_PRE_M",Dulieu!$C$88:$Y$400,18,FALSE)</f>
        <v>-1944.4800000000014</v>
      </c>
      <c r="U121" s="40">
        <f>+U120-VLOOKUP(Dulieu!$C$70&amp;"_PRE_M",Dulieu!$C$88:$Y$400,19,FALSE)</f>
        <v>0</v>
      </c>
      <c r="V121" s="40">
        <f>+V120-VLOOKUP(Dulieu!$C$70&amp;"_PRE_M",Dulieu!$C$88:$Y$400,20,FALSE)</f>
        <v>27050</v>
      </c>
      <c r="W121" s="40">
        <f>+W120-VLOOKUP(Dulieu!$C$70&amp;"_PRE_M",Dulieu!$C$88:$Y$400,21,FALSE)</f>
        <v>23085.580000000016</v>
      </c>
      <c r="X121" s="40">
        <f>+X120-VLOOKUP(Dulieu!$C$70&amp;"_PRE_M",Dulieu!$C$88:$Y$400,22,FALSE)</f>
        <v>8663</v>
      </c>
      <c r="Y121" s="40">
        <f>+Y120-VLOOKUP(Dulieu!$C$70&amp;"_PRE_M",Dulieu!$C$88:$Y$400,23,FALSE)</f>
        <v>-2206</v>
      </c>
    </row>
    <row r="122" spans="1:25" s="41" customFormat="1" ht="12" x14ac:dyDescent="0.25">
      <c r="A122" s="38"/>
      <c r="B122" s="39" t="s">
        <v>92</v>
      </c>
      <c r="C122" s="40">
        <f t="shared" si="32"/>
        <v>167086.82</v>
      </c>
      <c r="D122" s="40">
        <f>+D120-VLOOKUP(Dulieu!$C$70&amp;"_PRE_Y",Dulieu!$C$88:$N$400,2,FALSE)</f>
        <v>0</v>
      </c>
      <c r="E122" s="40">
        <f>+E120-VLOOKUP(Dulieu!$C$70&amp;"_PRE_Y",Dulieu!$C$88:$N$400,3,FALSE)</f>
        <v>0</v>
      </c>
      <c r="F122" s="40">
        <f>+F120-VLOOKUP(Dulieu!$C$70&amp;"_PRE_Y",Dulieu!$C$88:$N$400,4,FALSE)</f>
        <v>0</v>
      </c>
      <c r="G122" s="40">
        <f>+G120-VLOOKUP(Dulieu!$C$70&amp;"_PRE_Y",Dulieu!$C$88:$N$400,5,FALSE)</f>
        <v>0</v>
      </c>
      <c r="H122" s="40">
        <f>+H120-VLOOKUP(Dulieu!$C$70&amp;"_PRE_Y",Dulieu!$C$88:$N$400,6,FALSE)</f>
        <v>0</v>
      </c>
      <c r="I122" s="40">
        <f>+I120-VLOOKUP(Dulieu!$C$70&amp;"_PRE_Y",Dulieu!$C$88:$N$400,7,FALSE)</f>
        <v>0</v>
      </c>
      <c r="J122" s="40">
        <f>+J120-VLOOKUP(Dulieu!$C$70&amp;"_PRE_Y",Dulieu!$C$88:$N$400,8,FALSE)</f>
        <v>0</v>
      </c>
      <c r="K122" s="40">
        <f>+K120-VLOOKUP(Dulieu!$C$70&amp;"_PRE_Y",Dulieu!$C$88:$N$400,9,FALSE)</f>
        <v>0</v>
      </c>
      <c r="L122" s="40">
        <f>+L120-VLOOKUP(Dulieu!$C$70&amp;"_PRE_Y",Dulieu!$C$88:$N$400,10,FALSE)</f>
        <v>0</v>
      </c>
      <c r="M122" s="40">
        <f>+M120-VLOOKUP(Dulieu!$C$70&amp;"_PRE_Y",Dulieu!$C$88:$N$400,11,FALSE)</f>
        <v>-9.490000000000002</v>
      </c>
      <c r="N122" s="40">
        <f>+N120-VLOOKUP(Dulieu!$C$70&amp;"_PRE_Y",Dulieu!$C$88:$N$400,12,FALSE)</f>
        <v>0</v>
      </c>
      <c r="O122" s="40">
        <f>+O120-VLOOKUP(Dulieu!$C$70&amp;"_PRE_Y",Dulieu!$C$88:$Y$400,13,FALSE)</f>
        <v>-939</v>
      </c>
      <c r="P122" s="40">
        <f>+P120-VLOOKUP(Dulieu!$C$70&amp;"_PRE_Y",Dulieu!$C$88:$Y$400,14,FALSE)</f>
        <v>29822.090000000011</v>
      </c>
      <c r="Q122" s="40">
        <f>+Q120-VLOOKUP(Dulieu!$C$70&amp;"_PRE_Y",Dulieu!$C$88:$Y$400,15,FALSE)</f>
        <v>0</v>
      </c>
      <c r="R122" s="40">
        <f>+R120-VLOOKUP(Dulieu!$C$70&amp;"_PRE_Y",Dulieu!$C$88:$Y$400,16,FALSE)</f>
        <v>-150</v>
      </c>
      <c r="S122" s="40">
        <f>+S120-VLOOKUP(Dulieu!$C$70&amp;"_PRE_Y",Dulieu!$C$88:$Y$400,17,FALSE)</f>
        <v>35990.5</v>
      </c>
      <c r="T122" s="40">
        <f>+T120-VLOOKUP(Dulieu!$C$70&amp;"_PRE_Y",Dulieu!$C$88:$Y$400,18,FALSE)</f>
        <v>-3572.380000000001</v>
      </c>
      <c r="U122" s="40">
        <f>+U120-VLOOKUP(Dulieu!$C$70&amp;"_PRE_Y",Dulieu!$C$88:$Y$400,19,FALSE)</f>
        <v>0</v>
      </c>
      <c r="V122" s="40">
        <f>+V120-VLOOKUP(Dulieu!$C$70&amp;"_PRE_Y",Dulieu!$C$88:$Y$400,20,FALSE)</f>
        <v>44729</v>
      </c>
      <c r="W122" s="40">
        <f>+W120-VLOOKUP(Dulieu!$C$70&amp;"_PRE_Y",Dulieu!$C$88:$Y$400,21,FALSE)</f>
        <v>35988.300000000017</v>
      </c>
      <c r="X122" s="40">
        <f>+X120-VLOOKUP(Dulieu!$C$70&amp;"_PRE_Y",Dulieu!$C$88:$Y$400,22,FALSE)</f>
        <v>34432</v>
      </c>
      <c r="Y122" s="40">
        <f>+Y120-VLOOKUP(Dulieu!$C$70&amp;"_PRE_Y",Dulieu!$C$88:$Y$400,23,FALSE)</f>
        <v>-9204.2000000000007</v>
      </c>
    </row>
    <row r="123" spans="1:25" s="41" customFormat="1" ht="12" x14ac:dyDescent="0.25">
      <c r="A123" s="38"/>
      <c r="B123" s="43" t="s">
        <v>42</v>
      </c>
      <c r="C123" s="40">
        <f>SUM(D123:Y123)</f>
        <v>666930.99999999988</v>
      </c>
      <c r="D123" s="64">
        <f>+IFERROR(VLOOKUP(LEFT(Dulieu!$C$44,10)&amp;"NV_101001",Dulieu!$C$88:$Y$400,2,FALSE),0)</f>
        <v>0</v>
      </c>
      <c r="E123" s="64">
        <f>+IFERROR(VLOOKUP(LEFT(Dulieu!$C$44,10)&amp;"NV_101001",Dulieu!$C$88:$Y$400,3,FALSE),0)</f>
        <v>0</v>
      </c>
      <c r="F123" s="64">
        <f>+IFERROR(VLOOKUP(LEFT(Dulieu!$C$44,10)&amp;"NV_101001",Dulieu!$C$88:$Y$400,4,FALSE),0)</f>
        <v>0</v>
      </c>
      <c r="G123" s="64">
        <f>+IFERROR(VLOOKUP(LEFT(Dulieu!$C$44,10)&amp;"NV_101001",Dulieu!$C$88:$Y$400,5,FALSE),0)</f>
        <v>0</v>
      </c>
      <c r="H123" s="64">
        <f>+IFERROR(VLOOKUP(LEFT(Dulieu!$C$44,10)&amp;"NV_101001",Dulieu!$C$88:$Y$400,6,FALSE),0)</f>
        <v>0.1</v>
      </c>
      <c r="I123" s="64">
        <f>+IFERROR(VLOOKUP(LEFT(Dulieu!$C$44,10)&amp;"NV_101001",Dulieu!$C$88:$Y$400,7,FALSE),0)</f>
        <v>0</v>
      </c>
      <c r="J123" s="64">
        <f>+IFERROR(VLOOKUP(LEFT(Dulieu!$C$44,10)&amp;"NV_101001",Dulieu!$C$88:$Y$400,8,FALSE),0)</f>
        <v>0</v>
      </c>
      <c r="K123" s="64">
        <f>+IFERROR(VLOOKUP(LEFT(Dulieu!$C$44,10)&amp;"NV_101001",Dulieu!$C$88:$Y$400,9,FALSE),0)</f>
        <v>15</v>
      </c>
      <c r="L123" s="64">
        <f>+IFERROR(VLOOKUP(LEFT(Dulieu!$C$44,10)&amp;"NV_101001",Dulieu!$C$88:$Y$400,10,FALSE),0)</f>
        <v>0</v>
      </c>
      <c r="M123" s="64">
        <f>+IFERROR(VLOOKUP(LEFT(Dulieu!$C$44,10)&amp;"NV_101001",Dulieu!$C$88:$Y$400,11,FALSE),0)</f>
        <v>51.01</v>
      </c>
      <c r="N123" s="64">
        <f>+IFERROR(VLOOKUP(LEFT(Dulieu!$C$44,10)&amp;"NV_101001",Dulieu!$C$88:$Y$400,12,FALSE),0)</f>
        <v>0</v>
      </c>
      <c r="O123" s="64">
        <f>+IFERROR(VLOOKUP(LEFT(Dulieu!$C$44,10)&amp;"NV_101001",Dulieu!$C$88:$Y$400,13,FALSE),0)</f>
        <v>4687</v>
      </c>
      <c r="P123" s="64">
        <f>+IFERROR(VLOOKUP(LEFT(Dulieu!$C$44,10)&amp;"NV_101001",Dulieu!$C$88:$Y$400,14,FALSE),0)</f>
        <v>156222.01999999999</v>
      </c>
      <c r="Q123" s="64">
        <f>+IFERROR(VLOOKUP(LEFT(Dulieu!$C$44,10)&amp;"NV_101001",Dulieu!$C$88:$Y$400,15,FALSE),0)</f>
        <v>0</v>
      </c>
      <c r="R123" s="64">
        <f>+IFERROR(VLOOKUP(LEFT(Dulieu!$C$44,10)&amp;"NV_101001",Dulieu!$C$88:$Y$400,16,FALSE),0)</f>
        <v>200</v>
      </c>
      <c r="S123" s="64">
        <f>+IFERROR(VLOOKUP(LEFT(Dulieu!$C$44,10)&amp;"NV_101001",Dulieu!$C$88:$Y$400,17,FALSE),0)</f>
        <v>123802.2</v>
      </c>
      <c r="T123" s="64">
        <f>+IFERROR(VLOOKUP(LEFT(Dulieu!$C$44,10)&amp;"NV_101001",Dulieu!$C$88:$Y$400,18,FALSE),0)</f>
        <v>11274.38</v>
      </c>
      <c r="U123" s="64">
        <f>+IFERROR(VLOOKUP(LEFT(Dulieu!$C$44,10)&amp;"NV_101001",Dulieu!$C$88:$Y$400,19,FALSE),0)</f>
        <v>0</v>
      </c>
      <c r="V123" s="64">
        <f>+IFERROR(VLOOKUP(LEFT(Dulieu!$C$44,10)&amp;"NV_101001",Dulieu!$C$88:$Y$400,20,FALSE),0)</f>
        <v>112523.75</v>
      </c>
      <c r="W123" s="64">
        <f>+IFERROR(VLOOKUP(LEFT(Dulieu!$C$44,10)&amp;"NV_101001",Dulieu!$C$88:$Y$400,21,FALSE),0)</f>
        <v>172808.85</v>
      </c>
      <c r="X123" s="64">
        <f>+IFERROR(VLOOKUP(LEFT(Dulieu!$C$44,10)&amp;"NV_101001",Dulieu!$C$88:$Y$400,22,FALSE),0)</f>
        <v>67507.09</v>
      </c>
      <c r="Y123" s="64">
        <f>+IFERROR(VLOOKUP(LEFT(Dulieu!$C$44,10)&amp;"NV_101001",Dulieu!$C$88:$Y$400,23,FALSE),0)</f>
        <v>17839.599999999999</v>
      </c>
    </row>
    <row r="124" spans="1:25" s="41" customFormat="1" ht="12" x14ac:dyDescent="0.25">
      <c r="A124" s="38"/>
      <c r="B124" s="43" t="s">
        <v>43</v>
      </c>
      <c r="C124" s="40">
        <f>SUM(D124:Y124)</f>
        <v>7828.43</v>
      </c>
      <c r="D124" s="64">
        <f>+IFERROR(VLOOKUP(LEFT(Dulieu!$C$44,10)&amp;"NV_101002",Dulieu!$C$88:$Y$400,2,FALSE),0)</f>
        <v>0</v>
      </c>
      <c r="E124" s="64">
        <f>+IFERROR(VLOOKUP(LEFT(Dulieu!$C$44,10)&amp;"NV_101002",Dulieu!$C$88:$Y$400,3,FALSE),0)</f>
        <v>0</v>
      </c>
      <c r="F124" s="64">
        <f>+IFERROR(VLOOKUP(LEFT(Dulieu!$C$44,10)&amp;"NV_101002",Dulieu!$C$88:$Y$400,4,FALSE),0)</f>
        <v>0</v>
      </c>
      <c r="G124" s="64">
        <f>+IFERROR(VLOOKUP(LEFT(Dulieu!$C$44,10)&amp;"NV_101002",Dulieu!$C$88:$Y$400,5,FALSE),0)</f>
        <v>0</v>
      </c>
      <c r="H124" s="64">
        <f>+IFERROR(VLOOKUP(LEFT(Dulieu!$C$44,10)&amp;"NV_101002",Dulieu!$C$88:$Y$400,6,FALSE),0)</f>
        <v>0</v>
      </c>
      <c r="I124" s="64">
        <f>+IFERROR(VLOOKUP(LEFT(Dulieu!$C$44,10)&amp;"NV_101002",Dulieu!$C$88:$Y$400,7,FALSE),0)</f>
        <v>0</v>
      </c>
      <c r="J124" s="64">
        <f>+IFERROR(VLOOKUP(LEFT(Dulieu!$C$44,10)&amp;"NV_101002",Dulieu!$C$88:$Y$400,8,FALSE),0)</f>
        <v>0</v>
      </c>
      <c r="K124" s="64">
        <f>+IFERROR(VLOOKUP(LEFT(Dulieu!$C$44,10)&amp;"NV_101002",Dulieu!$C$88:$Y$400,9,FALSE),0)</f>
        <v>0</v>
      </c>
      <c r="L124" s="64">
        <f>+IFERROR(VLOOKUP(LEFT(Dulieu!$C$44,10)&amp;"NV_101002",Dulieu!$C$88:$Y$400,10,FALSE),0)</f>
        <v>0</v>
      </c>
      <c r="M124" s="64">
        <f>+IFERROR(VLOOKUP(LEFT(Dulieu!$C$44,10)&amp;"NV_101002",Dulieu!$C$88:$Y$400,11,FALSE),0)</f>
        <v>0</v>
      </c>
      <c r="N124" s="64">
        <f>+IFERROR(VLOOKUP(LEFT(Dulieu!$C$44,10)&amp;"NV_101002",Dulieu!$C$88:$Y$400,12,FALSE),0)</f>
        <v>0</v>
      </c>
      <c r="O124" s="64">
        <f>+IFERROR(VLOOKUP(LEFT(Dulieu!$C$44,10)&amp;"NV_101002",Dulieu!$C$88:$Y$400,13,FALSE),0)</f>
        <v>0</v>
      </c>
      <c r="P124" s="64">
        <f>+IFERROR(VLOOKUP(LEFT(Dulieu!$C$44,10)&amp;"NV_101002",Dulieu!$C$88:$Y$400,14,FALSE),0)</f>
        <v>342.8</v>
      </c>
      <c r="Q124" s="64">
        <f>+IFERROR(VLOOKUP(LEFT(Dulieu!$C$44,10)&amp;"NV_101002",Dulieu!$C$88:$Y$400,15,FALSE),0)</f>
        <v>0</v>
      </c>
      <c r="R124" s="64">
        <f>+IFERROR(VLOOKUP(LEFT(Dulieu!$C$44,10)&amp;"NV_101002",Dulieu!$C$88:$Y$400,16,FALSE),0)</f>
        <v>0</v>
      </c>
      <c r="S124" s="64">
        <f>+IFERROR(VLOOKUP(LEFT(Dulieu!$C$44,10)&amp;"NV_101002",Dulieu!$C$88:$Y$400,17,FALSE),0)</f>
        <v>0</v>
      </c>
      <c r="T124" s="64">
        <f>+IFERROR(VLOOKUP(LEFT(Dulieu!$C$44,10)&amp;"NV_101002",Dulieu!$C$88:$Y$400,18,FALSE),0)</f>
        <v>0</v>
      </c>
      <c r="U124" s="64">
        <f>+IFERROR(VLOOKUP(LEFT(Dulieu!$C$44,10)&amp;"NV_101002",Dulieu!$C$88:$Y$400,19,FALSE),0)</f>
        <v>0</v>
      </c>
      <c r="V124" s="64">
        <f>+IFERROR(VLOOKUP(LEFT(Dulieu!$C$44,10)&amp;"NV_101002",Dulieu!$C$88:$Y$400,20,FALSE),0)</f>
        <v>809</v>
      </c>
      <c r="W124" s="64">
        <f>+IFERROR(VLOOKUP(LEFT(Dulieu!$C$44,10)&amp;"NV_101002",Dulieu!$C$88:$Y$400,21,FALSE),0)</f>
        <v>6676.63</v>
      </c>
      <c r="X124" s="64">
        <f>+IFERROR(VLOOKUP(LEFT(Dulieu!$C$44,10)&amp;"NV_101002",Dulieu!$C$88:$Y$400,22,FALSE),0)</f>
        <v>0</v>
      </c>
      <c r="Y124" s="64">
        <f>+IFERROR(VLOOKUP(LEFT(Dulieu!$C$44,10)&amp;"NV_101002",Dulieu!$C$88:$Y$400,23,FALSE),0)</f>
        <v>0</v>
      </c>
    </row>
    <row r="125" spans="1:25" s="37" customFormat="1" ht="12" x14ac:dyDescent="0.25">
      <c r="A125" s="34">
        <v>11</v>
      </c>
      <c r="B125" s="53" t="s">
        <v>61</v>
      </c>
      <c r="C125" s="36">
        <f t="shared" ref="C125:C156" si="34">SUM(D125:Y125)</f>
        <v>4192.97</v>
      </c>
      <c r="D125" s="36">
        <f>+Dulieu!D71</f>
        <v>0</v>
      </c>
      <c r="E125" s="36">
        <f>+Dulieu!E71</f>
        <v>0</v>
      </c>
      <c r="F125" s="36">
        <f>+Dulieu!F71</f>
        <v>0</v>
      </c>
      <c r="G125" s="36">
        <f>+Dulieu!G71</f>
        <v>0</v>
      </c>
      <c r="H125" s="36">
        <f>+Dulieu!H71</f>
        <v>0</v>
      </c>
      <c r="I125" s="36">
        <f>+Dulieu!I71</f>
        <v>0</v>
      </c>
      <c r="J125" s="36">
        <f>+Dulieu!J71</f>
        <v>0</v>
      </c>
      <c r="K125" s="36">
        <f>+Dulieu!K71</f>
        <v>0</v>
      </c>
      <c r="L125" s="36">
        <f>+Dulieu!L71</f>
        <v>6.97</v>
      </c>
      <c r="M125" s="36">
        <f>+Dulieu!M71</f>
        <v>0</v>
      </c>
      <c r="N125" s="36">
        <f>+Dulieu!N71</f>
        <v>0</v>
      </c>
      <c r="O125" s="36">
        <f>+Dulieu!O71</f>
        <v>0</v>
      </c>
      <c r="P125" s="36">
        <f>+Dulieu!P71</f>
        <v>319</v>
      </c>
      <c r="Q125" s="36">
        <f>+Dulieu!Q71</f>
        <v>0</v>
      </c>
      <c r="R125" s="36">
        <f>+Dulieu!R71</f>
        <v>0</v>
      </c>
      <c r="S125" s="36">
        <f>+Dulieu!S71</f>
        <v>0</v>
      </c>
      <c r="T125" s="36">
        <f>+Dulieu!T71</f>
        <v>0</v>
      </c>
      <c r="U125" s="36">
        <f>+Dulieu!U71</f>
        <v>0</v>
      </c>
      <c r="V125" s="36">
        <f>+Dulieu!V71</f>
        <v>50</v>
      </c>
      <c r="W125" s="36">
        <f>+Dulieu!W71</f>
        <v>3817</v>
      </c>
      <c r="X125" s="36">
        <f>+Dulieu!X71</f>
        <v>0</v>
      </c>
      <c r="Y125" s="36">
        <f>+Dulieu!Y71</f>
        <v>0</v>
      </c>
    </row>
    <row r="126" spans="1:25" s="41" customFormat="1" ht="12" x14ac:dyDescent="0.25">
      <c r="A126" s="38"/>
      <c r="B126" s="39" t="s">
        <v>91</v>
      </c>
      <c r="C126" s="40">
        <f t="shared" si="34"/>
        <v>-189</v>
      </c>
      <c r="D126" s="40">
        <f>+D125-VLOOKUP(Dulieu!$C$71&amp;"_PRE_M",Dulieu!$C$88:$N$400,2,FALSE)</f>
        <v>0</v>
      </c>
      <c r="E126" s="40">
        <f>+E125-VLOOKUP(Dulieu!$C$71&amp;"_PRE_M",Dulieu!$C$88:$N$400,3,FALSE)</f>
        <v>0</v>
      </c>
      <c r="F126" s="40">
        <f>+F125-VLOOKUP(Dulieu!$C$71&amp;"_PRE_M",Dulieu!$C$88:$N$400,4,FALSE)</f>
        <v>0</v>
      </c>
      <c r="G126" s="40">
        <f>+G125-VLOOKUP(Dulieu!$C$71&amp;"_PRE_M",Dulieu!$C$88:$N$400,5,FALSE)</f>
        <v>0</v>
      </c>
      <c r="H126" s="40">
        <f>+H125-VLOOKUP(Dulieu!$C$71&amp;"_PRE_M",Dulieu!$C$88:$N$400,6,FALSE)</f>
        <v>0</v>
      </c>
      <c r="I126" s="40">
        <f>+I125-VLOOKUP(Dulieu!$C$71&amp;"_PRE_M",Dulieu!$C$88:$N$400,7,FALSE)</f>
        <v>0</v>
      </c>
      <c r="J126" s="40">
        <f>+J125-VLOOKUP(Dulieu!$C$71&amp;"_PRE_M",Dulieu!$C$88:$N$400,8,FALSE)</f>
        <v>0</v>
      </c>
      <c r="K126" s="40">
        <f>+K125-VLOOKUP(Dulieu!$C$71&amp;"_PRE_M",Dulieu!$C$88:$N$400,9,FALSE)</f>
        <v>0</v>
      </c>
      <c r="L126" s="40">
        <f>+L125-VLOOKUP(Dulieu!$C$71&amp;"_PRE_M",Dulieu!$C$88:$N$400,10,FALSE)</f>
        <v>0</v>
      </c>
      <c r="M126" s="40">
        <f>+M125-VLOOKUP(Dulieu!$C$71&amp;"_PRE_M",Dulieu!$C$88:$N$400,11,FALSE)</f>
        <v>0</v>
      </c>
      <c r="N126" s="40">
        <f>+N125-VLOOKUP(Dulieu!$C$71&amp;"_PRE_M",Dulieu!$C$88:$N$400,12,FALSE)</f>
        <v>0</v>
      </c>
      <c r="O126" s="40">
        <f>+O125-VLOOKUP(Dulieu!$C$71&amp;"_PRE_M",Dulieu!$C$88:$Y$400,13,FALSE)</f>
        <v>0</v>
      </c>
      <c r="P126" s="40">
        <f>+P125-VLOOKUP(Dulieu!$C$71&amp;"_PRE_M",Dulieu!$C$88:$Y$400,14,FALSE)</f>
        <v>0</v>
      </c>
      <c r="Q126" s="40">
        <f>+Q125-VLOOKUP(Dulieu!$C$71&amp;"_PRE_M",Dulieu!$C$88:$Y$400,15,FALSE)</f>
        <v>0</v>
      </c>
      <c r="R126" s="40">
        <f>+R125-VLOOKUP(Dulieu!$C$71&amp;"_PRE_M",Dulieu!$C$88:$Y$400,16,FALSE)</f>
        <v>0</v>
      </c>
      <c r="S126" s="40">
        <f>+S125-VLOOKUP(Dulieu!$C$71&amp;"_PRE_M",Dulieu!$C$88:$Y$400,17,FALSE)</f>
        <v>0</v>
      </c>
      <c r="T126" s="40">
        <f>+T125-VLOOKUP(Dulieu!$C$71&amp;"_PRE_M",Dulieu!$C$88:$Y$400,18,FALSE)</f>
        <v>0</v>
      </c>
      <c r="U126" s="40">
        <f>+U125-VLOOKUP(Dulieu!$C$71&amp;"_PRE_M",Dulieu!$C$88:$Y$400,19,FALSE)</f>
        <v>0</v>
      </c>
      <c r="V126" s="40">
        <f>+V125-VLOOKUP(Dulieu!$C$71&amp;"_PRE_M",Dulieu!$C$88:$Y$400,20,FALSE)</f>
        <v>0</v>
      </c>
      <c r="W126" s="40">
        <f>+W125-VLOOKUP(Dulieu!$C$71&amp;"_PRE_M",Dulieu!$C$88:$Y$400,21,FALSE)</f>
        <v>-189</v>
      </c>
      <c r="X126" s="40">
        <f>+X125-VLOOKUP(Dulieu!$C$71&amp;"_PRE_M",Dulieu!$C$88:$Y$400,22,FALSE)</f>
        <v>0</v>
      </c>
      <c r="Y126" s="40">
        <f>+Y125-VLOOKUP(Dulieu!$C$71&amp;"_PRE_M",Dulieu!$C$88:$Y$400,23,FALSE)</f>
        <v>0</v>
      </c>
    </row>
    <row r="127" spans="1:25" s="41" customFormat="1" ht="12" x14ac:dyDescent="0.25">
      <c r="A127" s="38"/>
      <c r="B127" s="39" t="s">
        <v>92</v>
      </c>
      <c r="C127" s="40">
        <f t="shared" si="34"/>
        <v>-406</v>
      </c>
      <c r="D127" s="40">
        <f>+D125-VLOOKUP(Dulieu!$C$71&amp;"_PRE_Y",Dulieu!$C$88:$N$400,2,FALSE)</f>
        <v>0</v>
      </c>
      <c r="E127" s="40">
        <f>+E125-VLOOKUP(Dulieu!$C$71&amp;"_PRE_Y",Dulieu!$C$88:$N$400,3,FALSE)</f>
        <v>0</v>
      </c>
      <c r="F127" s="40">
        <f>+F125-VLOOKUP(Dulieu!$C$71&amp;"_PRE_Y",Dulieu!$C$88:$N$400,4,FALSE)</f>
        <v>0</v>
      </c>
      <c r="G127" s="40">
        <f>+G125-VLOOKUP(Dulieu!$C$71&amp;"_PRE_Y",Dulieu!$C$88:$N$400,5,FALSE)</f>
        <v>0</v>
      </c>
      <c r="H127" s="40">
        <f>+H125-VLOOKUP(Dulieu!$C$71&amp;"_PRE_Y",Dulieu!$C$88:$N$400,6,FALSE)</f>
        <v>0</v>
      </c>
      <c r="I127" s="40">
        <f>+I125-VLOOKUP(Dulieu!$C$71&amp;"_PRE_Y",Dulieu!$C$88:$N$400,7,FALSE)</f>
        <v>0</v>
      </c>
      <c r="J127" s="40">
        <f>+J125-VLOOKUP(Dulieu!$C$71&amp;"_PRE_Y",Dulieu!$C$88:$N$400,8,FALSE)</f>
        <v>0</v>
      </c>
      <c r="K127" s="40">
        <f>+K125-VLOOKUP(Dulieu!$C$71&amp;"_PRE_Y",Dulieu!$C$88:$N$400,9,FALSE)</f>
        <v>0</v>
      </c>
      <c r="L127" s="40">
        <f>+L125-VLOOKUP(Dulieu!$C$71&amp;"_PRE_Y",Dulieu!$C$88:$N$400,10,FALSE)</f>
        <v>0</v>
      </c>
      <c r="M127" s="40">
        <f>+M125-VLOOKUP(Dulieu!$C$71&amp;"_PRE_Y",Dulieu!$C$88:$N$400,11,FALSE)</f>
        <v>0</v>
      </c>
      <c r="N127" s="40">
        <f>+N125-VLOOKUP(Dulieu!$C$71&amp;"_PRE_Y",Dulieu!$C$88:$N$400,12,FALSE)</f>
        <v>0</v>
      </c>
      <c r="O127" s="40">
        <f>+O125-VLOOKUP(Dulieu!$C$71&amp;"_PRE_Y",Dulieu!$C$88:$Y$400,13,FALSE)</f>
        <v>0</v>
      </c>
      <c r="P127" s="40">
        <f>+P125-VLOOKUP(Dulieu!$C$71&amp;"_PRE_Y",Dulieu!$C$88:$Y$400,14,FALSE)</f>
        <v>0</v>
      </c>
      <c r="Q127" s="40">
        <f>+Q125-VLOOKUP(Dulieu!$C$71&amp;"_PRE_Y",Dulieu!$C$88:$Y$400,15,FALSE)</f>
        <v>0</v>
      </c>
      <c r="R127" s="40">
        <f>+R125-VLOOKUP(Dulieu!$C$71&amp;"_PRE_Y",Dulieu!$C$88:$Y$400,16,FALSE)</f>
        <v>0</v>
      </c>
      <c r="S127" s="40">
        <f>+S125-VLOOKUP(Dulieu!$C$71&amp;"_PRE_Y",Dulieu!$C$88:$Y$400,17,FALSE)</f>
        <v>0</v>
      </c>
      <c r="T127" s="40">
        <f>+T125-VLOOKUP(Dulieu!$C$71&amp;"_PRE_Y",Dulieu!$C$88:$Y$400,18,FALSE)</f>
        <v>0</v>
      </c>
      <c r="U127" s="40">
        <f>+U125-VLOOKUP(Dulieu!$C$71&amp;"_PRE_Y",Dulieu!$C$88:$Y$400,19,FALSE)</f>
        <v>0</v>
      </c>
      <c r="V127" s="40">
        <f>+V125-VLOOKUP(Dulieu!$C$71&amp;"_PRE_Y",Dulieu!$C$88:$Y$400,20,FALSE)</f>
        <v>-30</v>
      </c>
      <c r="W127" s="40">
        <f>+W125-VLOOKUP(Dulieu!$C$71&amp;"_PRE_Y",Dulieu!$C$88:$Y$400,21,FALSE)</f>
        <v>-376</v>
      </c>
      <c r="X127" s="40">
        <f>+X125-VLOOKUP(Dulieu!$C$71&amp;"_PRE_Y",Dulieu!$C$88:$Y$400,22,FALSE)</f>
        <v>0</v>
      </c>
      <c r="Y127" s="40">
        <f>+Y125-VLOOKUP(Dulieu!$C$71&amp;"_PRE_Y",Dulieu!$C$88:$Y$400,23,FALSE)</f>
        <v>0</v>
      </c>
    </row>
    <row r="128" spans="1:25" s="37" customFormat="1" ht="12" x14ac:dyDescent="0.25">
      <c r="A128" s="34">
        <v>12</v>
      </c>
      <c r="B128" s="35" t="s">
        <v>62</v>
      </c>
      <c r="C128" s="36">
        <f t="shared" si="34"/>
        <v>45</v>
      </c>
      <c r="D128" s="36">
        <f>+Dulieu!D72</f>
        <v>0</v>
      </c>
      <c r="E128" s="36">
        <f>+Dulieu!E72</f>
        <v>0</v>
      </c>
      <c r="F128" s="36">
        <f>+Dulieu!F72</f>
        <v>0</v>
      </c>
      <c r="G128" s="36">
        <f>+Dulieu!G72</f>
        <v>0</v>
      </c>
      <c r="H128" s="36">
        <f>+Dulieu!H72</f>
        <v>0</v>
      </c>
      <c r="I128" s="36">
        <f>+Dulieu!I72</f>
        <v>15</v>
      </c>
      <c r="J128" s="36">
        <f>+Dulieu!J72</f>
        <v>0</v>
      </c>
      <c r="K128" s="36">
        <f>+Dulieu!K72</f>
        <v>0</v>
      </c>
      <c r="L128" s="36">
        <f>+Dulieu!L72</f>
        <v>0</v>
      </c>
      <c r="M128" s="36">
        <f>+Dulieu!M72</f>
        <v>0</v>
      </c>
      <c r="N128" s="36">
        <f>+Dulieu!N72</f>
        <v>0</v>
      </c>
      <c r="O128" s="36">
        <f>+Dulieu!O72</f>
        <v>0</v>
      </c>
      <c r="P128" s="36">
        <f>+Dulieu!P72</f>
        <v>0</v>
      </c>
      <c r="Q128" s="36">
        <f>+Dulieu!Q72</f>
        <v>0</v>
      </c>
      <c r="R128" s="36">
        <f>+Dulieu!R72</f>
        <v>0</v>
      </c>
      <c r="S128" s="36">
        <f>+Dulieu!S72</f>
        <v>0</v>
      </c>
      <c r="T128" s="36">
        <f>+Dulieu!T72</f>
        <v>0</v>
      </c>
      <c r="U128" s="36">
        <f>+Dulieu!U72</f>
        <v>0</v>
      </c>
      <c r="V128" s="36">
        <f>+Dulieu!V72</f>
        <v>30</v>
      </c>
      <c r="W128" s="36">
        <f>+Dulieu!W72</f>
        <v>0</v>
      </c>
      <c r="X128" s="36">
        <f>+Dulieu!X72</f>
        <v>0</v>
      </c>
      <c r="Y128" s="36">
        <f>+Dulieu!Y72</f>
        <v>0</v>
      </c>
    </row>
    <row r="129" spans="1:25" s="41" customFormat="1" ht="12" x14ac:dyDescent="0.25">
      <c r="A129" s="38"/>
      <c r="B129" s="39" t="s">
        <v>91</v>
      </c>
      <c r="C129" s="40">
        <f t="shared" si="34"/>
        <v>0</v>
      </c>
      <c r="D129" s="40">
        <f>+D128-VLOOKUP(Dulieu!$C$72&amp;"_PRE_M",Dulieu!$C$88:$N$400,2,FALSE)</f>
        <v>0</v>
      </c>
      <c r="E129" s="40">
        <f>+E128-VLOOKUP(Dulieu!$C$72&amp;"_PRE_M",Dulieu!$C$88:$N$400,3,FALSE)</f>
        <v>0</v>
      </c>
      <c r="F129" s="40">
        <f>+F128-VLOOKUP(Dulieu!$C$72&amp;"_PRE_M",Dulieu!$C$88:$N$400,4,FALSE)</f>
        <v>0</v>
      </c>
      <c r="G129" s="40">
        <f>+G128-VLOOKUP(Dulieu!$C$72&amp;"_PRE_M",Dulieu!$C$88:$N$400,5,FALSE)</f>
        <v>0</v>
      </c>
      <c r="H129" s="40">
        <f>+H128-VLOOKUP(Dulieu!$C$72&amp;"_PRE_M",Dulieu!$C$88:$N$400,6,FALSE)</f>
        <v>0</v>
      </c>
      <c r="I129" s="40">
        <f>+I128-VLOOKUP(Dulieu!$C$72&amp;"_PRE_M",Dulieu!$C$88:$N$400,7,FALSE)</f>
        <v>0</v>
      </c>
      <c r="J129" s="40">
        <f>+J128-VLOOKUP(Dulieu!$C$72&amp;"_PRE_M",Dulieu!$C$88:$N$400,8,FALSE)</f>
        <v>0</v>
      </c>
      <c r="K129" s="40">
        <f>+K128-VLOOKUP(Dulieu!$C$72&amp;"_PRE_M",Dulieu!$C$88:$N$400,9,FALSE)</f>
        <v>0</v>
      </c>
      <c r="L129" s="40">
        <f>+L128-VLOOKUP(Dulieu!$C$72&amp;"_PRE_M",Dulieu!$C$88:$N$400,10,FALSE)</f>
        <v>0</v>
      </c>
      <c r="M129" s="40">
        <f>+M128-VLOOKUP(Dulieu!$C$72&amp;"_PRE_M",Dulieu!$C$88:$N$400,11,FALSE)</f>
        <v>0</v>
      </c>
      <c r="N129" s="40">
        <f>+N128-VLOOKUP(Dulieu!$C$72&amp;"_PRE_M",Dulieu!$C$88:$N$400,12,FALSE)</f>
        <v>0</v>
      </c>
      <c r="O129" s="40">
        <f>+O128-VLOOKUP(Dulieu!$C$72&amp;"_PRE_M",Dulieu!$C$88:$Y$400,13,FALSE)</f>
        <v>0</v>
      </c>
      <c r="P129" s="40">
        <f>+P128-VLOOKUP(Dulieu!$C$72&amp;"_PRE_M",Dulieu!$C$88:$Y$400,14,FALSE)</f>
        <v>0</v>
      </c>
      <c r="Q129" s="40">
        <f>+Q128-VLOOKUP(Dulieu!$C$72&amp;"_PRE_M",Dulieu!$C$88:$Y$400,15,FALSE)</f>
        <v>0</v>
      </c>
      <c r="R129" s="40">
        <f>+R128-VLOOKUP(Dulieu!$C$72&amp;"_PRE_M",Dulieu!$C$88:$Y$400,16,FALSE)</f>
        <v>0</v>
      </c>
      <c r="S129" s="40">
        <f>+S128-VLOOKUP(Dulieu!$C$72&amp;"_PRE_M",Dulieu!$C$88:$Y$400,17,FALSE)</f>
        <v>0</v>
      </c>
      <c r="T129" s="40">
        <f>+T128-VLOOKUP(Dulieu!$C$72&amp;"_PRE_M",Dulieu!$C$88:$Y$400,18,FALSE)</f>
        <v>0</v>
      </c>
      <c r="U129" s="40">
        <f>+U128-VLOOKUP(Dulieu!$C$72&amp;"_PRE_M",Dulieu!$C$88:$Y$400,19,FALSE)</f>
        <v>0</v>
      </c>
      <c r="V129" s="40">
        <f>+V128-VLOOKUP(Dulieu!$C$72&amp;"_PRE_M",Dulieu!$C$88:$Y$400,20,FALSE)</f>
        <v>0</v>
      </c>
      <c r="W129" s="40">
        <f>+W128-VLOOKUP(Dulieu!$C$72&amp;"_PRE_M",Dulieu!$C$88:$Y$400,21,FALSE)</f>
        <v>0</v>
      </c>
      <c r="X129" s="40">
        <f>+X128-VLOOKUP(Dulieu!$C$72&amp;"_PRE_M",Dulieu!$C$88:$Y$400,22,FALSE)</f>
        <v>0</v>
      </c>
      <c r="Y129" s="40">
        <f>+Y128-VLOOKUP(Dulieu!$C$72&amp;"_PRE_M",Dulieu!$C$88:$Y$400,23,FALSE)</f>
        <v>0</v>
      </c>
    </row>
    <row r="130" spans="1:25" s="41" customFormat="1" ht="12" x14ac:dyDescent="0.25">
      <c r="A130" s="38"/>
      <c r="B130" s="39" t="s">
        <v>92</v>
      </c>
      <c r="C130" s="40">
        <f t="shared" si="34"/>
        <v>0</v>
      </c>
      <c r="D130" s="40">
        <f>+D128-VLOOKUP(Dulieu!$C$72&amp;"_PRE_Y",Dulieu!$C$88:$N$400,2,FALSE)</f>
        <v>0</v>
      </c>
      <c r="E130" s="40">
        <f>+E128-VLOOKUP(Dulieu!$C$72&amp;"_PRE_Y",Dulieu!$C$88:$N$400,3,FALSE)</f>
        <v>0</v>
      </c>
      <c r="F130" s="40">
        <f>+F128-VLOOKUP(Dulieu!$C$72&amp;"_PRE_Y",Dulieu!$C$88:$N$400,4,FALSE)</f>
        <v>0</v>
      </c>
      <c r="G130" s="40">
        <f>+G128-VLOOKUP(Dulieu!$C$72&amp;"_PRE_Y",Dulieu!$C$88:$N$400,5,FALSE)</f>
        <v>0</v>
      </c>
      <c r="H130" s="40">
        <f>+H128-VLOOKUP(Dulieu!$C$72&amp;"_PRE_Y",Dulieu!$C$88:$N$400,6,FALSE)</f>
        <v>0</v>
      </c>
      <c r="I130" s="40">
        <f>+I128-VLOOKUP(Dulieu!$C$72&amp;"_PRE_Y",Dulieu!$C$88:$N$400,7,FALSE)</f>
        <v>0</v>
      </c>
      <c r="J130" s="40">
        <f>+J128-VLOOKUP(Dulieu!$C$72&amp;"_PRE_Y",Dulieu!$C$88:$N$400,8,FALSE)</f>
        <v>0</v>
      </c>
      <c r="K130" s="40">
        <f>+K128-VLOOKUP(Dulieu!$C$72&amp;"_PRE_Y",Dulieu!$C$88:$N$400,9,FALSE)</f>
        <v>0</v>
      </c>
      <c r="L130" s="40">
        <f>+L128-VLOOKUP(Dulieu!$C$72&amp;"_PRE_Y",Dulieu!$C$88:$N$400,10,FALSE)</f>
        <v>0</v>
      </c>
      <c r="M130" s="40">
        <f>+M128-VLOOKUP(Dulieu!$C$72&amp;"_PRE_Y",Dulieu!$C$88:$N$400,11,FALSE)</f>
        <v>0</v>
      </c>
      <c r="N130" s="40">
        <f>+N128-VLOOKUP(Dulieu!$C$72&amp;"_PRE_Y",Dulieu!$C$88:$N$400,12,FALSE)</f>
        <v>0</v>
      </c>
      <c r="O130" s="40">
        <f>+O128-VLOOKUP(Dulieu!$C$72&amp;"_PRE_Y",Dulieu!$C$88:$Y$400,13,FALSE)</f>
        <v>0</v>
      </c>
      <c r="P130" s="40">
        <f>+P128-VLOOKUP(Dulieu!$C$72&amp;"_PRE_Y",Dulieu!$C$88:$Y$400,14,FALSE)</f>
        <v>0</v>
      </c>
      <c r="Q130" s="40">
        <f>+Q128-VLOOKUP(Dulieu!$C$72&amp;"_PRE_Y",Dulieu!$C$88:$Y$400,15,FALSE)</f>
        <v>0</v>
      </c>
      <c r="R130" s="40">
        <f>+R128-VLOOKUP(Dulieu!$C$72&amp;"_PRE_Y",Dulieu!$C$88:$Y$400,16,FALSE)</f>
        <v>0</v>
      </c>
      <c r="S130" s="40">
        <f>+S128-VLOOKUP(Dulieu!$C$72&amp;"_PRE_Y",Dulieu!$C$88:$Y$400,17,FALSE)</f>
        <v>0</v>
      </c>
      <c r="T130" s="40">
        <f>+T128-VLOOKUP(Dulieu!$C$72&amp;"_PRE_Y",Dulieu!$C$88:$Y$400,18,FALSE)</f>
        <v>0</v>
      </c>
      <c r="U130" s="40">
        <f>+U128-VLOOKUP(Dulieu!$C$72&amp;"_PRE_Y",Dulieu!$C$88:$Y$400,19,FALSE)</f>
        <v>0</v>
      </c>
      <c r="V130" s="40">
        <f>+V128-VLOOKUP(Dulieu!$C$72&amp;"_PRE_Y",Dulieu!$C$88:$Y$400,20,FALSE)</f>
        <v>0</v>
      </c>
      <c r="W130" s="40">
        <f>+W128-VLOOKUP(Dulieu!$C$72&amp;"_PRE_Y",Dulieu!$C$88:$Y$400,21,FALSE)</f>
        <v>0</v>
      </c>
      <c r="X130" s="40">
        <f>+X128-VLOOKUP(Dulieu!$C$72&amp;"_PRE_Y",Dulieu!$C$88:$Y$400,22,FALSE)</f>
        <v>0</v>
      </c>
      <c r="Y130" s="40">
        <f>+Y128-VLOOKUP(Dulieu!$C$72&amp;"_PRE_Y",Dulieu!$C$88:$Y$400,23,FALSE)</f>
        <v>0</v>
      </c>
    </row>
    <row r="131" spans="1:25" s="32" customFormat="1" ht="12" x14ac:dyDescent="0.25">
      <c r="A131" s="42"/>
      <c r="B131" s="43" t="s">
        <v>42</v>
      </c>
      <c r="C131" s="44">
        <f t="shared" si="34"/>
        <v>30</v>
      </c>
      <c r="D131" s="44">
        <f>+Dulieu!D73</f>
        <v>0</v>
      </c>
      <c r="E131" s="44">
        <f>+Dulieu!E73</f>
        <v>0</v>
      </c>
      <c r="F131" s="44">
        <f>+Dulieu!F73</f>
        <v>0</v>
      </c>
      <c r="G131" s="44">
        <f>+Dulieu!G73</f>
        <v>0</v>
      </c>
      <c r="H131" s="44">
        <f>+Dulieu!H73</f>
        <v>0</v>
      </c>
      <c r="I131" s="44">
        <f>+Dulieu!I73</f>
        <v>0</v>
      </c>
      <c r="J131" s="44">
        <f>+Dulieu!J73</f>
        <v>0</v>
      </c>
      <c r="K131" s="44">
        <f>+Dulieu!K73</f>
        <v>0</v>
      </c>
      <c r="L131" s="44">
        <f>+Dulieu!L73</f>
        <v>0</v>
      </c>
      <c r="M131" s="44">
        <f>+Dulieu!M73</f>
        <v>0</v>
      </c>
      <c r="N131" s="44">
        <f>+Dulieu!N73</f>
        <v>0</v>
      </c>
      <c r="O131" s="44">
        <f>+Dulieu!O73</f>
        <v>0</v>
      </c>
      <c r="P131" s="44">
        <f>+Dulieu!P73</f>
        <v>0</v>
      </c>
      <c r="Q131" s="44">
        <f>+Dulieu!Q73</f>
        <v>0</v>
      </c>
      <c r="R131" s="44">
        <f>+Dulieu!R73</f>
        <v>0</v>
      </c>
      <c r="S131" s="44">
        <f>+Dulieu!S73</f>
        <v>0</v>
      </c>
      <c r="T131" s="44">
        <f>+Dulieu!T73</f>
        <v>0</v>
      </c>
      <c r="U131" s="44">
        <f>+Dulieu!U73</f>
        <v>0</v>
      </c>
      <c r="V131" s="44">
        <f>+Dulieu!V73</f>
        <v>30</v>
      </c>
      <c r="W131" s="44">
        <f>+Dulieu!W73</f>
        <v>0</v>
      </c>
      <c r="X131" s="44">
        <f>+Dulieu!X73</f>
        <v>0</v>
      </c>
      <c r="Y131" s="44">
        <f>+Dulieu!Y73</f>
        <v>0</v>
      </c>
    </row>
    <row r="132" spans="1:25" s="32" customFormat="1" ht="12" x14ac:dyDescent="0.25">
      <c r="A132" s="42"/>
      <c r="B132" s="43" t="s">
        <v>43</v>
      </c>
      <c r="C132" s="44">
        <f t="shared" si="34"/>
        <v>15</v>
      </c>
      <c r="D132" s="44">
        <f>+Dulieu!D74</f>
        <v>0</v>
      </c>
      <c r="E132" s="44">
        <f>+Dulieu!E74</f>
        <v>0</v>
      </c>
      <c r="F132" s="44">
        <f>+Dulieu!F74</f>
        <v>0</v>
      </c>
      <c r="G132" s="44">
        <f>+Dulieu!G74</f>
        <v>0</v>
      </c>
      <c r="H132" s="44">
        <f>+Dulieu!H74</f>
        <v>0</v>
      </c>
      <c r="I132" s="44">
        <f>+Dulieu!I74</f>
        <v>15</v>
      </c>
      <c r="J132" s="44">
        <f>+Dulieu!J74</f>
        <v>0</v>
      </c>
      <c r="K132" s="44">
        <f>+Dulieu!K74</f>
        <v>0</v>
      </c>
      <c r="L132" s="44">
        <f>+Dulieu!L74</f>
        <v>0</v>
      </c>
      <c r="M132" s="44">
        <f>+Dulieu!M74</f>
        <v>0</v>
      </c>
      <c r="N132" s="44">
        <f>+Dulieu!N74</f>
        <v>0</v>
      </c>
      <c r="O132" s="44">
        <f>+Dulieu!O74</f>
        <v>0</v>
      </c>
      <c r="P132" s="44">
        <f>+Dulieu!P74</f>
        <v>0</v>
      </c>
      <c r="Q132" s="44">
        <f>+Dulieu!Q74</f>
        <v>0</v>
      </c>
      <c r="R132" s="44">
        <f>+Dulieu!R74</f>
        <v>0</v>
      </c>
      <c r="S132" s="44">
        <f>+Dulieu!S74</f>
        <v>0</v>
      </c>
      <c r="T132" s="44">
        <f>+Dulieu!T74</f>
        <v>0</v>
      </c>
      <c r="U132" s="44">
        <f>+Dulieu!U74</f>
        <v>0</v>
      </c>
      <c r="V132" s="44">
        <f>+Dulieu!V74</f>
        <v>0</v>
      </c>
      <c r="W132" s="44">
        <f>+Dulieu!W74</f>
        <v>0</v>
      </c>
      <c r="X132" s="44">
        <f>+Dulieu!X74</f>
        <v>0</v>
      </c>
      <c r="Y132" s="44">
        <f>+Dulieu!Y74</f>
        <v>0</v>
      </c>
    </row>
    <row r="133" spans="1:25" s="37" customFormat="1" ht="12" x14ac:dyDescent="0.25">
      <c r="A133" s="34">
        <v>13</v>
      </c>
      <c r="B133" s="35" t="s">
        <v>63</v>
      </c>
      <c r="C133" s="36">
        <f t="shared" si="34"/>
        <v>1577</v>
      </c>
      <c r="D133" s="36">
        <f>+Dulieu!D75</f>
        <v>0</v>
      </c>
      <c r="E133" s="36">
        <f>+Dulieu!E75</f>
        <v>0</v>
      </c>
      <c r="F133" s="36">
        <f>+Dulieu!F75</f>
        <v>0</v>
      </c>
      <c r="G133" s="36">
        <f>+Dulieu!G75</f>
        <v>0</v>
      </c>
      <c r="H133" s="36">
        <f>+Dulieu!H75</f>
        <v>0</v>
      </c>
      <c r="I133" s="36">
        <f>+Dulieu!I75</f>
        <v>0</v>
      </c>
      <c r="J133" s="36">
        <f>+Dulieu!J75</f>
        <v>0</v>
      </c>
      <c r="K133" s="36">
        <f>+Dulieu!K75</f>
        <v>0</v>
      </c>
      <c r="L133" s="36">
        <f>+Dulieu!L75</f>
        <v>0</v>
      </c>
      <c r="M133" s="36">
        <f>+Dulieu!M75</f>
        <v>0</v>
      </c>
      <c r="N133" s="36">
        <f>+Dulieu!N75</f>
        <v>0</v>
      </c>
      <c r="O133" s="36">
        <f>+Dulieu!O75</f>
        <v>0</v>
      </c>
      <c r="P133" s="36">
        <f>+Dulieu!P75</f>
        <v>1367</v>
      </c>
      <c r="Q133" s="36">
        <f>+Dulieu!Q75</f>
        <v>0</v>
      </c>
      <c r="R133" s="36">
        <f>+Dulieu!R75</f>
        <v>0</v>
      </c>
      <c r="S133" s="36">
        <f>+Dulieu!S75</f>
        <v>0</v>
      </c>
      <c r="T133" s="36">
        <f>+Dulieu!T75</f>
        <v>0</v>
      </c>
      <c r="U133" s="36">
        <f>+Dulieu!U75</f>
        <v>0</v>
      </c>
      <c r="V133" s="36">
        <f>+Dulieu!V75</f>
        <v>100</v>
      </c>
      <c r="W133" s="36">
        <f>+Dulieu!W75</f>
        <v>40</v>
      </c>
      <c r="X133" s="36">
        <f>+Dulieu!X75</f>
        <v>70</v>
      </c>
      <c r="Y133" s="36">
        <f>+Dulieu!Y75</f>
        <v>0</v>
      </c>
    </row>
    <row r="134" spans="1:25" s="41" customFormat="1" ht="12" x14ac:dyDescent="0.25">
      <c r="A134" s="38"/>
      <c r="B134" s="39" t="s">
        <v>91</v>
      </c>
      <c r="C134" s="40">
        <f t="shared" si="34"/>
        <v>1577</v>
      </c>
      <c r="D134" s="40" cm="1">
        <f t="array" ref="D134">+D133-IFERROR(VLOOKUP(Dulieu!$C$75&amp;_PRE_M,Dulieu!$C$88:$N$400,2,FALSE),0)</f>
        <v>0</v>
      </c>
      <c r="E134" s="40" cm="1">
        <f t="array" ref="E134">+E133-IFERROR(VLOOKUP(Dulieu!$C$75&amp;_PRE_M,Dulieu!$C$88:$N$400,3,FALSE),0)</f>
        <v>0</v>
      </c>
      <c r="F134" s="40" cm="1">
        <f t="array" ref="F134">+F133-IFERROR(VLOOKUP(Dulieu!$C$75&amp;_PRE_M,Dulieu!$C$88:$N$400,4,FALSE),0)</f>
        <v>0</v>
      </c>
      <c r="G134" s="40" cm="1">
        <f t="array" ref="G134">+G133-IFERROR(VLOOKUP(Dulieu!$C$75&amp;_PRE_M,Dulieu!$C$88:$N$400,5,FALSE),0)</f>
        <v>0</v>
      </c>
      <c r="H134" s="40" cm="1">
        <f t="array" ref="H134">+H133-IFERROR(VLOOKUP(Dulieu!$C$75&amp;_PRE_M,Dulieu!$C$88:$N$400,6,FALSE),0)</f>
        <v>0</v>
      </c>
      <c r="I134" s="40" cm="1">
        <f t="array" ref="I134">+I133-IFERROR(VLOOKUP(Dulieu!$C$75&amp;_PRE_M,Dulieu!$C$88:$N$400,7,FALSE),0)</f>
        <v>0</v>
      </c>
      <c r="J134" s="40" cm="1">
        <f t="array" ref="J134">+J133-IFERROR(VLOOKUP(Dulieu!$C$75&amp;_PRE_M,Dulieu!$C$88:$N$400,8,FALSE),0)</f>
        <v>0</v>
      </c>
      <c r="K134" s="40" cm="1">
        <f t="array" ref="K134">+K133-IFERROR(VLOOKUP(Dulieu!$C$75&amp;_PRE_M,Dulieu!$C$88:$N$400,9,FALSE),0)</f>
        <v>0</v>
      </c>
      <c r="L134" s="40" cm="1">
        <f t="array" ref="L134">+L133-IFERROR(VLOOKUP(Dulieu!$C$75&amp;_PRE_M,Dulieu!$C$88:$N$400,10,FALSE),0)</f>
        <v>0</v>
      </c>
      <c r="M134" s="40" cm="1">
        <f t="array" ref="M134">+M133-IFERROR(VLOOKUP(Dulieu!$C$75&amp;_PRE_M,Dulieu!$C$88:$N$400,11,FALSE),0)</f>
        <v>0</v>
      </c>
      <c r="N134" s="40" cm="1">
        <f t="array" ref="N134">+N133-IFERROR(VLOOKUP(Dulieu!$C$75&amp;_PRE_M,Dulieu!$C$88:$N$400,12,FALSE),0)</f>
        <v>0</v>
      </c>
      <c r="O134" s="40" cm="1">
        <f t="array" ref="O134">+O133-IFERROR(VLOOKUP(Dulieu!$C$75&amp;_PRE_M,Dulieu!$C$88:$Y$400,13,FALSE),0)</f>
        <v>0</v>
      </c>
      <c r="P134" s="40" cm="1">
        <f t="array" ref="P134">+P133-IFERROR(VLOOKUP(Dulieu!$C$75&amp;_PRE_M,Dulieu!$C$88:$Y$400,14,FALSE),0)</f>
        <v>1367</v>
      </c>
      <c r="Q134" s="40" cm="1">
        <f t="array" ref="Q134">+Q133-IFERROR(VLOOKUP(Dulieu!$C$75&amp;_PRE_M,Dulieu!$C$88:$Y$400,15,FALSE),0)</f>
        <v>0</v>
      </c>
      <c r="R134" s="40" cm="1">
        <f t="array" ref="R134">+R133-IFERROR(VLOOKUP(Dulieu!$C$75&amp;_PRE_M,Dulieu!$C$88:$Y$400,16,FALSE),0)</f>
        <v>0</v>
      </c>
      <c r="S134" s="40" cm="1">
        <f t="array" ref="S134">+S133-IFERROR(VLOOKUP(Dulieu!$C$75&amp;_PRE_M,Dulieu!$C$88:$Y$400,17,FALSE),0)</f>
        <v>0</v>
      </c>
      <c r="T134" s="40" cm="1">
        <f t="array" ref="T134">+T133-IFERROR(VLOOKUP(Dulieu!$C$75&amp;_PRE_M,Dulieu!$C$88:$Y$400,18,FALSE),0)</f>
        <v>0</v>
      </c>
      <c r="U134" s="40" cm="1">
        <f t="array" ref="U134">+U133-IFERROR(VLOOKUP(Dulieu!$C$75&amp;_PRE_M,Dulieu!$C$88:$Y$400,19,FALSE),0)</f>
        <v>0</v>
      </c>
      <c r="V134" s="40" cm="1">
        <f t="array" ref="V134">+V133-IFERROR(VLOOKUP(Dulieu!$C$75&amp;_PRE_M,Dulieu!$C$88:$Y$400,20,FALSE),0)</f>
        <v>100</v>
      </c>
      <c r="W134" s="40" cm="1">
        <f t="array" ref="W134">+W133-IFERROR(VLOOKUP(Dulieu!$C$75&amp;_PRE_M,Dulieu!$C$88:$Y$400,21,FALSE),0)</f>
        <v>40</v>
      </c>
      <c r="X134" s="40" cm="1">
        <f t="array" ref="X134">+X133-IFERROR(VLOOKUP(Dulieu!$C$75&amp;_PRE_M,Dulieu!$C$88:$Y$400,22,FALSE),0)</f>
        <v>70</v>
      </c>
      <c r="Y134" s="40" cm="1">
        <f t="array" ref="Y134">+Y133-IFERROR(VLOOKUP(Dulieu!$C$75&amp;_PRE_M,Dulieu!$C$88:$Y$400,23,FALSE),0)</f>
        <v>0</v>
      </c>
    </row>
    <row r="135" spans="1:25" s="41" customFormat="1" ht="12" x14ac:dyDescent="0.25">
      <c r="A135" s="38"/>
      <c r="B135" s="39" t="s">
        <v>92</v>
      </c>
      <c r="C135" s="40">
        <f t="shared" si="34"/>
        <v>1577</v>
      </c>
      <c r="D135" s="40" cm="1">
        <f t="array" ref="D135">+D133-IFERROR(VLOOKUP(Dulieu!$C$75&amp;_PRE_Y,Dulieu!$C$88:$N$400,2,FALSE),0)</f>
        <v>0</v>
      </c>
      <c r="E135" s="40" cm="1">
        <f t="array" ref="E135">+E133-IFERROR(VLOOKUP(Dulieu!$C$75&amp;_PRE_Y,Dulieu!$C$88:$N$400,3,FALSE),0)</f>
        <v>0</v>
      </c>
      <c r="F135" s="40" cm="1">
        <f t="array" ref="F135">+F133-IFERROR(VLOOKUP(Dulieu!$C$75&amp;_PRE_Y,Dulieu!$C$88:$N$400,4,FALSE),0)</f>
        <v>0</v>
      </c>
      <c r="G135" s="40" cm="1">
        <f t="array" ref="G135">+G133-IFERROR(VLOOKUP(Dulieu!$C$75&amp;_PRE_Y,Dulieu!$C$88:$N$400,5,FALSE),0)</f>
        <v>0</v>
      </c>
      <c r="H135" s="40" cm="1">
        <f t="array" ref="H135">+H133-IFERROR(VLOOKUP(Dulieu!$C$75&amp;_PRE_Y,Dulieu!$C$88:$N$400,6,FALSE),0)</f>
        <v>0</v>
      </c>
      <c r="I135" s="40" cm="1">
        <f t="array" ref="I135">+I133-IFERROR(VLOOKUP(Dulieu!$C$75&amp;_PRE_Y,Dulieu!$C$88:$N$400,7,FALSE),0)</f>
        <v>0</v>
      </c>
      <c r="J135" s="40" cm="1">
        <f t="array" ref="J135">+J133-IFERROR(VLOOKUP(Dulieu!$C$75&amp;_PRE_Y,Dulieu!$C$88:$N$400,8,FALSE),0)</f>
        <v>0</v>
      </c>
      <c r="K135" s="40" cm="1">
        <f t="array" ref="K135">+K133-IFERROR(VLOOKUP(Dulieu!$C$75&amp;_PRE_Y,Dulieu!$C$88:$N$400,9,FALSE),0)</f>
        <v>0</v>
      </c>
      <c r="L135" s="40" cm="1">
        <f t="array" ref="L135">+L133-IFERROR(VLOOKUP(Dulieu!$C$75&amp;_PRE_Y,Dulieu!$C$88:$N$400,10,FALSE),0)</f>
        <v>0</v>
      </c>
      <c r="M135" s="40" cm="1">
        <f t="array" ref="M135">+M133-IFERROR(VLOOKUP(Dulieu!$C$75&amp;_PRE_Y,Dulieu!$C$88:$N$400,11,FALSE),0)</f>
        <v>0</v>
      </c>
      <c r="N135" s="40" cm="1">
        <f t="array" ref="N135">+N133-IFERROR(VLOOKUP(Dulieu!$C$75&amp;_PRE_Y,Dulieu!$C$88:$N$400,12,FALSE),0)</f>
        <v>0</v>
      </c>
      <c r="O135" s="40" cm="1">
        <f t="array" ref="O135">+O133-IFERROR(VLOOKUP(Dulieu!$C$75&amp;_PRE_Y,Dulieu!$C$88:$Y$400,13,FALSE),0)</f>
        <v>0</v>
      </c>
      <c r="P135" s="40" cm="1">
        <f t="array" ref="P135">+P133-IFERROR(VLOOKUP(Dulieu!$C$75&amp;_PRE_Y,Dulieu!$C$88:$Y$400,14,FALSE),0)</f>
        <v>1367</v>
      </c>
      <c r="Q135" s="40" cm="1">
        <f t="array" ref="Q135">+Q133-IFERROR(VLOOKUP(Dulieu!$C$75&amp;_PRE_Y,Dulieu!$C$88:$Y$400,15,FALSE),0)</f>
        <v>0</v>
      </c>
      <c r="R135" s="40" cm="1">
        <f t="array" ref="R135">+R133-IFERROR(VLOOKUP(Dulieu!$C$75&amp;_PRE_Y,Dulieu!$C$88:$Y$400,16,FALSE),0)</f>
        <v>0</v>
      </c>
      <c r="S135" s="40" cm="1">
        <f t="array" ref="S135">+S133-IFERROR(VLOOKUP(Dulieu!$C$75&amp;_PRE_Y,Dulieu!$C$88:$Y$400,17,FALSE),0)</f>
        <v>0</v>
      </c>
      <c r="T135" s="40" cm="1">
        <f t="array" ref="T135">+T133-IFERROR(VLOOKUP(Dulieu!$C$75&amp;_PRE_Y,Dulieu!$C$88:$Y$400,18,FALSE),0)</f>
        <v>0</v>
      </c>
      <c r="U135" s="40" cm="1">
        <f t="array" ref="U135">+U133-IFERROR(VLOOKUP(Dulieu!$C$75&amp;_PRE_Y,Dulieu!$C$88:$Y$400,19,FALSE),0)</f>
        <v>0</v>
      </c>
      <c r="V135" s="40" cm="1">
        <f t="array" ref="V135">+V133-IFERROR(VLOOKUP(Dulieu!$C$75&amp;_PRE_Y,Dulieu!$C$88:$Y$400,20,FALSE),0)</f>
        <v>100</v>
      </c>
      <c r="W135" s="40" cm="1">
        <f t="array" ref="W135">+W133-IFERROR(VLOOKUP(Dulieu!$C$75&amp;_PRE_Y,Dulieu!$C$88:$Y$400,21,FALSE),0)</f>
        <v>40</v>
      </c>
      <c r="X135" s="40" cm="1">
        <f t="array" ref="X135">+X133-IFERROR(VLOOKUP(Dulieu!$C$75&amp;_PRE_Y,Dulieu!$C$88:$Y$400,22,FALSE),0)</f>
        <v>70</v>
      </c>
      <c r="Y135" s="40" cm="1">
        <f t="array" ref="Y135">+Y133-IFERROR(VLOOKUP(Dulieu!$C$75&amp;_PRE_Y,Dulieu!$C$88:$Y$400,23,FALSE),0)</f>
        <v>0</v>
      </c>
    </row>
    <row r="136" spans="1:25" s="32" customFormat="1" ht="12" x14ac:dyDescent="0.25">
      <c r="A136" s="42"/>
      <c r="B136" s="43" t="s">
        <v>42</v>
      </c>
      <c r="C136" s="44">
        <f t="shared" si="34"/>
        <v>1577</v>
      </c>
      <c r="D136" s="44">
        <f>+Dulieu!D76</f>
        <v>0</v>
      </c>
      <c r="E136" s="44">
        <f>+Dulieu!E76</f>
        <v>0</v>
      </c>
      <c r="F136" s="44">
        <f>+Dulieu!F76</f>
        <v>0</v>
      </c>
      <c r="G136" s="44">
        <f>+Dulieu!G76</f>
        <v>0</v>
      </c>
      <c r="H136" s="44">
        <f>+Dulieu!H76</f>
        <v>0</v>
      </c>
      <c r="I136" s="44">
        <f>+Dulieu!I76</f>
        <v>0</v>
      </c>
      <c r="J136" s="44">
        <f>+Dulieu!J76</f>
        <v>0</v>
      </c>
      <c r="K136" s="44">
        <f>+Dulieu!K76</f>
        <v>0</v>
      </c>
      <c r="L136" s="44">
        <f>+Dulieu!L76</f>
        <v>0</v>
      </c>
      <c r="M136" s="44">
        <f>+Dulieu!M76</f>
        <v>0</v>
      </c>
      <c r="N136" s="44">
        <f>+Dulieu!N76</f>
        <v>0</v>
      </c>
      <c r="O136" s="44">
        <f>+Dulieu!O76</f>
        <v>0</v>
      </c>
      <c r="P136" s="44">
        <f>+Dulieu!P76</f>
        <v>1367</v>
      </c>
      <c r="Q136" s="44">
        <f>+Dulieu!Q76</f>
        <v>0</v>
      </c>
      <c r="R136" s="44">
        <f>+Dulieu!R76</f>
        <v>0</v>
      </c>
      <c r="S136" s="44">
        <f>+Dulieu!S76</f>
        <v>0</v>
      </c>
      <c r="T136" s="44">
        <f>+Dulieu!T76</f>
        <v>0</v>
      </c>
      <c r="U136" s="44">
        <f>+Dulieu!U76</f>
        <v>0</v>
      </c>
      <c r="V136" s="44">
        <f>+Dulieu!V76</f>
        <v>100</v>
      </c>
      <c r="W136" s="44">
        <f>+Dulieu!W76</f>
        <v>40</v>
      </c>
      <c r="X136" s="44">
        <f>+Dulieu!X76</f>
        <v>70</v>
      </c>
      <c r="Y136" s="44">
        <f>+Dulieu!Y76</f>
        <v>0</v>
      </c>
    </row>
    <row r="137" spans="1:25" s="32" customFormat="1" ht="12" x14ac:dyDescent="0.25">
      <c r="A137" s="42"/>
      <c r="B137" s="43" t="s">
        <v>43</v>
      </c>
      <c r="C137" s="44">
        <f t="shared" si="34"/>
        <v>0</v>
      </c>
      <c r="D137" s="44">
        <f>+Dulieu!D77</f>
        <v>0</v>
      </c>
      <c r="E137" s="44">
        <f>+Dulieu!E77</f>
        <v>0</v>
      </c>
      <c r="F137" s="44">
        <f>+Dulieu!F77</f>
        <v>0</v>
      </c>
      <c r="G137" s="44">
        <f>+Dulieu!G77</f>
        <v>0</v>
      </c>
      <c r="H137" s="44">
        <f>+Dulieu!H77</f>
        <v>0</v>
      </c>
      <c r="I137" s="44">
        <f>+Dulieu!I77</f>
        <v>0</v>
      </c>
      <c r="J137" s="44">
        <f>+Dulieu!J77</f>
        <v>0</v>
      </c>
      <c r="K137" s="44">
        <f>+Dulieu!K77</f>
        <v>0</v>
      </c>
      <c r="L137" s="44">
        <f>+Dulieu!L77</f>
        <v>0</v>
      </c>
      <c r="M137" s="44">
        <f>+Dulieu!M77</f>
        <v>0</v>
      </c>
      <c r="N137" s="44">
        <f>+Dulieu!N77</f>
        <v>0</v>
      </c>
      <c r="O137" s="44">
        <f>+Dulieu!O77</f>
        <v>0</v>
      </c>
      <c r="P137" s="44">
        <f>+Dulieu!P77</f>
        <v>0</v>
      </c>
      <c r="Q137" s="44">
        <f>+Dulieu!Q77</f>
        <v>0</v>
      </c>
      <c r="R137" s="44">
        <f>+Dulieu!R77</f>
        <v>0</v>
      </c>
      <c r="S137" s="44">
        <f>+Dulieu!S77</f>
        <v>0</v>
      </c>
      <c r="T137" s="44">
        <f>+Dulieu!T77</f>
        <v>0</v>
      </c>
      <c r="U137" s="44">
        <f>+Dulieu!U77</f>
        <v>0</v>
      </c>
      <c r="V137" s="44">
        <f>+Dulieu!V77</f>
        <v>0</v>
      </c>
      <c r="W137" s="44">
        <f>+Dulieu!W77</f>
        <v>0</v>
      </c>
      <c r="X137" s="44">
        <f>+Dulieu!X77</f>
        <v>0</v>
      </c>
      <c r="Y137" s="44">
        <f>+Dulieu!Y77</f>
        <v>0</v>
      </c>
    </row>
    <row r="138" spans="1:25" s="37" customFormat="1" ht="12" x14ac:dyDescent="0.25">
      <c r="A138" s="34">
        <v>14</v>
      </c>
      <c r="B138" s="35" t="s">
        <v>64</v>
      </c>
      <c r="C138" s="36">
        <f t="shared" si="34"/>
        <v>354.88</v>
      </c>
      <c r="D138" s="36">
        <f>+Dulieu!D78</f>
        <v>14</v>
      </c>
      <c r="E138" s="36">
        <f>+Dulieu!E78</f>
        <v>0</v>
      </c>
      <c r="F138" s="36">
        <f>+Dulieu!F78</f>
        <v>0</v>
      </c>
      <c r="G138" s="36">
        <f>+Dulieu!G78</f>
        <v>0</v>
      </c>
      <c r="H138" s="36">
        <f>+Dulieu!H78</f>
        <v>0</v>
      </c>
      <c r="I138" s="36">
        <f>+Dulieu!I78</f>
        <v>100</v>
      </c>
      <c r="J138" s="36">
        <f>+Dulieu!J78</f>
        <v>0</v>
      </c>
      <c r="K138" s="36">
        <f>+Dulieu!K78</f>
        <v>0</v>
      </c>
      <c r="L138" s="36">
        <f>+Dulieu!L78</f>
        <v>0</v>
      </c>
      <c r="M138" s="36">
        <f>+Dulieu!M78</f>
        <v>0</v>
      </c>
      <c r="N138" s="36">
        <f>+Dulieu!N78</f>
        <v>0</v>
      </c>
      <c r="O138" s="36">
        <f>+Dulieu!O78</f>
        <v>0</v>
      </c>
      <c r="P138" s="36">
        <f>+Dulieu!P78</f>
        <v>0</v>
      </c>
      <c r="Q138" s="36">
        <f>+Dulieu!Q78</f>
        <v>0</v>
      </c>
      <c r="R138" s="36">
        <f>+Dulieu!R78</f>
        <v>0</v>
      </c>
      <c r="S138" s="36">
        <f>+Dulieu!S78</f>
        <v>72.5</v>
      </c>
      <c r="T138" s="36">
        <f>+Dulieu!T78</f>
        <v>0</v>
      </c>
      <c r="U138" s="36">
        <f>+Dulieu!U78</f>
        <v>0</v>
      </c>
      <c r="V138" s="36">
        <f>+Dulieu!V78</f>
        <v>0</v>
      </c>
      <c r="W138" s="36">
        <f>+Dulieu!W78</f>
        <v>0</v>
      </c>
      <c r="X138" s="36">
        <f>+Dulieu!X78</f>
        <v>70.3</v>
      </c>
      <c r="Y138" s="36">
        <f>+Dulieu!Y78</f>
        <v>98.08</v>
      </c>
    </row>
    <row r="139" spans="1:25" s="41" customFormat="1" ht="12" x14ac:dyDescent="0.25">
      <c r="A139" s="38"/>
      <c r="B139" s="39" t="s">
        <v>91</v>
      </c>
      <c r="C139" s="40">
        <f t="shared" si="34"/>
        <v>62.29</v>
      </c>
      <c r="D139" s="40">
        <f>+D138-VLOOKUP(Dulieu!$C$78&amp;"_PRE_M",Dulieu!$C$88:$N$400,2,FALSE)</f>
        <v>0</v>
      </c>
      <c r="E139" s="40">
        <f>+E138-VLOOKUP(Dulieu!$C$78&amp;"_PRE_M",Dulieu!$C$88:$N$400,3,FALSE)</f>
        <v>0</v>
      </c>
      <c r="F139" s="40">
        <f>+F138-VLOOKUP(Dulieu!$C$78&amp;"_PRE_M",Dulieu!$C$88:$N$400,4,FALSE)</f>
        <v>0</v>
      </c>
      <c r="G139" s="40">
        <f>+G138-VLOOKUP(Dulieu!$C$78&amp;"_PRE_M",Dulieu!$C$88:$N$400,5,FALSE)</f>
        <v>0</v>
      </c>
      <c r="H139" s="40">
        <f>+H138-VLOOKUP(Dulieu!$C$78&amp;"_PRE_M",Dulieu!$C$88:$N$400,6,FALSE)</f>
        <v>0</v>
      </c>
      <c r="I139" s="40">
        <f>+I138-VLOOKUP(Dulieu!$C$78&amp;"_PRE_M",Dulieu!$C$88:$N$400,7,FALSE)</f>
        <v>0</v>
      </c>
      <c r="J139" s="40">
        <f>+J138-VLOOKUP(Dulieu!$C$78&amp;"_PRE_M",Dulieu!$C$88:$N$400,8,FALSE)</f>
        <v>0</v>
      </c>
      <c r="K139" s="40">
        <f>+K138-VLOOKUP(Dulieu!$C$78&amp;"_PRE_M",Dulieu!$C$88:$N$400,9,FALSE)</f>
        <v>0</v>
      </c>
      <c r="L139" s="40">
        <f>+L138-VLOOKUP(Dulieu!$C$78&amp;"_PRE_M",Dulieu!$C$88:$N$400,10,FALSE)</f>
        <v>0</v>
      </c>
      <c r="M139" s="40">
        <f>+M138-VLOOKUP(Dulieu!$C$78&amp;"_PRE_M",Dulieu!$C$88:$N$400,11,FALSE)</f>
        <v>0</v>
      </c>
      <c r="N139" s="40">
        <f>+N138-VLOOKUP(Dulieu!$C$78&amp;"_PRE_M",Dulieu!$C$88:$N$400,12,FALSE)</f>
        <v>0</v>
      </c>
      <c r="O139" s="40">
        <f>+O138-VLOOKUP(Dulieu!$C$78&amp;"_PRE_M",Dulieu!$C$88:$Y$400,13,FALSE)</f>
        <v>0</v>
      </c>
      <c r="P139" s="40">
        <f>+P138-VLOOKUP(Dulieu!$C$78&amp;"_PRE_M",Dulieu!$C$88:$Y$400,14,FALSE)</f>
        <v>0</v>
      </c>
      <c r="Q139" s="40">
        <f>+Q138-VLOOKUP(Dulieu!$C$78&amp;"_PRE_M",Dulieu!$C$88:$Y$400,15,FALSE)</f>
        <v>0</v>
      </c>
      <c r="R139" s="40">
        <f>+R138-VLOOKUP(Dulieu!$C$78&amp;"_PRE_M",Dulieu!$C$88:$Y$400,16,FALSE)</f>
        <v>0</v>
      </c>
      <c r="S139" s="40">
        <f>+S138-VLOOKUP(Dulieu!$C$78&amp;"_PRE_M",Dulieu!$C$88:$Y$400,17,FALSE)</f>
        <v>0</v>
      </c>
      <c r="T139" s="40">
        <f>+T138-VLOOKUP(Dulieu!$C$78&amp;"_PRE_M",Dulieu!$C$88:$Y$400,18,FALSE)</f>
        <v>0</v>
      </c>
      <c r="U139" s="40">
        <f>+U138-VLOOKUP(Dulieu!$C$78&amp;"_PRE_M",Dulieu!$C$88:$Y$400,19,FALSE)</f>
        <v>0</v>
      </c>
      <c r="V139" s="40">
        <f>+V138-VLOOKUP(Dulieu!$C$78&amp;"_PRE_M",Dulieu!$C$88:$Y$400,20,FALSE)</f>
        <v>0</v>
      </c>
      <c r="W139" s="40">
        <f>+W138-VLOOKUP(Dulieu!$C$78&amp;"_PRE_M",Dulieu!$C$88:$Y$400,21,FALSE)</f>
        <v>0</v>
      </c>
      <c r="X139" s="40">
        <f>+X138-VLOOKUP(Dulieu!$C$78&amp;"_PRE_M",Dulieu!$C$88:$Y$400,22,FALSE)</f>
        <v>0</v>
      </c>
      <c r="Y139" s="40">
        <f>+Y138-VLOOKUP(Dulieu!$C$78&amp;"_PRE_M",Dulieu!$C$88:$Y$400,23,FALSE)</f>
        <v>62.29</v>
      </c>
    </row>
    <row r="140" spans="1:25" s="41" customFormat="1" ht="12" x14ac:dyDescent="0.25">
      <c r="A140" s="38"/>
      <c r="B140" s="39" t="s">
        <v>92</v>
      </c>
      <c r="C140" s="40">
        <f t="shared" si="34"/>
        <v>55.19</v>
      </c>
      <c r="D140" s="40">
        <f>+D138-VLOOKUP(Dulieu!$C$78&amp;"_PRE_Y",Dulieu!$C$88:$N$400,2,FALSE)</f>
        <v>0</v>
      </c>
      <c r="E140" s="40">
        <f>+E138-VLOOKUP(Dulieu!$C$78&amp;"_PRE_Y",Dulieu!$C$88:$N$400,3,FALSE)</f>
        <v>0</v>
      </c>
      <c r="F140" s="40">
        <f>+F138-VLOOKUP(Dulieu!$C$78&amp;"_PRE_Y",Dulieu!$C$88:$N$400,4,FALSE)</f>
        <v>0</v>
      </c>
      <c r="G140" s="40">
        <f>+G138-VLOOKUP(Dulieu!$C$78&amp;"_PRE_Y",Dulieu!$C$88:$N$400,5,FALSE)</f>
        <v>0</v>
      </c>
      <c r="H140" s="40">
        <f>+H138-VLOOKUP(Dulieu!$C$78&amp;"_PRE_Y",Dulieu!$C$88:$N$400,6,FALSE)</f>
        <v>0</v>
      </c>
      <c r="I140" s="40">
        <f>+I138-VLOOKUP(Dulieu!$C$78&amp;"_PRE_Y",Dulieu!$C$88:$N$400,7,FALSE)</f>
        <v>0</v>
      </c>
      <c r="J140" s="40">
        <f>+J138-VLOOKUP(Dulieu!$C$78&amp;"_PRE_Y",Dulieu!$C$88:$N$400,8,FALSE)</f>
        <v>0</v>
      </c>
      <c r="K140" s="40">
        <f>+K138-VLOOKUP(Dulieu!$C$78&amp;"_PRE_Y",Dulieu!$C$88:$N$400,9,FALSE)</f>
        <v>0</v>
      </c>
      <c r="L140" s="40">
        <f>+L138-VLOOKUP(Dulieu!$C$78&amp;"_PRE_Y",Dulieu!$C$88:$N$400,10,FALSE)</f>
        <v>0</v>
      </c>
      <c r="M140" s="40">
        <f>+M138-VLOOKUP(Dulieu!$C$78&amp;"_PRE_Y",Dulieu!$C$88:$N$400,11,FALSE)</f>
        <v>0</v>
      </c>
      <c r="N140" s="40">
        <f>+N138-VLOOKUP(Dulieu!$C$78&amp;"_PRE_Y",Dulieu!$C$88:$N$400,12,FALSE)</f>
        <v>0</v>
      </c>
      <c r="O140" s="40">
        <f>+O138-VLOOKUP(Dulieu!$C$78&amp;"_PRE_Y",Dulieu!$C$88:$Y$400,13,FALSE)</f>
        <v>0</v>
      </c>
      <c r="P140" s="40">
        <f>+P138-VLOOKUP(Dulieu!$C$78&amp;"_PRE_Y",Dulieu!$C$88:$Y$400,14,FALSE)</f>
        <v>0</v>
      </c>
      <c r="Q140" s="40">
        <f>+Q138-VLOOKUP(Dulieu!$C$78&amp;"_PRE_Y",Dulieu!$C$88:$Y$400,15,FALSE)</f>
        <v>0</v>
      </c>
      <c r="R140" s="40">
        <f>+R138-VLOOKUP(Dulieu!$C$78&amp;"_PRE_Y",Dulieu!$C$88:$Y$400,16,FALSE)</f>
        <v>0</v>
      </c>
      <c r="S140" s="40">
        <f>+S138-VLOOKUP(Dulieu!$C$78&amp;"_PRE_Y",Dulieu!$C$88:$Y$400,17,FALSE)</f>
        <v>0</v>
      </c>
      <c r="T140" s="40">
        <f>+T138-VLOOKUP(Dulieu!$C$78&amp;"_PRE_Y",Dulieu!$C$88:$Y$400,18,FALSE)</f>
        <v>0</v>
      </c>
      <c r="U140" s="40">
        <f>+U138-VLOOKUP(Dulieu!$C$78&amp;"_PRE_Y",Dulieu!$C$88:$Y$400,19,FALSE)</f>
        <v>0</v>
      </c>
      <c r="V140" s="40">
        <f>+V138-VLOOKUP(Dulieu!$C$78&amp;"_PRE_Y",Dulieu!$C$88:$Y$400,20,FALSE)</f>
        <v>0</v>
      </c>
      <c r="W140" s="40">
        <f>+W138-VLOOKUP(Dulieu!$C$78&amp;"_PRE_Y",Dulieu!$C$88:$Y$400,21,FALSE)</f>
        <v>0</v>
      </c>
      <c r="X140" s="40">
        <f>+X138-VLOOKUP(Dulieu!$C$78&amp;"_PRE_Y",Dulieu!$C$88:$Y$400,22,FALSE)</f>
        <v>0</v>
      </c>
      <c r="Y140" s="40">
        <f>+Y138-VLOOKUP(Dulieu!$C$78&amp;"_PRE_Y",Dulieu!$C$88:$Y$400,23,FALSE)</f>
        <v>55.19</v>
      </c>
    </row>
    <row r="141" spans="1:25" s="32" customFormat="1" ht="12" x14ac:dyDescent="0.25">
      <c r="A141" s="42"/>
      <c r="B141" s="43" t="s">
        <v>65</v>
      </c>
      <c r="C141" s="44">
        <f t="shared" si="34"/>
        <v>278.59000000000003</v>
      </c>
      <c r="D141" s="44">
        <f>+Dulieu!D79</f>
        <v>0</v>
      </c>
      <c r="E141" s="44">
        <f>+Dulieu!E79</f>
        <v>0</v>
      </c>
      <c r="F141" s="44">
        <f>+Dulieu!F79</f>
        <v>0</v>
      </c>
      <c r="G141" s="44">
        <f>+Dulieu!G79</f>
        <v>0</v>
      </c>
      <c r="H141" s="44">
        <f>+Dulieu!H79</f>
        <v>0</v>
      </c>
      <c r="I141" s="44">
        <f>+Dulieu!I79</f>
        <v>100</v>
      </c>
      <c r="J141" s="44">
        <f>+Dulieu!J79</f>
        <v>0</v>
      </c>
      <c r="K141" s="44">
        <f>+Dulieu!K79</f>
        <v>0</v>
      </c>
      <c r="L141" s="44">
        <f>+Dulieu!L79</f>
        <v>0</v>
      </c>
      <c r="M141" s="44">
        <f>+Dulieu!M79</f>
        <v>0</v>
      </c>
      <c r="N141" s="44">
        <f>+Dulieu!N79</f>
        <v>0</v>
      </c>
      <c r="O141" s="44">
        <f>+Dulieu!O79</f>
        <v>0</v>
      </c>
      <c r="P141" s="44">
        <f>+Dulieu!P79</f>
        <v>0</v>
      </c>
      <c r="Q141" s="44">
        <f>+Dulieu!Q79</f>
        <v>0</v>
      </c>
      <c r="R141" s="44">
        <f>+Dulieu!R79</f>
        <v>0</v>
      </c>
      <c r="S141" s="44">
        <f>+Dulieu!S79</f>
        <v>72.5</v>
      </c>
      <c r="T141" s="44">
        <f>+Dulieu!T79</f>
        <v>0</v>
      </c>
      <c r="U141" s="44">
        <f>+Dulieu!U79</f>
        <v>0</v>
      </c>
      <c r="V141" s="44">
        <f>+Dulieu!V79</f>
        <v>0</v>
      </c>
      <c r="W141" s="44">
        <f>+Dulieu!W79</f>
        <v>0</v>
      </c>
      <c r="X141" s="44">
        <f>+Dulieu!X79</f>
        <v>70.3</v>
      </c>
      <c r="Y141" s="44">
        <f>+Dulieu!Y79</f>
        <v>35.79</v>
      </c>
    </row>
    <row r="142" spans="1:25" s="59" customFormat="1" ht="12" x14ac:dyDescent="0.25">
      <c r="A142" s="56">
        <v>15</v>
      </c>
      <c r="B142" s="57" t="s">
        <v>66</v>
      </c>
      <c r="C142" s="58">
        <f t="shared" si="34"/>
        <v>0</v>
      </c>
      <c r="D142" s="58">
        <f>+Dulieu!D80</f>
        <v>0</v>
      </c>
      <c r="E142" s="58">
        <f>+Dulieu!E80</f>
        <v>0</v>
      </c>
      <c r="F142" s="58">
        <f>+Dulieu!F80</f>
        <v>0</v>
      </c>
      <c r="G142" s="58">
        <f>+Dulieu!G80</f>
        <v>0</v>
      </c>
      <c r="H142" s="58">
        <f>+Dulieu!H80</f>
        <v>0</v>
      </c>
      <c r="I142" s="58">
        <f>+Dulieu!I80</f>
        <v>0</v>
      </c>
      <c r="J142" s="58">
        <f>+Dulieu!J80</f>
        <v>0</v>
      </c>
      <c r="K142" s="58">
        <f>+Dulieu!K80</f>
        <v>0</v>
      </c>
      <c r="L142" s="58">
        <f>+Dulieu!L80</f>
        <v>0</v>
      </c>
      <c r="M142" s="58">
        <f>+Dulieu!M80</f>
        <v>0</v>
      </c>
      <c r="N142" s="58">
        <f>+Dulieu!N80</f>
        <v>0</v>
      </c>
      <c r="O142" s="58">
        <f>+Dulieu!O80</f>
        <v>0</v>
      </c>
      <c r="P142" s="58">
        <f>+Dulieu!P80</f>
        <v>0</v>
      </c>
      <c r="Q142" s="58">
        <f>+Dulieu!Q80</f>
        <v>0</v>
      </c>
      <c r="R142" s="58">
        <f>+Dulieu!R80</f>
        <v>0</v>
      </c>
      <c r="S142" s="58">
        <f>+Dulieu!S80</f>
        <v>0</v>
      </c>
      <c r="T142" s="58">
        <f>+Dulieu!T80</f>
        <v>0</v>
      </c>
      <c r="U142" s="58">
        <f>+Dulieu!U80</f>
        <v>0</v>
      </c>
      <c r="V142" s="58">
        <f>+Dulieu!V80</f>
        <v>0</v>
      </c>
      <c r="W142" s="58">
        <f>+Dulieu!W80</f>
        <v>0</v>
      </c>
      <c r="X142" s="58">
        <f>+Dulieu!X80</f>
        <v>0</v>
      </c>
      <c r="Y142" s="58">
        <f>+Dulieu!Y80</f>
        <v>0</v>
      </c>
    </row>
    <row r="143" spans="1:25" s="63" customFormat="1" ht="12" x14ac:dyDescent="0.25">
      <c r="A143" s="60"/>
      <c r="B143" s="61" t="s">
        <v>91</v>
      </c>
      <c r="C143" s="62">
        <f t="shared" si="34"/>
        <v>0</v>
      </c>
      <c r="D143" s="62">
        <f>+D142-IFERROR(VLOOKUP(Dulieu!$C$80&amp;"_PRE_M",Dulieu!$C$88:$N$400,2,FALSE),0)</f>
        <v>0</v>
      </c>
      <c r="E143" s="62">
        <f>+E142-IFERROR(VLOOKUP(Dulieu!$C$80&amp;"_PRE_M",Dulieu!$C$88:$N$400,3,FALSE),0)</f>
        <v>0</v>
      </c>
      <c r="F143" s="62">
        <f>+F142-IFERROR(VLOOKUP(Dulieu!$C$80&amp;"_PRE_M",Dulieu!$C$88:$N$400,4,FALSE),0)</f>
        <v>0</v>
      </c>
      <c r="G143" s="62">
        <f>+G142-IFERROR(VLOOKUP(Dulieu!$C$80&amp;"_PRE_M",Dulieu!$C$88:$N$400,5,FALSE),0)</f>
        <v>0</v>
      </c>
      <c r="H143" s="62">
        <f>+H142-IFERROR(VLOOKUP(Dulieu!$C$80&amp;"_PRE_M",Dulieu!$C$88:$N$400,6,FALSE),0)</f>
        <v>0</v>
      </c>
      <c r="I143" s="62">
        <f>+I142-IFERROR(VLOOKUP(Dulieu!$C$80&amp;"_PRE_M",Dulieu!$C$88:$N$400,7,FALSE),0)</f>
        <v>0</v>
      </c>
      <c r="J143" s="62">
        <f>+J142-IFERROR(VLOOKUP(Dulieu!$C$80&amp;"_PRE_M",Dulieu!$C$88:$N$400,8,FALSE),0)</f>
        <v>0</v>
      </c>
      <c r="K143" s="62">
        <f>+K142-IFERROR(VLOOKUP(Dulieu!$C$80&amp;"_PRE_M",Dulieu!$C$88:$N$400,9,FALSE),0)</f>
        <v>0</v>
      </c>
      <c r="L143" s="62">
        <f>+L142-IFERROR(VLOOKUP(Dulieu!$C$80&amp;"_PRE_M",Dulieu!$C$88:$N$400,10,FALSE),0)</f>
        <v>0</v>
      </c>
      <c r="M143" s="62">
        <f>+M142-IFERROR(VLOOKUP(Dulieu!$C$80&amp;"_PRE_M",Dulieu!$C$88:$N$400,11,FALSE),0)</f>
        <v>0</v>
      </c>
      <c r="N143" s="62">
        <f>+N142-IFERROR(VLOOKUP(Dulieu!$C$80&amp;"_PRE_M",Dulieu!$C$88:$N$400,12,FALSE),0)</f>
        <v>0</v>
      </c>
      <c r="O143" s="62">
        <f>+O142-IFERROR(VLOOKUP(Dulieu!$C$80&amp;"_PRE_M",Dulieu!$C$88:$Y$400,13,FALSE),0)</f>
        <v>0</v>
      </c>
      <c r="P143" s="62">
        <f>+P142-IFERROR(VLOOKUP(Dulieu!$C$80&amp;"_PRE_M",Dulieu!$C$88:$Y$400,14,FALSE),0)</f>
        <v>0</v>
      </c>
      <c r="Q143" s="62">
        <f>+Q142-IFERROR(VLOOKUP(Dulieu!$C$80&amp;"_PRE_M",Dulieu!$C$88:$Y$400,15,FALSE),0)</f>
        <v>0</v>
      </c>
      <c r="R143" s="62">
        <f>+R142-IFERROR(VLOOKUP(Dulieu!$C$80&amp;"_PRE_M",Dulieu!$C$88:$Y$400,16,FALSE),0)</f>
        <v>0</v>
      </c>
      <c r="S143" s="62">
        <f>+S142-IFERROR(VLOOKUP(Dulieu!$C$80&amp;"_PRE_M",Dulieu!$C$88:$Y$400,17,FALSE),0)</f>
        <v>0</v>
      </c>
      <c r="T143" s="62">
        <f>+T142-IFERROR(VLOOKUP(Dulieu!$C$80&amp;"_PRE_M",Dulieu!$C$88:$Y$400,18,FALSE),0)</f>
        <v>0</v>
      </c>
      <c r="U143" s="62">
        <f>+U142-IFERROR(VLOOKUP(Dulieu!$C$80&amp;"_PRE_M",Dulieu!$C$88:$Y$400,19,FALSE),0)</f>
        <v>0</v>
      </c>
      <c r="V143" s="62">
        <f>+V142-IFERROR(VLOOKUP(Dulieu!$C$80&amp;"_PRE_M",Dulieu!$C$88:$Y$400,20,FALSE),0)</f>
        <v>0</v>
      </c>
      <c r="W143" s="62">
        <f>+W142-IFERROR(VLOOKUP(Dulieu!$C$80&amp;"_PRE_M",Dulieu!$C$88:$Y$400,21,FALSE),0)</f>
        <v>0</v>
      </c>
      <c r="X143" s="62">
        <f>+X142-IFERROR(VLOOKUP(Dulieu!$C$80&amp;"_PRE_M",Dulieu!$C$88:$Y$400,22,FALSE),0)</f>
        <v>0</v>
      </c>
      <c r="Y143" s="62">
        <f>+Y142-IFERROR(VLOOKUP(Dulieu!$C$80&amp;"_PRE_M",Dulieu!$C$88:$Y$400,23,FALSE),0)</f>
        <v>0</v>
      </c>
    </row>
    <row r="144" spans="1:25" s="63" customFormat="1" ht="12" x14ac:dyDescent="0.25">
      <c r="A144" s="60"/>
      <c r="B144" s="61" t="s">
        <v>92</v>
      </c>
      <c r="C144" s="62">
        <f t="shared" si="34"/>
        <v>0</v>
      </c>
      <c r="D144" s="62">
        <f>+D142-IFERROR(VLOOKUP(Dulieu!$C$80&amp;"_PRE_Y",Dulieu!$C$88:$N$400,2,FALSE),0)</f>
        <v>0</v>
      </c>
      <c r="E144" s="62">
        <f>+E142-IFERROR(VLOOKUP(Dulieu!$C$80&amp;"_PRE_Y",Dulieu!$C$88:$N$400,3,FALSE),0)</f>
        <v>0</v>
      </c>
      <c r="F144" s="62">
        <f>+F142-IFERROR(VLOOKUP(Dulieu!$C$80&amp;"_PRE_Y",Dulieu!$C$88:$N$400,4,FALSE),0)</f>
        <v>0</v>
      </c>
      <c r="G144" s="62">
        <f>+G142-IFERROR(VLOOKUP(Dulieu!$C$80&amp;"_PRE_Y",Dulieu!$C$88:$N$400,5,FALSE),0)</f>
        <v>0</v>
      </c>
      <c r="H144" s="62">
        <f>+H142-IFERROR(VLOOKUP(Dulieu!$C$80&amp;"_PRE_Y",Dulieu!$C$88:$N$400,6,FALSE),0)</f>
        <v>0</v>
      </c>
      <c r="I144" s="62">
        <f>+I142-IFERROR(VLOOKUP(Dulieu!$C$80&amp;"_PRE_Y",Dulieu!$C$88:$N$400,7,FALSE),0)</f>
        <v>0</v>
      </c>
      <c r="J144" s="62">
        <f>+J142-IFERROR(VLOOKUP(Dulieu!$C$80&amp;"_PRE_Y",Dulieu!$C$88:$N$400,8,FALSE),0)</f>
        <v>0</v>
      </c>
      <c r="K144" s="62">
        <f>+K142-IFERROR(VLOOKUP(Dulieu!$C$80&amp;"_PRE_Y",Dulieu!$C$88:$N$400,9,FALSE),0)</f>
        <v>0</v>
      </c>
      <c r="L144" s="62">
        <f>+L142-IFERROR(VLOOKUP(Dulieu!$C$80&amp;"_PRE_Y",Dulieu!$C$88:$N$400,10,FALSE),0)</f>
        <v>0</v>
      </c>
      <c r="M144" s="62">
        <f>+M142-IFERROR(VLOOKUP(Dulieu!$C$80&amp;"_PRE_Y",Dulieu!$C$88:$N$400,11,FALSE),0)</f>
        <v>0</v>
      </c>
      <c r="N144" s="62">
        <f>+N142-IFERROR(VLOOKUP(Dulieu!$C$80&amp;"_PRE_Y",Dulieu!$C$88:$N$400,12,FALSE),0)</f>
        <v>0</v>
      </c>
      <c r="O144" s="62">
        <f>+O142-IFERROR(VLOOKUP(Dulieu!$C$80&amp;"_PRE_Y",Dulieu!$C$88:$Y$400,13,FALSE),0)</f>
        <v>0</v>
      </c>
      <c r="P144" s="62">
        <f>+P142-IFERROR(VLOOKUP(Dulieu!$C$80&amp;"_PRE_Y",Dulieu!$C$88:$Y$400,14,FALSE),0)</f>
        <v>0</v>
      </c>
      <c r="Q144" s="62">
        <f>+Q142-IFERROR(VLOOKUP(Dulieu!$C$80&amp;"_PRE_Y",Dulieu!$C$88:$Y$400,15,FALSE),0)</f>
        <v>0</v>
      </c>
      <c r="R144" s="62">
        <f>+R142-IFERROR(VLOOKUP(Dulieu!$C$80&amp;"_PRE_Y",Dulieu!$C$88:$Y$400,16,FALSE),0)</f>
        <v>0</v>
      </c>
      <c r="S144" s="62">
        <f>+S142-IFERROR(VLOOKUP(Dulieu!$C$80&amp;"_PRE_Y",Dulieu!$C$88:$Y$400,17,FALSE),0)</f>
        <v>0</v>
      </c>
      <c r="T144" s="62">
        <f>+T142-IFERROR(VLOOKUP(Dulieu!$C$80&amp;"_PRE_Y",Dulieu!$C$88:$Y$400,18,FALSE),0)</f>
        <v>0</v>
      </c>
      <c r="U144" s="62">
        <f>+U142-IFERROR(VLOOKUP(Dulieu!$C$80&amp;"_PRE_Y",Dulieu!$C$88:$Y$400,19,FALSE),0)</f>
        <v>0</v>
      </c>
      <c r="V144" s="62">
        <f>+V142-IFERROR(VLOOKUP(Dulieu!$C$80&amp;"_PRE_Y",Dulieu!$C$88:$Y$400,20,FALSE),0)</f>
        <v>0</v>
      </c>
      <c r="W144" s="62">
        <f>+W142-IFERROR(VLOOKUP(Dulieu!$C$80&amp;"_PRE_Y",Dulieu!$C$88:$Y$400,21,FALSE),0)</f>
        <v>0</v>
      </c>
      <c r="X144" s="62">
        <f>+X142-IFERROR(VLOOKUP(Dulieu!$C$80&amp;"_PRE_Y",Dulieu!$C$88:$Y$400,22,FALSE),0)</f>
        <v>0</v>
      </c>
      <c r="Y144" s="62">
        <f>+Y142-IFERROR(VLOOKUP(Dulieu!$C$80&amp;"_PRE_Y",Dulieu!$C$88:$Y$400,23,FALSE),0)</f>
        <v>0</v>
      </c>
    </row>
    <row r="145" spans="1:25" s="59" customFormat="1" ht="12" x14ac:dyDescent="0.25">
      <c r="A145" s="56">
        <v>16</v>
      </c>
      <c r="B145" s="57" t="s">
        <v>67</v>
      </c>
      <c r="C145" s="58">
        <f t="shared" si="34"/>
        <v>0</v>
      </c>
      <c r="D145" s="58">
        <f>+Dulieu!D81 + VLOOKUP(LEFT(Dulieu!$C$81,12)&amp;"32",Dulieu!$C$88:$N$400,2,FALSE)</f>
        <v>0</v>
      </c>
      <c r="E145" s="58">
        <f>+Dulieu!E81 + VLOOKUP(LEFT(Dulieu!$C$81,12)&amp;"32",Dulieu!$C$88:$N$400,3,FALSE)</f>
        <v>0</v>
      </c>
      <c r="F145" s="58">
        <f>+Dulieu!F81 + VLOOKUP(LEFT(Dulieu!$C$81,12)&amp;"32",Dulieu!$C$88:$N$400,4,FALSE)</f>
        <v>0</v>
      </c>
      <c r="G145" s="58">
        <f>+Dulieu!G81 + VLOOKUP(LEFT(Dulieu!$C$81,12)&amp;"32",Dulieu!$C$88:$N$400,5,FALSE)</f>
        <v>0</v>
      </c>
      <c r="H145" s="58">
        <f>+Dulieu!H81 + VLOOKUP(LEFT(Dulieu!$C$81,12)&amp;"32",Dulieu!$C$88:$N$400,6,FALSE)</f>
        <v>0</v>
      </c>
      <c r="I145" s="58">
        <f>+Dulieu!I81 + VLOOKUP(LEFT(Dulieu!$C$81,12)&amp;"32",Dulieu!$C$88:$N$400,7,FALSE)</f>
        <v>0</v>
      </c>
      <c r="J145" s="58">
        <f>+Dulieu!J81 + VLOOKUP(LEFT(Dulieu!$C$81,12)&amp;"32",Dulieu!$C$88:$N$400,8,FALSE)</f>
        <v>0</v>
      </c>
      <c r="K145" s="58">
        <f>+Dulieu!K81 + VLOOKUP(LEFT(Dulieu!$C$81,12)&amp;"32",Dulieu!$C$88:$N$400,9,FALSE)</f>
        <v>0</v>
      </c>
      <c r="L145" s="58">
        <f>+Dulieu!L81 + VLOOKUP(LEFT(Dulieu!$C$81,12)&amp;"32",Dulieu!$C$88:$N$400,10,FALSE)</f>
        <v>0</v>
      </c>
      <c r="M145" s="58">
        <f>+Dulieu!M81 + VLOOKUP(LEFT(Dulieu!$C$81,12)&amp;"32",Dulieu!$C$88:$N$400,11,FALSE)</f>
        <v>0</v>
      </c>
      <c r="N145" s="58">
        <f>+Dulieu!N81 + VLOOKUP(LEFT(Dulieu!$C$81,12)&amp;"32",Dulieu!$C$88:$N$400,12,FALSE)</f>
        <v>0</v>
      </c>
      <c r="O145" s="58">
        <f>+Dulieu!O81 + VLOOKUP(LEFT(Dulieu!$C$81,12)&amp;"32",Dulieu!$C$88:$Y$400,13,FALSE)</f>
        <v>0</v>
      </c>
      <c r="P145" s="58">
        <f>+Dulieu!P81 + VLOOKUP(LEFT(Dulieu!$C$81,12)&amp;"32",Dulieu!$C$88:$Y$400,14,FALSE)</f>
        <v>0</v>
      </c>
      <c r="Q145" s="58">
        <f>+Dulieu!Q81 + VLOOKUP(LEFT(Dulieu!$C$81,12)&amp;"32",Dulieu!$C$88:$Y$400,15,FALSE)</f>
        <v>0</v>
      </c>
      <c r="R145" s="58">
        <f>+Dulieu!R81 + VLOOKUP(LEFT(Dulieu!$C$81,12)&amp;"32",Dulieu!$C$88:$Y$400,16,FALSE)</f>
        <v>0</v>
      </c>
      <c r="S145" s="58">
        <f>+Dulieu!S81 + VLOOKUP(LEFT(Dulieu!$C$81,12)&amp;"32",Dulieu!$C$88:$Y$400,17,FALSE)</f>
        <v>0</v>
      </c>
      <c r="T145" s="58">
        <f>+Dulieu!T81 + VLOOKUP(LEFT(Dulieu!$C$81,12)&amp;"32",Dulieu!$C$88:$Y$400,18,FALSE)</f>
        <v>0</v>
      </c>
      <c r="U145" s="58">
        <f>+Dulieu!U81 + VLOOKUP(LEFT(Dulieu!$C$81,12)&amp;"32",Dulieu!$C$88:$Y$400,19,FALSE)</f>
        <v>0</v>
      </c>
      <c r="V145" s="58">
        <f>+Dulieu!V81 + VLOOKUP(LEFT(Dulieu!$C$81,12)&amp;"32",Dulieu!$C$88:$Y$400,20,FALSE)</f>
        <v>0</v>
      </c>
      <c r="W145" s="58">
        <f>+Dulieu!W81 + VLOOKUP(LEFT(Dulieu!$C$81,12)&amp;"32",Dulieu!$C$88:$Y$400,21,FALSE)</f>
        <v>0</v>
      </c>
      <c r="X145" s="58">
        <f>+Dulieu!X81 + VLOOKUP(LEFT(Dulieu!$C$81,12)&amp;"32",Dulieu!$C$88:$Y$400,22,FALSE)</f>
        <v>0</v>
      </c>
      <c r="Y145" s="58">
        <f>+Dulieu!Y81 + VLOOKUP(LEFT(Dulieu!$C$81,12)&amp;"32",Dulieu!$C$88:$Y$400,23,FALSE)</f>
        <v>0</v>
      </c>
    </row>
    <row r="146" spans="1:25" s="63" customFormat="1" ht="12" x14ac:dyDescent="0.25">
      <c r="A146" s="60"/>
      <c r="B146" s="61" t="s">
        <v>91</v>
      </c>
      <c r="C146" s="62">
        <f t="shared" si="34"/>
        <v>0</v>
      </c>
      <c r="D146" s="62">
        <f>+D145-IFERROR(VLOOKUP(Dulieu!$C$81&amp;"_PRE_M",Dulieu!$C$88:$N$400,2,FALSE),0)-VLOOKUP(LEFT(Dulieu!$C$81,12)&amp;"32"&amp;"_PRE_M",Dulieu!$C$88:$N$400,2,FALSE)</f>
        <v>0</v>
      </c>
      <c r="E146" s="62">
        <f>+E145-IFERROR(VLOOKUP(Dulieu!$C$81&amp;"_PRE_M",Dulieu!$C$88:$N$400,3,FALSE),0)-VLOOKUP(LEFT(Dulieu!$C$81,12)&amp;"32"&amp;"_PRE_M",Dulieu!$C$88:$N$400,3,FALSE)</f>
        <v>0</v>
      </c>
      <c r="F146" s="62">
        <f>+F145-IFERROR(VLOOKUP(Dulieu!$C$81&amp;"_PRE_M",Dulieu!$C$88:$N$400,4,FALSE),0)-VLOOKUP(LEFT(Dulieu!$C$81,12)&amp;"32"&amp;"_PRE_M",Dulieu!$C$88:$N$400,4,FALSE)</f>
        <v>0</v>
      </c>
      <c r="G146" s="62">
        <f>+G145-IFERROR(VLOOKUP(Dulieu!$C$81&amp;"_PRE_M",Dulieu!$C$88:$N$400,5,FALSE),0)-VLOOKUP(LEFT(Dulieu!$C$81,12)&amp;"32"&amp;"_PRE_M",Dulieu!$C$88:$N$400,5,FALSE)</f>
        <v>0</v>
      </c>
      <c r="H146" s="62">
        <f>+H145-IFERROR(VLOOKUP(Dulieu!$C$81&amp;"_PRE_M",Dulieu!$C$88:$N$400,6,FALSE),0)-VLOOKUP(LEFT(Dulieu!$C$81,12)&amp;"32"&amp;"_PRE_M",Dulieu!$C$88:$N$400,6,FALSE)</f>
        <v>0</v>
      </c>
      <c r="I146" s="62">
        <f>+I145-IFERROR(VLOOKUP(Dulieu!$C$81&amp;"_PRE_M",Dulieu!$C$88:$N$400,7,FALSE),0)-VLOOKUP(LEFT(Dulieu!$C$81,12)&amp;"32"&amp;"_PRE_M",Dulieu!$C$88:$N$400,7,FALSE)</f>
        <v>0</v>
      </c>
      <c r="J146" s="62">
        <f>+J145-IFERROR(VLOOKUP(Dulieu!$C$81&amp;"_PRE_M",Dulieu!$C$88:$N$400,8,FALSE),0)-VLOOKUP(LEFT(Dulieu!$C$81,12)&amp;"32"&amp;"_PRE_M",Dulieu!$C$88:$N$400,8,FALSE)</f>
        <v>0</v>
      </c>
      <c r="K146" s="62">
        <f>+K145-IFERROR(VLOOKUP(Dulieu!$C$81&amp;"_PRE_M",Dulieu!$C$88:$N$400,9,FALSE),0)-VLOOKUP(LEFT(Dulieu!$C$81,12)&amp;"32"&amp;"_PRE_M",Dulieu!$C$88:$N$400,9,FALSE)</f>
        <v>0</v>
      </c>
      <c r="L146" s="62">
        <f>+L145-IFERROR(VLOOKUP(Dulieu!$C$81&amp;"_PRE_M",Dulieu!$C$88:$N$400,10,FALSE),0)-VLOOKUP(LEFT(Dulieu!$C$81,12)&amp;"32"&amp;"_PRE_M",Dulieu!$C$88:$N$400,10,FALSE)</f>
        <v>0</v>
      </c>
      <c r="M146" s="62">
        <f>+M145-IFERROR(VLOOKUP(Dulieu!$C$81&amp;"_PRE_M",Dulieu!$C$88:$N$400,11,FALSE),0)-VLOOKUP(LEFT(Dulieu!$C$81,12)&amp;"32"&amp;"_PRE_M",Dulieu!$C$88:$N$400,11,FALSE)</f>
        <v>0</v>
      </c>
      <c r="N146" s="62">
        <f>+N145-IFERROR(VLOOKUP(Dulieu!$C$81&amp;"_PRE_M",Dulieu!$C$88:$N$400,12,FALSE),0)-VLOOKUP(LEFT(Dulieu!$C$81,12)&amp;"32"&amp;"_PRE_M",Dulieu!$C$88:$N$400,12,FALSE)</f>
        <v>0</v>
      </c>
      <c r="O146" s="62">
        <f>+O145-IFERROR(VLOOKUP(Dulieu!$C$81&amp;"_PRE_M",Dulieu!$C$88:$Y$400,13,FALSE),0)-VLOOKUP(LEFT(Dulieu!$C$81,12)&amp;"32"&amp;"_PRE_M",Dulieu!$C$88:$Y$400,13,FALSE)</f>
        <v>0</v>
      </c>
      <c r="P146" s="62">
        <f>+P145-IFERROR(VLOOKUP(Dulieu!$C$81&amp;"_PRE_M",Dulieu!$C$88:$Y$400,14,FALSE),0)-VLOOKUP(LEFT(Dulieu!$C$81,12)&amp;"32"&amp;"_PRE_M",Dulieu!$C$88:$Y$400,14,FALSE)</f>
        <v>0</v>
      </c>
      <c r="Q146" s="62">
        <f>+Q145-IFERROR(VLOOKUP(Dulieu!$C$81&amp;"_PRE_M",Dulieu!$C$88:$Y$400,15,FALSE),0)-VLOOKUP(LEFT(Dulieu!$C$81,12)&amp;"32"&amp;"_PRE_M",Dulieu!$C$88:$Y$400,15,FALSE)</f>
        <v>0</v>
      </c>
      <c r="R146" s="62">
        <f>+R145-IFERROR(VLOOKUP(Dulieu!$C$81&amp;"_PRE_M",Dulieu!$C$88:$Y$400,16,FALSE),0)-VLOOKUP(LEFT(Dulieu!$C$81,12)&amp;"32"&amp;"_PRE_M",Dulieu!$C$88:$Y$400,16,FALSE)</f>
        <v>0</v>
      </c>
      <c r="S146" s="62">
        <f>+S145-IFERROR(VLOOKUP(Dulieu!$C$81&amp;"_PRE_M",Dulieu!$C$88:$Y$400,17,FALSE),0)-VLOOKUP(LEFT(Dulieu!$C$81,12)&amp;"32"&amp;"_PRE_M",Dulieu!$C$88:$Y$400,17,FALSE)</f>
        <v>0</v>
      </c>
      <c r="T146" s="62">
        <f>+T145-IFERROR(VLOOKUP(Dulieu!$C$81&amp;"_PRE_M",Dulieu!$C$88:$Y$400,18,FALSE),0)-VLOOKUP(LEFT(Dulieu!$C$81,12)&amp;"32"&amp;"_PRE_M",Dulieu!$C$88:$Y$400,18,FALSE)</f>
        <v>0</v>
      </c>
      <c r="U146" s="62">
        <f>+U145-IFERROR(VLOOKUP(Dulieu!$C$81&amp;"_PRE_M",Dulieu!$C$88:$Y$400,19,FALSE),0)-VLOOKUP(LEFT(Dulieu!$C$81,12)&amp;"32"&amp;"_PRE_M",Dulieu!$C$88:$Y$400,19,FALSE)</f>
        <v>0</v>
      </c>
      <c r="V146" s="62">
        <f>+V145-IFERROR(VLOOKUP(Dulieu!$C$81&amp;"_PRE_M",Dulieu!$C$88:$Y$400,20,FALSE),0)-VLOOKUP(LEFT(Dulieu!$C$81,12)&amp;"32"&amp;"_PRE_M",Dulieu!$C$88:$Y$400,20,FALSE)</f>
        <v>0</v>
      </c>
      <c r="W146" s="62">
        <f>+W145-IFERROR(VLOOKUP(Dulieu!$C$81&amp;"_PRE_M",Dulieu!$C$88:$Y$400,21,FALSE),0)-VLOOKUP(LEFT(Dulieu!$C$81,12)&amp;"32"&amp;"_PRE_M",Dulieu!$C$88:$Y$400,21,FALSE)</f>
        <v>0</v>
      </c>
      <c r="X146" s="62">
        <f>+X145-IFERROR(VLOOKUP(Dulieu!$C$81&amp;"_PRE_M",Dulieu!$C$88:$Y$400,22,FALSE),0)-VLOOKUP(LEFT(Dulieu!$C$81,12)&amp;"32"&amp;"_PRE_M",Dulieu!$C$88:$Y$400,22,FALSE)</f>
        <v>0</v>
      </c>
      <c r="Y146" s="62">
        <f>+Y145-IFERROR(VLOOKUP(Dulieu!$C$81&amp;"_PRE_M",Dulieu!$C$88:$Y$400,23,FALSE),0)-VLOOKUP(LEFT(Dulieu!$C$81,12)&amp;"32"&amp;"_PRE_M",Dulieu!$C$88:$Y$400,23,FALSE)</f>
        <v>0</v>
      </c>
    </row>
    <row r="147" spans="1:25" s="63" customFormat="1" ht="12" x14ac:dyDescent="0.25">
      <c r="A147" s="60"/>
      <c r="B147" s="61" t="s">
        <v>92</v>
      </c>
      <c r="C147" s="62">
        <f t="shared" si="34"/>
        <v>0</v>
      </c>
      <c r="D147" s="62">
        <f>+D145-IFERROR(VLOOKUP(Dulieu!$C$81&amp;"_PRE_Y",Dulieu!$C$88:$N$400,2,FALSE),0)-IFERROR(VLOOKUP(LEFT(Dulieu!$C$81,12)&amp;"32"&amp;"_PRE_Y",Dulieu!$C$88:$N$400,2,FALSE),0)</f>
        <v>0</v>
      </c>
      <c r="E147" s="62">
        <f>+E145-IFERROR(VLOOKUP(Dulieu!$C$81&amp;"_PRE_Y",Dulieu!$C$88:$N$400,3,FALSE),0)-IFERROR(VLOOKUP(LEFT(Dulieu!$C$81,12)&amp;"32"&amp;"_PRE_Y",Dulieu!$C$88:$N$400,3,FALSE),0)</f>
        <v>0</v>
      </c>
      <c r="F147" s="62">
        <f>+F145-IFERROR(VLOOKUP(Dulieu!$C$81&amp;"_PRE_Y",Dulieu!$C$88:$N$400,4,FALSE),0)-IFERROR(VLOOKUP(LEFT(Dulieu!$C$81,12)&amp;"32"&amp;"_PRE_Y",Dulieu!$C$88:$N$400,4,FALSE),0)</f>
        <v>0</v>
      </c>
      <c r="G147" s="62">
        <f>+G145-IFERROR(VLOOKUP(Dulieu!$C$81&amp;"_PRE_Y",Dulieu!$C$88:$N$400,5,FALSE),0)-IFERROR(VLOOKUP(LEFT(Dulieu!$C$81,12)&amp;"32"&amp;"_PRE_Y",Dulieu!$C$88:$N$400,5,FALSE),0)</f>
        <v>0</v>
      </c>
      <c r="H147" s="62">
        <f>+H145-IFERROR(VLOOKUP(Dulieu!$C$81&amp;"_PRE_Y",Dulieu!$C$88:$N$400,6,FALSE),0)-IFERROR(VLOOKUP(LEFT(Dulieu!$C$81,12)&amp;"32"&amp;"_PRE_Y",Dulieu!$C$88:$N$400,6,FALSE),0)</f>
        <v>0</v>
      </c>
      <c r="I147" s="62">
        <f>+I145-IFERROR(VLOOKUP(Dulieu!$C$81&amp;"_PRE_Y",Dulieu!$C$88:$N$400,7,FALSE),0)-IFERROR(VLOOKUP(LEFT(Dulieu!$C$81,12)&amp;"32"&amp;"_PRE_Y",Dulieu!$C$88:$N$400,7,FALSE),0)</f>
        <v>0</v>
      </c>
      <c r="J147" s="62">
        <f>+J145-IFERROR(VLOOKUP(Dulieu!$C$81&amp;"_PRE_Y",Dulieu!$C$88:$N$400,8,FALSE),0)-IFERROR(VLOOKUP(LEFT(Dulieu!$C$81,12)&amp;"32"&amp;"_PRE_Y",Dulieu!$C$88:$N$400,8,FALSE),0)</f>
        <v>0</v>
      </c>
      <c r="K147" s="62">
        <f>+K145-IFERROR(VLOOKUP(Dulieu!$C$81&amp;"_PRE_Y",Dulieu!$C$88:$N$400,9,FALSE),0)-IFERROR(VLOOKUP(LEFT(Dulieu!$C$81,12)&amp;"32"&amp;"_PRE_Y",Dulieu!$C$88:$N$400,9,FALSE),0)</f>
        <v>0</v>
      </c>
      <c r="L147" s="62">
        <f>+L145-IFERROR(VLOOKUP(Dulieu!$C$81&amp;"_PRE_Y",Dulieu!$C$88:$N$400,10,FALSE),0)-IFERROR(VLOOKUP(LEFT(Dulieu!$C$81,12)&amp;"32"&amp;"_PRE_Y",Dulieu!$C$88:$N$400,10,FALSE),0)</f>
        <v>0</v>
      </c>
      <c r="M147" s="62">
        <f>+M145-IFERROR(VLOOKUP(Dulieu!$C$81&amp;"_PRE_Y",Dulieu!$C$88:$N$400,11,FALSE),0)-IFERROR(VLOOKUP(LEFT(Dulieu!$C$81,12)&amp;"32"&amp;"_PRE_Y",Dulieu!$C$88:$N$400,11,FALSE),0)</f>
        <v>0</v>
      </c>
      <c r="N147" s="62">
        <f>+N145-IFERROR(VLOOKUP(Dulieu!$C$81&amp;"_PRE_Y",Dulieu!$C$88:$N$400,12,FALSE),0)-IFERROR(VLOOKUP(LEFT(Dulieu!$C$81,12)&amp;"32"&amp;"_PRE_Y",Dulieu!$C$88:$N$400,12,FALSE),0)</f>
        <v>0</v>
      </c>
      <c r="O147" s="62">
        <f>+O145-IFERROR(VLOOKUP(Dulieu!$C$81&amp;"_PRE_Y",Dulieu!$C$88:$Y$400,13,FALSE),0)-IFERROR(VLOOKUP(LEFT(Dulieu!$C$81,12)&amp;"32"&amp;"_PRE_Y",Dulieu!$C$88:$Y$400,13,FALSE),0)</f>
        <v>0</v>
      </c>
      <c r="P147" s="62">
        <f>+P145-IFERROR(VLOOKUP(Dulieu!$C$81&amp;"_PRE_Y",Dulieu!$C$88:$Y$400,14,FALSE),0)-IFERROR(VLOOKUP(LEFT(Dulieu!$C$81,12)&amp;"32"&amp;"_PRE_Y",Dulieu!$C$88:$Y$400,14,FALSE),0)</f>
        <v>0</v>
      </c>
      <c r="Q147" s="62">
        <f>+Q145-IFERROR(VLOOKUP(Dulieu!$C$81&amp;"_PRE_Y",Dulieu!$C$88:$Y$400,15,FALSE),0)-IFERROR(VLOOKUP(LEFT(Dulieu!$C$81,12)&amp;"32"&amp;"_PRE_Y",Dulieu!$C$88:$Y$400,15,FALSE),0)</f>
        <v>0</v>
      </c>
      <c r="R147" s="62">
        <f>+R145-IFERROR(VLOOKUP(Dulieu!$C$81&amp;"_PRE_Y",Dulieu!$C$88:$Y$400,16,FALSE),0)-IFERROR(VLOOKUP(LEFT(Dulieu!$C$81,12)&amp;"32"&amp;"_PRE_Y",Dulieu!$C$88:$Y$400,16,FALSE),0)</f>
        <v>0</v>
      </c>
      <c r="S147" s="62">
        <f>+S145-IFERROR(VLOOKUP(Dulieu!$C$81&amp;"_PRE_Y",Dulieu!$C$88:$Y$400,17,FALSE),0)-IFERROR(VLOOKUP(LEFT(Dulieu!$C$81,12)&amp;"32"&amp;"_PRE_Y",Dulieu!$C$88:$Y$400,17,FALSE),0)</f>
        <v>0</v>
      </c>
      <c r="T147" s="62">
        <f>+T145-IFERROR(VLOOKUP(Dulieu!$C$81&amp;"_PRE_Y",Dulieu!$C$88:$Y$400,18,FALSE),0)-IFERROR(VLOOKUP(LEFT(Dulieu!$C$81,12)&amp;"32"&amp;"_PRE_Y",Dulieu!$C$88:$Y$400,18,FALSE),0)</f>
        <v>0</v>
      </c>
      <c r="U147" s="62">
        <f>+U145-IFERROR(VLOOKUP(Dulieu!$C$81&amp;"_PRE_Y",Dulieu!$C$88:$Y$400,19,FALSE),0)-IFERROR(VLOOKUP(LEFT(Dulieu!$C$81,12)&amp;"32"&amp;"_PRE_Y",Dulieu!$C$88:$Y$400,19,FALSE),0)</f>
        <v>0</v>
      </c>
      <c r="V147" s="62">
        <f>+V145-IFERROR(VLOOKUP(Dulieu!$C$81&amp;"_PRE_Y",Dulieu!$C$88:$Y$400,20,FALSE),0)-IFERROR(VLOOKUP(LEFT(Dulieu!$C$81,12)&amp;"32"&amp;"_PRE_Y",Dulieu!$C$88:$Y$400,20,FALSE),0)</f>
        <v>0</v>
      </c>
      <c r="W147" s="62">
        <f>+W145-IFERROR(VLOOKUP(Dulieu!$C$81&amp;"_PRE_Y",Dulieu!$C$88:$Y$400,21,FALSE),0)-IFERROR(VLOOKUP(LEFT(Dulieu!$C$81,12)&amp;"32"&amp;"_PRE_Y",Dulieu!$C$88:$Y$400,21,FALSE),0)</f>
        <v>0</v>
      </c>
      <c r="X147" s="62">
        <f>+X145-IFERROR(VLOOKUP(Dulieu!$C$81&amp;"_PRE_Y",Dulieu!$C$88:$Y$400,22,FALSE),0)-IFERROR(VLOOKUP(LEFT(Dulieu!$C$81,12)&amp;"32"&amp;"_PRE_Y",Dulieu!$C$88:$Y$400,22,FALSE),0)</f>
        <v>0</v>
      </c>
      <c r="Y147" s="62">
        <f>+Y145-IFERROR(VLOOKUP(Dulieu!$C$81&amp;"_PRE_Y",Dulieu!$C$88:$Y$400,23,FALSE),0)-IFERROR(VLOOKUP(LEFT(Dulieu!$C$81,12)&amp;"32"&amp;"_PRE_Y",Dulieu!$C$88:$Y$400,23,FALSE),0)</f>
        <v>0</v>
      </c>
    </row>
    <row r="148" spans="1:25" s="59" customFormat="1" ht="12" x14ac:dyDescent="0.25">
      <c r="A148" s="56">
        <v>17</v>
      </c>
      <c r="B148" s="57" t="s">
        <v>93</v>
      </c>
      <c r="C148" s="58">
        <f t="shared" si="34"/>
        <v>206.7</v>
      </c>
      <c r="D148" s="58">
        <f>+IFERROR(VLOOKUP(LEFT(Dulieu!$C$44,10)&amp;"0233",Dulieu!$C$88:$N$400,2,FALSE),0)</f>
        <v>0</v>
      </c>
      <c r="E148" s="58">
        <f>+IFERROR(VLOOKUP(LEFT(Dulieu!$C$44,10)&amp;"0233",Dulieu!$C$88:$N$400,3,FALSE),0)</f>
        <v>0</v>
      </c>
      <c r="F148" s="58">
        <f>+IFERROR(VLOOKUP(LEFT(Dulieu!$C$44,10)&amp;"0233",Dulieu!$C$88:$N$400,4,FALSE),0)</f>
        <v>23.8</v>
      </c>
      <c r="G148" s="58">
        <f>+IFERROR(VLOOKUP(LEFT(Dulieu!$C$44,10)&amp;"0233",Dulieu!$C$88:$N$400,5,FALSE),0)</f>
        <v>0</v>
      </c>
      <c r="H148" s="58">
        <f>+IFERROR(VLOOKUP(LEFT(Dulieu!$C$44,10)&amp;"0233",Dulieu!$C$88:$N$400,6,FALSE),0)</f>
        <v>10</v>
      </c>
      <c r="I148" s="58">
        <f>+IFERROR(VLOOKUP(LEFT(Dulieu!$C$44,10)&amp;"0233",Dulieu!$C$88:$N$400,7,FALSE),0)</f>
        <v>0</v>
      </c>
      <c r="J148" s="58">
        <f>+IFERROR(VLOOKUP(LEFT(Dulieu!$C$44,10)&amp;"0233",Dulieu!$C$88:$N$400,8,FALSE),0)</f>
        <v>0</v>
      </c>
      <c r="K148" s="58">
        <f>+IFERROR(VLOOKUP(LEFT(Dulieu!$C$44,10)&amp;"0233",Dulieu!$C$88:$N$400,9,FALSE),0)</f>
        <v>0</v>
      </c>
      <c r="L148" s="58">
        <f>+IFERROR(VLOOKUP(LEFT(Dulieu!$C$44,10)&amp;"0233",Dulieu!$C$88:$N$400,10,FALSE),0)</f>
        <v>0</v>
      </c>
      <c r="M148" s="58">
        <f>+IFERROR(VLOOKUP(LEFT(Dulieu!$C$44,10)&amp;"0233",Dulieu!$C$88:$N$400,11,FALSE),0)</f>
        <v>0</v>
      </c>
      <c r="N148" s="58">
        <f>+IFERROR(VLOOKUP(LEFT(Dulieu!$C$44,10)&amp;"0233",Dulieu!$C$88:$N$400,12,FALSE),0)</f>
        <v>0</v>
      </c>
      <c r="O148" s="58">
        <f>+IFERROR(VLOOKUP(LEFT(Dulieu!$C$44,10)&amp;"0233",Dulieu!$C$88:$Y$400,13,FALSE),0)</f>
        <v>0</v>
      </c>
      <c r="P148" s="58">
        <f>+IFERROR(VLOOKUP(LEFT(Dulieu!$C$44,10)&amp;"0233",Dulieu!$C$88:$Y$400,14,FALSE),0)</f>
        <v>69.400000000000006</v>
      </c>
      <c r="Q148" s="58">
        <f>+IFERROR(VLOOKUP(LEFT(Dulieu!$C$44,10)&amp;"0233",Dulieu!$C$88:$Y$400,15,FALSE),0)</f>
        <v>0</v>
      </c>
      <c r="R148" s="58">
        <f>+IFERROR(VLOOKUP(LEFT(Dulieu!$C$44,10)&amp;"0233",Dulieu!$C$88:$Y$400,16,FALSE),0)</f>
        <v>0</v>
      </c>
      <c r="S148" s="58">
        <f>+IFERROR(VLOOKUP(LEFT(Dulieu!$C$44,10)&amp;"0233",Dulieu!$C$88:$Y$400,17,FALSE),0)</f>
        <v>103.5</v>
      </c>
      <c r="T148" s="58">
        <f>+IFERROR(VLOOKUP(LEFT(Dulieu!$C$44,10)&amp;"0233",Dulieu!$C$88:$Y$400,18,FALSE),0)</f>
        <v>0</v>
      </c>
      <c r="U148" s="58">
        <f>+IFERROR(VLOOKUP(LEFT(Dulieu!$C$44,10)&amp;"0233",Dulieu!$C$88:$Y$400,19,FALSE),0)</f>
        <v>0</v>
      </c>
      <c r="V148" s="58">
        <f>+IFERROR(VLOOKUP(LEFT(Dulieu!$C$44,10)&amp;"0233",Dulieu!$C$88:$Y$400,20,FALSE),0)</f>
        <v>0</v>
      </c>
      <c r="W148" s="58">
        <f>+IFERROR(VLOOKUP(LEFT(Dulieu!$C$44,10)&amp;"0233",Dulieu!$C$88:$Y$400,21,FALSE),0)</f>
        <v>0</v>
      </c>
      <c r="X148" s="58">
        <f>+IFERROR(VLOOKUP(LEFT(Dulieu!$C$44,10)&amp;"0233",Dulieu!$C$88:$Y$400,22,FALSE),0)</f>
        <v>0</v>
      </c>
      <c r="Y148" s="58">
        <f>+IFERROR(VLOOKUP(LEFT(Dulieu!$C$44,10)&amp;"0233",Dulieu!$C$88:$Y$400,23,FALSE),0)</f>
        <v>0</v>
      </c>
    </row>
    <row r="149" spans="1:25" s="63" customFormat="1" ht="12" x14ac:dyDescent="0.25">
      <c r="A149" s="60"/>
      <c r="B149" s="61" t="s">
        <v>91</v>
      </c>
      <c r="C149" s="62">
        <f t="shared" si="34"/>
        <v>-23.2</v>
      </c>
      <c r="D149" s="62">
        <f>+IFERROR(VLOOKUP(LEFT(Dulieu!$C$44,10)&amp;"0233",Dulieu!$C$88:$N$400,2,FALSE),0)-IFERROR(VLOOKUP(LEFT(Dulieu!$C$44,10)&amp;"0233_PRE_M",Dulieu!$C$88:$N$400,2,FALSE),0)</f>
        <v>0</v>
      </c>
      <c r="E149" s="62">
        <f>+IFERROR(VLOOKUP(LEFT(Dulieu!$C$44,10)&amp;"0233",Dulieu!$C$88:$N$400,3,FALSE),0)-IFERROR(VLOOKUP(LEFT(Dulieu!$C$44,10)&amp;"0233_PRE_M",Dulieu!$C$88:$N$400,3,FALSE),0)</f>
        <v>0</v>
      </c>
      <c r="F149" s="62">
        <f>+IFERROR(VLOOKUP(LEFT(Dulieu!$C$44,10)&amp;"0233",Dulieu!$C$88:$N$400,4,FALSE),0)-IFERROR(VLOOKUP(LEFT(Dulieu!$C$44,10)&amp;"0233_PRE_M",Dulieu!$C$88:$N$400,4,FALSE),0)</f>
        <v>-6.1999999999999993</v>
      </c>
      <c r="G149" s="62">
        <f>+IFERROR(VLOOKUP(LEFT(Dulieu!$C$44,10)&amp;"0233",Dulieu!$C$88:$N$400,5,FALSE),0)-IFERROR(VLOOKUP(LEFT(Dulieu!$C$44,10)&amp;"0233_PRE_M",Dulieu!$C$88:$N$400,5,FALSE),0)</f>
        <v>0</v>
      </c>
      <c r="H149" s="62">
        <f>+IFERROR(VLOOKUP(LEFT(Dulieu!$C$44,10)&amp;"0233",Dulieu!$C$88:$N$400,6,FALSE),0)-IFERROR(VLOOKUP(LEFT(Dulieu!$C$44,10)&amp;"0233_PRE_M",Dulieu!$C$88:$N$400,6,FALSE),0)</f>
        <v>0</v>
      </c>
      <c r="I149" s="62">
        <f>+IFERROR(VLOOKUP(LEFT(Dulieu!$C$44,10)&amp;"0233",Dulieu!$C$88:$N$400,7,FALSE),0)-IFERROR(VLOOKUP(LEFT(Dulieu!$C$44,10)&amp;"0233_PRE_M",Dulieu!$C$88:$N$400,7,FALSE),0)</f>
        <v>0</v>
      </c>
      <c r="J149" s="62">
        <f>+IFERROR(VLOOKUP(LEFT(Dulieu!$C$44,10)&amp;"0233",Dulieu!$C$88:$N$400,8,FALSE),0)-IFERROR(VLOOKUP(LEFT(Dulieu!$C$44,10)&amp;"0233_PRE_M",Dulieu!$C$88:$N$400,8,FALSE),0)</f>
        <v>0</v>
      </c>
      <c r="K149" s="62">
        <f>+IFERROR(VLOOKUP(LEFT(Dulieu!$C$44,10)&amp;"0233",Dulieu!$C$88:$N$400,9,FALSE),0)-IFERROR(VLOOKUP(LEFT(Dulieu!$C$44,10)&amp;"0233_PRE_M",Dulieu!$C$88:$N$400,9,FALSE),0)</f>
        <v>0</v>
      </c>
      <c r="L149" s="62">
        <f>+IFERROR(VLOOKUP(LEFT(Dulieu!$C$44,10)&amp;"0233",Dulieu!$C$88:$N$400,10,FALSE),0)-IFERROR(VLOOKUP(LEFT(Dulieu!$C$44,10)&amp;"0233_PRE_M",Dulieu!$C$88:$N$400,10,FALSE),0)</f>
        <v>0</v>
      </c>
      <c r="M149" s="62">
        <f>+IFERROR(VLOOKUP(LEFT(Dulieu!$C$44,10)&amp;"0233",Dulieu!$C$88:$N$400,11,FALSE),0)-IFERROR(VLOOKUP(LEFT(Dulieu!$C$44,10)&amp;"0233_PRE_M",Dulieu!$C$88:$N$400,11,FALSE),0)</f>
        <v>0</v>
      </c>
      <c r="N149" s="62">
        <f>+IFERROR(VLOOKUP(LEFT(Dulieu!$C$44,10)&amp;"0233",Dulieu!$C$88:$N$400,12,FALSE),0)-IFERROR(VLOOKUP(LEFT(Dulieu!$C$44,10)&amp;"0233_PRE_M",Dulieu!$C$88:$N$400,12,FALSE),0)</f>
        <v>0</v>
      </c>
      <c r="O149" s="62">
        <f>+IFERROR(VLOOKUP(LEFT(Dulieu!$C$44,10)&amp;"0233",Dulieu!$C$88:$Y$400,13,FALSE),0)-IFERROR(VLOOKUP(LEFT(Dulieu!$C$44,10)&amp;"0233_PRE_M",Dulieu!$C$88:$Y$400,13,FALSE),0)</f>
        <v>0</v>
      </c>
      <c r="P149" s="62">
        <f>+IFERROR(VLOOKUP(LEFT(Dulieu!$C$44,10)&amp;"0233",Dulieu!$C$88:$Y$400,14,FALSE),0)-IFERROR(VLOOKUP(LEFT(Dulieu!$C$44,10)&amp;"0233_PRE_M",Dulieu!$C$88:$Y$400,14,FALSE),0)</f>
        <v>-16</v>
      </c>
      <c r="Q149" s="62">
        <f>+IFERROR(VLOOKUP(LEFT(Dulieu!$C$44,10)&amp;"0233",Dulieu!$C$88:$Y$400,15,FALSE),0)-IFERROR(VLOOKUP(LEFT(Dulieu!$C$44,10)&amp;"0233_PRE_M",Dulieu!$C$88:$Y$400,15,FALSE),0)</f>
        <v>0</v>
      </c>
      <c r="R149" s="62">
        <f>+IFERROR(VLOOKUP(LEFT(Dulieu!$C$44,10)&amp;"0233",Dulieu!$C$88:$Y$400,16,FALSE),0)-IFERROR(VLOOKUP(LEFT(Dulieu!$C$44,10)&amp;"0233_PRE_M",Dulieu!$C$88:$Y$400,16,FALSE),0)</f>
        <v>0</v>
      </c>
      <c r="S149" s="62">
        <f>+IFERROR(VLOOKUP(LEFT(Dulieu!$C$44,10)&amp;"0233",Dulieu!$C$88:$Y$400,17,FALSE),0)-IFERROR(VLOOKUP(LEFT(Dulieu!$C$44,10)&amp;"0233_PRE_M",Dulieu!$C$88:$Y$400,17,FALSE),0)</f>
        <v>-1</v>
      </c>
      <c r="T149" s="62">
        <f>+IFERROR(VLOOKUP(LEFT(Dulieu!$C$44,10)&amp;"0233",Dulieu!$C$88:$Y$400,18,FALSE),0)-IFERROR(VLOOKUP(LEFT(Dulieu!$C$44,10)&amp;"0233_PRE_M",Dulieu!$C$88:$Y$400,18,FALSE),0)</f>
        <v>0</v>
      </c>
      <c r="U149" s="62">
        <f>+IFERROR(VLOOKUP(LEFT(Dulieu!$C$44,10)&amp;"0233",Dulieu!$C$88:$Y$400,19,FALSE),0)-IFERROR(VLOOKUP(LEFT(Dulieu!$C$44,10)&amp;"0233_PRE_M",Dulieu!$C$88:$Y$400,19,FALSE),0)</f>
        <v>0</v>
      </c>
      <c r="V149" s="62">
        <f>+IFERROR(VLOOKUP(LEFT(Dulieu!$C$44,10)&amp;"0233",Dulieu!$C$88:$Y$400,20,FALSE),0)-IFERROR(VLOOKUP(LEFT(Dulieu!$C$44,10)&amp;"0233_PRE_M",Dulieu!$C$88:$Y$400,20,FALSE),0)</f>
        <v>0</v>
      </c>
      <c r="W149" s="62">
        <f>+IFERROR(VLOOKUP(LEFT(Dulieu!$C$44,10)&amp;"0233",Dulieu!$C$88:$Y$400,21,FALSE),0)-IFERROR(VLOOKUP(LEFT(Dulieu!$C$44,10)&amp;"0233_PRE_M",Dulieu!$C$88:$Y$400,21,FALSE),0)</f>
        <v>0</v>
      </c>
      <c r="X149" s="62">
        <f>+IFERROR(VLOOKUP(LEFT(Dulieu!$C$44,10)&amp;"0233",Dulieu!$C$88:$Y$400,22,FALSE),0)-IFERROR(VLOOKUP(LEFT(Dulieu!$C$44,10)&amp;"0233_PRE_M",Dulieu!$C$88:$Y$400,22,FALSE),0)</f>
        <v>0</v>
      </c>
      <c r="Y149" s="62">
        <f>+IFERROR(VLOOKUP(LEFT(Dulieu!$C$44,10)&amp;"0233",Dulieu!$C$88:$Y$400,23,FALSE),0)-IFERROR(VLOOKUP(LEFT(Dulieu!$C$44,10)&amp;"0233_PRE_M",Dulieu!$C$88:$Y$400,23,FALSE),0)</f>
        <v>0</v>
      </c>
    </row>
    <row r="150" spans="1:25" s="63" customFormat="1" ht="12" x14ac:dyDescent="0.25">
      <c r="A150" s="60"/>
      <c r="B150" s="61" t="s">
        <v>92</v>
      </c>
      <c r="C150" s="62">
        <f t="shared" si="34"/>
        <v>-109.60000000000001</v>
      </c>
      <c r="D150" s="62">
        <f>+IFERROR(VLOOKUP(LEFT(Dulieu!$C$44,10)&amp;"0233",Dulieu!$C$88:$N$400,2,FALSE),0)-IFERROR(VLOOKUP(LEFT(Dulieu!$C$44,10)&amp;"0233_PRE_Y",Dulieu!$C$88:$N$400,2,FALSE),0)</f>
        <v>0</v>
      </c>
      <c r="E150" s="62">
        <f>+IFERROR(VLOOKUP(LEFT(Dulieu!$C$44,10)&amp;"0233",Dulieu!$C$88:$N$400,3,FALSE),0)-IFERROR(VLOOKUP(LEFT(Dulieu!$C$44,10)&amp;"0233_PRE_Y",Dulieu!$C$88:$N$400,3,FALSE),0)</f>
        <v>0</v>
      </c>
      <c r="F150" s="62">
        <f>+IFERROR(VLOOKUP(LEFT(Dulieu!$C$44,10)&amp;"0233",Dulieu!$C$88:$N$400,4,FALSE),0)-IFERROR(VLOOKUP(LEFT(Dulieu!$C$44,10)&amp;"0233_PRE_Y",Dulieu!$C$88:$N$400,4,FALSE),0)</f>
        <v>-6.1999999999999993</v>
      </c>
      <c r="G150" s="62">
        <f>+IFERROR(VLOOKUP(LEFT(Dulieu!$C$44,10)&amp;"0233",Dulieu!$C$88:$N$400,5,FALSE),0)-IFERROR(VLOOKUP(LEFT(Dulieu!$C$44,10)&amp;"0233_PRE_Y",Dulieu!$C$88:$N$400,5,FALSE),0)</f>
        <v>0</v>
      </c>
      <c r="H150" s="62">
        <f>+IFERROR(VLOOKUP(LEFT(Dulieu!$C$44,10)&amp;"0233",Dulieu!$C$88:$N$400,6,FALSE),0)-IFERROR(VLOOKUP(LEFT(Dulieu!$C$44,10)&amp;"0233_PRE_Y",Dulieu!$C$88:$N$400,6,FALSE),0)</f>
        <v>0</v>
      </c>
      <c r="I150" s="62">
        <f>+IFERROR(VLOOKUP(LEFT(Dulieu!$C$44,10)&amp;"0233",Dulieu!$C$88:$N$400,7,FALSE),0)-IFERROR(VLOOKUP(LEFT(Dulieu!$C$44,10)&amp;"0233_PRE_Y",Dulieu!$C$88:$N$400,7,FALSE),0)</f>
        <v>0</v>
      </c>
      <c r="J150" s="62">
        <f>+IFERROR(VLOOKUP(LEFT(Dulieu!$C$44,10)&amp;"0233",Dulieu!$C$88:$N$400,8,FALSE),0)-IFERROR(VLOOKUP(LEFT(Dulieu!$C$44,10)&amp;"0233_PRE_Y",Dulieu!$C$88:$N$400,8,FALSE),0)</f>
        <v>0</v>
      </c>
      <c r="K150" s="62">
        <f>+IFERROR(VLOOKUP(LEFT(Dulieu!$C$44,10)&amp;"0233",Dulieu!$C$88:$N$400,9,FALSE),0)-IFERROR(VLOOKUP(LEFT(Dulieu!$C$44,10)&amp;"0233_PRE_Y",Dulieu!$C$88:$N$400,9,FALSE),0)</f>
        <v>0</v>
      </c>
      <c r="L150" s="62">
        <f>+IFERROR(VLOOKUP(LEFT(Dulieu!$C$44,10)&amp;"0233",Dulieu!$C$88:$N$400,10,FALSE),0)-IFERROR(VLOOKUP(LEFT(Dulieu!$C$44,10)&amp;"0233_PRE_Y",Dulieu!$C$88:$N$400,10,FALSE),0)</f>
        <v>0</v>
      </c>
      <c r="M150" s="62">
        <f>+IFERROR(VLOOKUP(LEFT(Dulieu!$C$44,10)&amp;"0233",Dulieu!$C$88:$N$400,11,FALSE),0)-IFERROR(VLOOKUP(LEFT(Dulieu!$C$44,10)&amp;"0233_PRE_Y",Dulieu!$C$88:$N$400,11,FALSE),0)</f>
        <v>0</v>
      </c>
      <c r="N150" s="62">
        <f>+IFERROR(VLOOKUP(LEFT(Dulieu!$C$44,10)&amp;"0233",Dulieu!$C$88:$N$400,12,FALSE),0)-IFERROR(VLOOKUP(LEFT(Dulieu!$C$44,10)&amp;"0233_PRE_Y",Dulieu!$C$88:$N$400,12,FALSE),0)</f>
        <v>0</v>
      </c>
      <c r="O150" s="62">
        <f>+IFERROR(VLOOKUP(LEFT(Dulieu!$C$44,10)&amp;"0233",Dulieu!$C$88:$Y$400,13,FALSE),0)-IFERROR(VLOOKUP(LEFT(Dulieu!$C$44,10)&amp;"0233_PRE_Y",Dulieu!$C$88:$Y$400,13,FALSE),0)</f>
        <v>0</v>
      </c>
      <c r="P150" s="62">
        <f>+IFERROR(VLOOKUP(LEFT(Dulieu!$C$44,10)&amp;"0233",Dulieu!$C$88:$Y$400,14,FALSE),0)-IFERROR(VLOOKUP(LEFT(Dulieu!$C$44,10)&amp;"0233_PRE_Y",Dulieu!$C$88:$Y$400,14,FALSE),0)</f>
        <v>-99.4</v>
      </c>
      <c r="Q150" s="62">
        <f>+IFERROR(VLOOKUP(LEFT(Dulieu!$C$44,10)&amp;"0233",Dulieu!$C$88:$Y$400,15,FALSE),0)-IFERROR(VLOOKUP(LEFT(Dulieu!$C$44,10)&amp;"0233_PRE_Y",Dulieu!$C$88:$Y$400,15,FALSE),0)</f>
        <v>0</v>
      </c>
      <c r="R150" s="62">
        <f>+IFERROR(VLOOKUP(LEFT(Dulieu!$C$44,10)&amp;"0233",Dulieu!$C$88:$Y$400,16,FALSE),0)-IFERROR(VLOOKUP(LEFT(Dulieu!$C$44,10)&amp;"0233_PRE_Y",Dulieu!$C$88:$Y$400,16,FALSE),0)</f>
        <v>0</v>
      </c>
      <c r="S150" s="62">
        <f>+IFERROR(VLOOKUP(LEFT(Dulieu!$C$44,10)&amp;"0233",Dulieu!$C$88:$Y$400,17,FALSE),0)-IFERROR(VLOOKUP(LEFT(Dulieu!$C$44,10)&amp;"0233_PRE_Y",Dulieu!$C$88:$Y$400,17,FALSE),0)</f>
        <v>-4</v>
      </c>
      <c r="T150" s="62">
        <f>+IFERROR(VLOOKUP(LEFT(Dulieu!$C$44,10)&amp;"0233",Dulieu!$C$88:$Y$400,18,FALSE),0)-IFERROR(VLOOKUP(LEFT(Dulieu!$C$44,10)&amp;"0233_PRE_Y",Dulieu!$C$88:$Y$400,18,FALSE),0)</f>
        <v>0</v>
      </c>
      <c r="U150" s="62">
        <f>+IFERROR(VLOOKUP(LEFT(Dulieu!$C$44,10)&amp;"0233",Dulieu!$C$88:$Y$400,19,FALSE),0)-IFERROR(VLOOKUP(LEFT(Dulieu!$C$44,10)&amp;"0233_PRE_Y",Dulieu!$C$88:$Y$400,19,FALSE),0)</f>
        <v>0</v>
      </c>
      <c r="V150" s="62">
        <f>+IFERROR(VLOOKUP(LEFT(Dulieu!$C$44,10)&amp;"0233",Dulieu!$C$88:$Y$400,20,FALSE),0)-IFERROR(VLOOKUP(LEFT(Dulieu!$C$44,10)&amp;"0233_PRE_Y",Dulieu!$C$88:$Y$400,20,FALSE),0)</f>
        <v>0</v>
      </c>
      <c r="W150" s="62">
        <f>+IFERROR(VLOOKUP(LEFT(Dulieu!$C$44,10)&amp;"0233",Dulieu!$C$88:$Y$400,21,FALSE),0)-IFERROR(VLOOKUP(LEFT(Dulieu!$C$44,10)&amp;"0233_PRE_Y",Dulieu!$C$88:$Y$400,21,FALSE),0)</f>
        <v>0</v>
      </c>
      <c r="X150" s="62">
        <f>+IFERROR(VLOOKUP(LEFT(Dulieu!$C$44,10)&amp;"0233",Dulieu!$C$88:$Y$400,22,FALSE),0)-IFERROR(VLOOKUP(LEFT(Dulieu!$C$44,10)&amp;"0233_PRE_Y",Dulieu!$C$88:$Y$400,22,FALSE),0)</f>
        <v>0</v>
      </c>
      <c r="Y150" s="62">
        <f>+IFERROR(VLOOKUP(LEFT(Dulieu!$C$44,10)&amp;"0233",Dulieu!$C$88:$Y$400,23,FALSE),0)-IFERROR(VLOOKUP(LEFT(Dulieu!$C$44,10)&amp;"0233_PRE_Y",Dulieu!$C$88:$Y$400,23,FALSE),0)</f>
        <v>0</v>
      </c>
    </row>
    <row r="151" spans="1:25" s="59" customFormat="1" ht="12" x14ac:dyDescent="0.25">
      <c r="A151" s="56">
        <v>18</v>
      </c>
      <c r="B151" s="57" t="s">
        <v>94</v>
      </c>
      <c r="C151" s="58">
        <f t="shared" si="34"/>
        <v>0</v>
      </c>
      <c r="D151" s="58">
        <f>+IFERROR(VLOOKUP(LEFT(Dulieu!$C$44,10)&amp;"2434",Dulieu!$C$88:$N$400,2,FALSE),0)</f>
        <v>0</v>
      </c>
      <c r="E151" s="58">
        <f>+IFERROR(VLOOKUP(LEFT(Dulieu!$C$44,10)&amp;"2434",Dulieu!$C$88:$N$400,3,FALSE),0)</f>
        <v>0</v>
      </c>
      <c r="F151" s="58">
        <f>+IFERROR(VLOOKUP(LEFT(Dulieu!$C$44,10)&amp;"2434",Dulieu!$C$88:$N$400,4,FALSE),0)</f>
        <v>0</v>
      </c>
      <c r="G151" s="58">
        <f>+IFERROR(VLOOKUP(LEFT(Dulieu!$C$44,10)&amp;"2434",Dulieu!$C$88:$N$400,5,FALSE),0)</f>
        <v>0</v>
      </c>
      <c r="H151" s="58">
        <f>+IFERROR(VLOOKUP(LEFT(Dulieu!$C$44,10)&amp;"2434",Dulieu!$C$88:$N$400,6,FALSE),0)</f>
        <v>0</v>
      </c>
      <c r="I151" s="58">
        <f>+IFERROR(VLOOKUP(LEFT(Dulieu!$C$44,10)&amp;"2434",Dulieu!$C$88:$N$400,7,FALSE),0)</f>
        <v>0</v>
      </c>
      <c r="J151" s="58">
        <f>+IFERROR(VLOOKUP(LEFT(Dulieu!$C$44,10)&amp;"2434",Dulieu!$C$88:$N$400,8,FALSE),0)</f>
        <v>0</v>
      </c>
      <c r="K151" s="58">
        <f>+IFERROR(VLOOKUP(LEFT(Dulieu!$C$44,10)&amp;"2434",Dulieu!$C$88:$N$400,9,FALSE),0)</f>
        <v>0</v>
      </c>
      <c r="L151" s="58">
        <f>+IFERROR(VLOOKUP(LEFT(Dulieu!$C$44,10)&amp;"2434",Dulieu!$C$88:$N$400,10,FALSE),0)</f>
        <v>0</v>
      </c>
      <c r="M151" s="58">
        <f>+IFERROR(VLOOKUP(LEFT(Dulieu!$C$44,10)&amp;"2434",Dulieu!$C$88:$N$400,11,FALSE),0)</f>
        <v>0</v>
      </c>
      <c r="N151" s="58">
        <f>+IFERROR(VLOOKUP(LEFT(Dulieu!$C$44,10)&amp;"2434",Dulieu!$C$88:$N$400,12,FALSE),0)</f>
        <v>0</v>
      </c>
      <c r="O151" s="58">
        <f>+IFERROR(VLOOKUP(LEFT(Dulieu!$C$44,10)&amp;"2434",Dulieu!$C$88:$Y$400,13,FALSE),0)</f>
        <v>0</v>
      </c>
      <c r="P151" s="58">
        <f>+IFERROR(VLOOKUP(LEFT(Dulieu!$C$44,10)&amp;"2434",Dulieu!$C$88:$Y$400,14,FALSE),0)</f>
        <v>0</v>
      </c>
      <c r="Q151" s="58">
        <f>+IFERROR(VLOOKUP(LEFT(Dulieu!$C$44,10)&amp;"2434",Dulieu!$C$88:$Y$400,15,FALSE),0)</f>
        <v>0</v>
      </c>
      <c r="R151" s="58">
        <f>+IFERROR(VLOOKUP(LEFT(Dulieu!$C$44,10)&amp;"2434",Dulieu!$C$88:$Y$400,16,FALSE),0)</f>
        <v>0</v>
      </c>
      <c r="S151" s="58">
        <f>+IFERROR(VLOOKUP(LEFT(Dulieu!$C$44,10)&amp;"2434",Dulieu!$C$88:$Y$400,17,FALSE),0)</f>
        <v>0</v>
      </c>
      <c r="T151" s="58">
        <f>+IFERROR(VLOOKUP(LEFT(Dulieu!$C$44,10)&amp;"2434",Dulieu!$C$88:$Y$400,18,FALSE),0)</f>
        <v>0</v>
      </c>
      <c r="U151" s="58">
        <f>+IFERROR(VLOOKUP(LEFT(Dulieu!$C$44,10)&amp;"2434",Dulieu!$C$88:$Y$400,19,FALSE),0)</f>
        <v>0</v>
      </c>
      <c r="V151" s="58">
        <f>+IFERROR(VLOOKUP(LEFT(Dulieu!$C$44,10)&amp;"2434",Dulieu!$C$88:$Y$400,20,FALSE),0)</f>
        <v>0</v>
      </c>
      <c r="W151" s="58">
        <f>+IFERROR(VLOOKUP(LEFT(Dulieu!$C$44,10)&amp;"2434",Dulieu!$C$88:$Y$400,21,FALSE),0)</f>
        <v>0</v>
      </c>
      <c r="X151" s="58">
        <f>+IFERROR(VLOOKUP(LEFT(Dulieu!$C$44,10)&amp;"2434",Dulieu!$C$88:$Y$400,22,FALSE),0)</f>
        <v>0</v>
      </c>
      <c r="Y151" s="58">
        <f>+IFERROR(VLOOKUP(LEFT(Dulieu!$C$44,10)&amp;"2434",Dulieu!$C$88:$Y$400,23,FALSE),0)</f>
        <v>0</v>
      </c>
    </row>
    <row r="152" spans="1:25" s="63" customFormat="1" ht="12" x14ac:dyDescent="0.25">
      <c r="A152" s="60"/>
      <c r="B152" s="61" t="s">
        <v>91</v>
      </c>
      <c r="C152" s="62">
        <f t="shared" si="34"/>
        <v>0</v>
      </c>
      <c r="D152" s="62">
        <f>+IFERROR(VLOOKUP(LEFT(Dulieu!$C$44,10)&amp;"2434",Dulieu!$C$88:$N$400,2,FALSE),0)-IFERROR(VLOOKUP(LEFT(Dulieu!$C$44,10)&amp;"2434_PRE_M",Dulieu!$C$88:$N$400,2,FALSE),0)</f>
        <v>0</v>
      </c>
      <c r="E152" s="62">
        <f>+IFERROR(VLOOKUP(LEFT(Dulieu!$C$44,10)&amp;"2434",Dulieu!$C$88:$N$400,3,FALSE),0)-IFERROR(VLOOKUP(LEFT(Dulieu!$C$44,10)&amp;"2434_PRE_M",Dulieu!$C$88:$N$400,3,FALSE),0)</f>
        <v>0</v>
      </c>
      <c r="F152" s="62">
        <f>+IFERROR(VLOOKUP(LEFT(Dulieu!$C$44,10)&amp;"2434",Dulieu!$C$88:$N$400,4,FALSE),0)-IFERROR(VLOOKUP(LEFT(Dulieu!$C$44,10)&amp;"2434_PRE_M",Dulieu!$C$88:$N$400,4,FALSE),0)</f>
        <v>0</v>
      </c>
      <c r="G152" s="62">
        <f>+IFERROR(VLOOKUP(LEFT(Dulieu!$C$44,10)&amp;"2434",Dulieu!$C$88:$N$400,5,FALSE),0)-IFERROR(VLOOKUP(LEFT(Dulieu!$C$44,10)&amp;"2434_PRE_M",Dulieu!$C$88:$N$400,5,FALSE),0)</f>
        <v>0</v>
      </c>
      <c r="H152" s="62">
        <f>+IFERROR(VLOOKUP(LEFT(Dulieu!$C$44,10)&amp;"2434",Dulieu!$C$88:$N$400,6,FALSE),0)-IFERROR(VLOOKUP(LEFT(Dulieu!$C$44,10)&amp;"2434_PRE_M",Dulieu!$C$88:$N$400,6,FALSE),0)</f>
        <v>0</v>
      </c>
      <c r="I152" s="62">
        <f>+IFERROR(VLOOKUP(LEFT(Dulieu!$C$44,10)&amp;"2434",Dulieu!$C$88:$N$400,7,FALSE),0)-IFERROR(VLOOKUP(LEFT(Dulieu!$C$44,10)&amp;"2434_PRE_M",Dulieu!$C$88:$N$400,7,FALSE),0)</f>
        <v>0</v>
      </c>
      <c r="J152" s="62">
        <f>+IFERROR(VLOOKUP(LEFT(Dulieu!$C$44,10)&amp;"2434",Dulieu!$C$88:$N$400,8,FALSE),0)-IFERROR(VLOOKUP(LEFT(Dulieu!$C$44,10)&amp;"2434_PRE_M",Dulieu!$C$88:$N$400,8,FALSE),0)</f>
        <v>0</v>
      </c>
      <c r="K152" s="62">
        <f>+IFERROR(VLOOKUP(LEFT(Dulieu!$C$44,10)&amp;"2434",Dulieu!$C$88:$N$400,9,FALSE),0)-IFERROR(VLOOKUP(LEFT(Dulieu!$C$44,10)&amp;"2434_PRE_M",Dulieu!$C$88:$N$400,9,FALSE),0)</f>
        <v>0</v>
      </c>
      <c r="L152" s="62">
        <f>+IFERROR(VLOOKUP(LEFT(Dulieu!$C$44,10)&amp;"2434",Dulieu!$C$88:$N$400,10,FALSE),0)-IFERROR(VLOOKUP(LEFT(Dulieu!$C$44,10)&amp;"2434_PRE_M",Dulieu!$C$88:$N$400,10,FALSE),0)</f>
        <v>0</v>
      </c>
      <c r="M152" s="62">
        <f>+IFERROR(VLOOKUP(LEFT(Dulieu!$C$44,10)&amp;"2434",Dulieu!$C$88:$N$400,11,FALSE),0)-IFERROR(VLOOKUP(LEFT(Dulieu!$C$44,10)&amp;"2434_PRE_M",Dulieu!$C$88:$N$400,11,FALSE),0)</f>
        <v>0</v>
      </c>
      <c r="N152" s="62">
        <f>+IFERROR(VLOOKUP(LEFT(Dulieu!$C$44,10)&amp;"2434",Dulieu!$C$88:$N$400,12,FALSE),0)-IFERROR(VLOOKUP(LEFT(Dulieu!$C$44,10)&amp;"2434_PRE_M",Dulieu!$C$88:$N$400,12,FALSE),0)</f>
        <v>0</v>
      </c>
      <c r="O152" s="62">
        <f>+IFERROR(VLOOKUP(LEFT(Dulieu!$C$44,10)&amp;"2434",Dulieu!$C$88:$Y$400,13,FALSE),0)-IFERROR(VLOOKUP(LEFT(Dulieu!$C$44,10)&amp;"2434_PRE_M",Dulieu!$C$88:$Y$400,13,FALSE),0)</f>
        <v>0</v>
      </c>
      <c r="P152" s="62">
        <f>+IFERROR(VLOOKUP(LEFT(Dulieu!$C$44,10)&amp;"2434",Dulieu!$C$88:$Y$400,14,FALSE),0)-IFERROR(VLOOKUP(LEFT(Dulieu!$C$44,10)&amp;"2434_PRE_M",Dulieu!$C$88:$Y$400,14,FALSE),0)</f>
        <v>0</v>
      </c>
      <c r="Q152" s="62">
        <f>+IFERROR(VLOOKUP(LEFT(Dulieu!$C$44,10)&amp;"2434",Dulieu!$C$88:$Y$400,15,FALSE),0)-IFERROR(VLOOKUP(LEFT(Dulieu!$C$44,10)&amp;"2434_PRE_M",Dulieu!$C$88:$Y$400,15,FALSE),0)</f>
        <v>0</v>
      </c>
      <c r="R152" s="62">
        <f>+IFERROR(VLOOKUP(LEFT(Dulieu!$C$44,10)&amp;"2434",Dulieu!$C$88:$Y$400,16,FALSE),0)-IFERROR(VLOOKUP(LEFT(Dulieu!$C$44,10)&amp;"2434_PRE_M",Dulieu!$C$88:$Y$400,16,FALSE),0)</f>
        <v>0</v>
      </c>
      <c r="S152" s="62">
        <f>+IFERROR(VLOOKUP(LEFT(Dulieu!$C$44,10)&amp;"2434",Dulieu!$C$88:$Y$400,17,FALSE),0)-IFERROR(VLOOKUP(LEFT(Dulieu!$C$44,10)&amp;"2434_PRE_M",Dulieu!$C$88:$Y$400,17,FALSE),0)</f>
        <v>0</v>
      </c>
      <c r="T152" s="62">
        <f>+IFERROR(VLOOKUP(LEFT(Dulieu!$C$44,10)&amp;"2434",Dulieu!$C$88:$Y$400,18,FALSE),0)-IFERROR(VLOOKUP(LEFT(Dulieu!$C$44,10)&amp;"2434_PRE_M",Dulieu!$C$88:$Y$400,18,FALSE),0)</f>
        <v>0</v>
      </c>
      <c r="U152" s="62">
        <f>+IFERROR(VLOOKUP(LEFT(Dulieu!$C$44,10)&amp;"2434",Dulieu!$C$88:$Y$400,19,FALSE),0)-IFERROR(VLOOKUP(LEFT(Dulieu!$C$44,10)&amp;"2434_PRE_M",Dulieu!$C$88:$Y$400,19,FALSE),0)</f>
        <v>0</v>
      </c>
      <c r="V152" s="62">
        <f>+IFERROR(VLOOKUP(LEFT(Dulieu!$C$44,10)&amp;"2434",Dulieu!$C$88:$Y$400,20,FALSE),0)-IFERROR(VLOOKUP(LEFT(Dulieu!$C$44,10)&amp;"2434_PRE_M",Dulieu!$C$88:$Y$400,20,FALSE),0)</f>
        <v>0</v>
      </c>
      <c r="W152" s="62">
        <f>+IFERROR(VLOOKUP(LEFT(Dulieu!$C$44,10)&amp;"2434",Dulieu!$C$88:$Y$400,21,FALSE),0)-IFERROR(VLOOKUP(LEFT(Dulieu!$C$44,10)&amp;"2434_PRE_M",Dulieu!$C$88:$Y$400,21,FALSE),0)</f>
        <v>0</v>
      </c>
      <c r="X152" s="62">
        <f>+IFERROR(VLOOKUP(LEFT(Dulieu!$C$44,10)&amp;"2434",Dulieu!$C$88:$Y$400,22,FALSE),0)-IFERROR(VLOOKUP(LEFT(Dulieu!$C$44,10)&amp;"2434_PRE_M",Dulieu!$C$88:$Y$400,22,FALSE),0)</f>
        <v>0</v>
      </c>
      <c r="Y152" s="62">
        <f>+IFERROR(VLOOKUP(LEFT(Dulieu!$C$44,10)&amp;"2434",Dulieu!$C$88:$Y$400,23,FALSE),0)-IFERROR(VLOOKUP(LEFT(Dulieu!$C$44,10)&amp;"2434_PRE_M",Dulieu!$C$88:$Y$400,23,FALSE),0)</f>
        <v>0</v>
      </c>
    </row>
    <row r="153" spans="1:25" s="63" customFormat="1" ht="12" x14ac:dyDescent="0.25">
      <c r="A153" s="60"/>
      <c r="B153" s="61" t="s">
        <v>92</v>
      </c>
      <c r="C153" s="62">
        <f t="shared" si="34"/>
        <v>-49.95</v>
      </c>
      <c r="D153" s="62">
        <f>+IFERROR(VLOOKUP(LEFT(Dulieu!$C$44,10)&amp;"2434",Dulieu!$C$88:$N$400,2,FALSE),0)-IFERROR(VLOOKUP(LEFT(Dulieu!$C$44,10)&amp;"2434_PRE_Y",Dulieu!$C$88:$N$400,2,FALSE),0)</f>
        <v>0</v>
      </c>
      <c r="E153" s="62">
        <f>+IFERROR(VLOOKUP(LEFT(Dulieu!$C$44,10)&amp;"2434",Dulieu!$C$88:$N$400,3,FALSE),0)-IFERROR(VLOOKUP(LEFT(Dulieu!$C$44,10)&amp;"2434_PRE_Y",Dulieu!$C$88:$N$400,3,FALSE),0)</f>
        <v>0</v>
      </c>
      <c r="F153" s="62">
        <f>+IFERROR(VLOOKUP(LEFT(Dulieu!$C$44,10)&amp;"2434",Dulieu!$C$88:$N$400,4,FALSE),0)-IFERROR(VLOOKUP(LEFT(Dulieu!$C$44,10)&amp;"2434_PRE_Y",Dulieu!$C$88:$N$400,4,FALSE),0)</f>
        <v>-49.95</v>
      </c>
      <c r="G153" s="62">
        <f>+IFERROR(VLOOKUP(LEFT(Dulieu!$C$44,10)&amp;"2434",Dulieu!$C$88:$N$400,5,FALSE),0)-IFERROR(VLOOKUP(LEFT(Dulieu!$C$44,10)&amp;"2434_PRE_Y",Dulieu!$C$88:$N$400,5,FALSE),0)</f>
        <v>0</v>
      </c>
      <c r="H153" s="62">
        <f>+IFERROR(VLOOKUP(LEFT(Dulieu!$C$44,10)&amp;"2434",Dulieu!$C$88:$N$400,6,FALSE),0)-IFERROR(VLOOKUP(LEFT(Dulieu!$C$44,10)&amp;"2434_PRE_Y",Dulieu!$C$88:$N$400,6,FALSE),0)</f>
        <v>0</v>
      </c>
      <c r="I153" s="62">
        <f>+IFERROR(VLOOKUP(LEFT(Dulieu!$C$44,10)&amp;"2434",Dulieu!$C$88:$N$400,7,FALSE),0)-IFERROR(VLOOKUP(LEFT(Dulieu!$C$44,10)&amp;"2434_PRE_Y",Dulieu!$C$88:$N$400,7,FALSE),0)</f>
        <v>0</v>
      </c>
      <c r="J153" s="62">
        <f>+IFERROR(VLOOKUP(LEFT(Dulieu!$C$44,10)&amp;"2434",Dulieu!$C$88:$N$400,8,FALSE),0)-IFERROR(VLOOKUP(LEFT(Dulieu!$C$44,10)&amp;"2434_PRE_Y",Dulieu!$C$88:$N$400,8,FALSE),0)</f>
        <v>0</v>
      </c>
      <c r="K153" s="62">
        <f>+IFERROR(VLOOKUP(LEFT(Dulieu!$C$44,10)&amp;"2434",Dulieu!$C$88:$N$400,9,FALSE),0)-IFERROR(VLOOKUP(LEFT(Dulieu!$C$44,10)&amp;"2434_PRE_Y",Dulieu!$C$88:$N$400,9,FALSE),0)</f>
        <v>0</v>
      </c>
      <c r="L153" s="62">
        <f>+IFERROR(VLOOKUP(LEFT(Dulieu!$C$44,10)&amp;"2434",Dulieu!$C$88:$N$400,10,FALSE),0)-IFERROR(VLOOKUP(LEFT(Dulieu!$C$44,10)&amp;"2434_PRE_Y",Dulieu!$C$88:$N$400,10,FALSE),0)</f>
        <v>0</v>
      </c>
      <c r="M153" s="62">
        <f>+IFERROR(VLOOKUP(LEFT(Dulieu!$C$44,10)&amp;"2434",Dulieu!$C$88:$N$400,11,FALSE),0)-IFERROR(VLOOKUP(LEFT(Dulieu!$C$44,10)&amp;"2434_PRE_Y",Dulieu!$C$88:$N$400,11,FALSE),0)</f>
        <v>0</v>
      </c>
      <c r="N153" s="62">
        <f>+IFERROR(VLOOKUP(LEFT(Dulieu!$C$44,10)&amp;"2434",Dulieu!$C$88:$N$400,12,FALSE),0)-IFERROR(VLOOKUP(LEFT(Dulieu!$C$44,10)&amp;"2434_PRE_Y",Dulieu!$C$88:$N$400,12,FALSE),0)</f>
        <v>0</v>
      </c>
      <c r="O153" s="62">
        <f>+IFERROR(VLOOKUP(LEFT(Dulieu!$C$44,10)&amp;"2434",Dulieu!$C$88:$Y$400,13,FALSE),0)-IFERROR(VLOOKUP(LEFT(Dulieu!$C$44,10)&amp;"2434_PRE_Y",Dulieu!$C$88:$Y$400,13,FALSE),0)</f>
        <v>0</v>
      </c>
      <c r="P153" s="62">
        <f>+IFERROR(VLOOKUP(LEFT(Dulieu!$C$44,10)&amp;"2434",Dulieu!$C$88:$Y$400,14,FALSE),0)-IFERROR(VLOOKUP(LEFT(Dulieu!$C$44,10)&amp;"2434_PRE_Y",Dulieu!$C$88:$Y$400,14,FALSE),0)</f>
        <v>0</v>
      </c>
      <c r="Q153" s="62">
        <f>+IFERROR(VLOOKUP(LEFT(Dulieu!$C$44,10)&amp;"2434",Dulieu!$C$88:$Y$400,15,FALSE),0)-IFERROR(VLOOKUP(LEFT(Dulieu!$C$44,10)&amp;"2434_PRE_Y",Dulieu!$C$88:$Y$400,15,FALSE),0)</f>
        <v>0</v>
      </c>
      <c r="R153" s="62">
        <f>+IFERROR(VLOOKUP(LEFT(Dulieu!$C$44,10)&amp;"2434",Dulieu!$C$88:$Y$400,16,FALSE),0)-IFERROR(VLOOKUP(LEFT(Dulieu!$C$44,10)&amp;"2434_PRE_Y",Dulieu!$C$88:$Y$400,16,FALSE),0)</f>
        <v>0</v>
      </c>
      <c r="S153" s="62">
        <f>+IFERROR(VLOOKUP(LEFT(Dulieu!$C$44,10)&amp;"2434",Dulieu!$C$88:$Y$400,17,FALSE),0)-IFERROR(VLOOKUP(LEFT(Dulieu!$C$44,10)&amp;"2434_PRE_Y",Dulieu!$C$88:$Y$400,17,FALSE),0)</f>
        <v>0</v>
      </c>
      <c r="T153" s="62">
        <f>+IFERROR(VLOOKUP(LEFT(Dulieu!$C$44,10)&amp;"2434",Dulieu!$C$88:$Y$400,18,FALSE),0)-IFERROR(VLOOKUP(LEFT(Dulieu!$C$44,10)&amp;"2434_PRE_Y",Dulieu!$C$88:$Y$400,18,FALSE),0)</f>
        <v>0</v>
      </c>
      <c r="U153" s="62">
        <f>+IFERROR(VLOOKUP(LEFT(Dulieu!$C$44,10)&amp;"2434",Dulieu!$C$88:$Y$400,19,FALSE),0)-IFERROR(VLOOKUP(LEFT(Dulieu!$C$44,10)&amp;"2434_PRE_Y",Dulieu!$C$88:$Y$400,19,FALSE),0)</f>
        <v>0</v>
      </c>
      <c r="V153" s="62">
        <f>+IFERROR(VLOOKUP(LEFT(Dulieu!$C$44,10)&amp;"2434",Dulieu!$C$88:$Y$400,20,FALSE),0)-IFERROR(VLOOKUP(LEFT(Dulieu!$C$44,10)&amp;"2434_PRE_Y",Dulieu!$C$88:$Y$400,20,FALSE),0)</f>
        <v>0</v>
      </c>
      <c r="W153" s="62">
        <f>+IFERROR(VLOOKUP(LEFT(Dulieu!$C$44,10)&amp;"2434",Dulieu!$C$88:$Y$400,21,FALSE),0)-IFERROR(VLOOKUP(LEFT(Dulieu!$C$44,10)&amp;"2434_PRE_Y",Dulieu!$C$88:$Y$400,21,FALSE),0)</f>
        <v>0</v>
      </c>
      <c r="X153" s="62">
        <f>+IFERROR(VLOOKUP(LEFT(Dulieu!$C$44,10)&amp;"2434",Dulieu!$C$88:$Y$400,22,FALSE),0)-IFERROR(VLOOKUP(LEFT(Dulieu!$C$44,10)&amp;"2434_PRE_Y",Dulieu!$C$88:$Y$400,22,FALSE),0)</f>
        <v>0</v>
      </c>
      <c r="Y153" s="62">
        <f>+IFERROR(VLOOKUP(LEFT(Dulieu!$C$44,10)&amp;"2434",Dulieu!$C$88:$Y$400,23,FALSE),0)-IFERROR(VLOOKUP(LEFT(Dulieu!$C$44,10)&amp;"2434_PRE_Y",Dulieu!$C$88:$Y$400,23,FALSE),0)</f>
        <v>0</v>
      </c>
    </row>
    <row r="154" spans="1:25" s="59" customFormat="1" ht="12" x14ac:dyDescent="0.25">
      <c r="A154" s="56">
        <v>19</v>
      </c>
      <c r="B154" s="57" t="s">
        <v>97</v>
      </c>
      <c r="C154" s="58">
        <f t="shared" si="34"/>
        <v>73040.61</v>
      </c>
      <c r="D154" s="58">
        <f>+IFERROR(VLOOKUP(LEFT(Dulieu!$C$44,10)&amp;"2636",Dulieu!$C$88:$N$400,2,FALSE),0)</f>
        <v>1238.5</v>
      </c>
      <c r="E154" s="58">
        <f>+IFERROR(VLOOKUP(LEFT(Dulieu!$C$44,10)&amp;"2636",Dulieu!$C$88:$N$400,3,FALSE),0)</f>
        <v>1355</v>
      </c>
      <c r="F154" s="58">
        <f>+IFERROR(VLOOKUP(LEFT(Dulieu!$C$44,10)&amp;"2636",Dulieu!$C$88:$N$400,4,FALSE),0)</f>
        <v>1737</v>
      </c>
      <c r="G154" s="58">
        <f>+IFERROR(VLOOKUP(LEFT(Dulieu!$C$44,10)&amp;"2636",Dulieu!$C$88:$N$400,5,FALSE),0)</f>
        <v>3072.2</v>
      </c>
      <c r="H154" s="58">
        <f>+IFERROR(VLOOKUP(LEFT(Dulieu!$C$44,10)&amp;"2636",Dulieu!$C$88:$N$400,6,FALSE),0)</f>
        <v>4520.4399999999996</v>
      </c>
      <c r="I154" s="58">
        <f>+IFERROR(VLOOKUP(LEFT(Dulieu!$C$44,10)&amp;"2636",Dulieu!$C$88:$N$400,7,FALSE),0)</f>
        <v>1919</v>
      </c>
      <c r="J154" s="58">
        <f>+IFERROR(VLOOKUP(LEFT(Dulieu!$C$44,10)&amp;"2636",Dulieu!$C$88:$N$400,8,FALSE),0)</f>
        <v>2317</v>
      </c>
      <c r="K154" s="58">
        <f>+IFERROR(VLOOKUP(LEFT(Dulieu!$C$44,10)&amp;"2636",Dulieu!$C$88:$N$400,9,FALSE),0)</f>
        <v>3151</v>
      </c>
      <c r="L154" s="58">
        <f>+IFERROR(VLOOKUP(LEFT(Dulieu!$C$44,10)&amp;"2636",Dulieu!$C$88:$N$400,10,FALSE),0)</f>
        <v>1624.1</v>
      </c>
      <c r="M154" s="58">
        <f>+IFERROR(VLOOKUP(LEFT(Dulieu!$C$44,10)&amp;"2636",Dulieu!$C$88:$N$400,11,FALSE),0)</f>
        <v>2329</v>
      </c>
      <c r="N154" s="58">
        <f>+IFERROR(VLOOKUP(LEFT(Dulieu!$C$44,10)&amp;"2636",Dulieu!$C$88:$N$400,12,FALSE),0)</f>
        <v>2404.87</v>
      </c>
      <c r="O154" s="58">
        <f>+IFERROR(VLOOKUP(LEFT(Dulieu!$C$44,10)&amp;"2636",Dulieu!$C$88:$Y$400,13,FALSE),0)</f>
        <v>3300</v>
      </c>
      <c r="P154" s="58">
        <f>+IFERROR(VLOOKUP(LEFT(Dulieu!$C$44,10)&amp;"2636",Dulieu!$C$88:$Y$400,14,FALSE),0)</f>
        <v>4061.5</v>
      </c>
      <c r="Q154" s="58">
        <f>+IFERROR(VLOOKUP(LEFT(Dulieu!$C$44,10)&amp;"2636",Dulieu!$C$88:$Y$400,15,FALSE),0)</f>
        <v>3995</v>
      </c>
      <c r="R154" s="58">
        <f>+IFERROR(VLOOKUP(LEFT(Dulieu!$C$44,10)&amp;"2636",Dulieu!$C$88:$Y$400,16,FALSE),0)</f>
        <v>2050</v>
      </c>
      <c r="S154" s="58">
        <f>+IFERROR(VLOOKUP(LEFT(Dulieu!$C$44,10)&amp;"2636",Dulieu!$C$88:$Y$400,17,FALSE),0)</f>
        <v>4680</v>
      </c>
      <c r="T154" s="58">
        <f>+IFERROR(VLOOKUP(LEFT(Dulieu!$C$44,10)&amp;"2636",Dulieu!$C$88:$Y$400,18,FALSE),0)</f>
        <v>3899</v>
      </c>
      <c r="U154" s="58">
        <f>+IFERROR(VLOOKUP(LEFT(Dulieu!$C$44,10)&amp;"2636",Dulieu!$C$88:$Y$400,19,FALSE),0)</f>
        <v>2570</v>
      </c>
      <c r="V154" s="58">
        <f>+IFERROR(VLOOKUP(LEFT(Dulieu!$C$44,10)&amp;"2636",Dulieu!$C$88:$Y$400,20,FALSE),0)</f>
        <v>4495</v>
      </c>
      <c r="W154" s="58">
        <f>+IFERROR(VLOOKUP(LEFT(Dulieu!$C$44,10)&amp;"2636",Dulieu!$C$88:$Y$400,21,FALSE),0)</f>
        <v>2455</v>
      </c>
      <c r="X154" s="58">
        <f>+IFERROR(VLOOKUP(LEFT(Dulieu!$C$44,10)&amp;"2636",Dulieu!$C$88:$Y$400,22,FALSE),0)</f>
        <v>10282</v>
      </c>
      <c r="Y154" s="58">
        <f>+IFERROR(VLOOKUP(LEFT(Dulieu!$C$44,10)&amp;"2636",Dulieu!$C$88:$Y$400,23,FALSE),0)</f>
        <v>5585</v>
      </c>
    </row>
    <row r="155" spans="1:25" s="63" customFormat="1" ht="12" x14ac:dyDescent="0.25">
      <c r="A155" s="60"/>
      <c r="B155" s="61" t="s">
        <v>91</v>
      </c>
      <c r="C155" s="62">
        <f t="shared" si="34"/>
        <v>3088.5</v>
      </c>
      <c r="D155" s="62">
        <f>+IFERROR(VLOOKUP(LEFT(Dulieu!$C$44,10)&amp;"2636",Dulieu!$C$88:$N$400,2,FALSE),0)-IFERROR(VLOOKUP(LEFT(Dulieu!$C$44,10)&amp;"2636_PRE_M",Dulieu!$C$88:$N$400,2,FALSE),0)</f>
        <v>90</v>
      </c>
      <c r="E155" s="62">
        <f>+IFERROR(VLOOKUP(LEFT(Dulieu!$C$44,10)&amp;"2636",Dulieu!$C$88:$N$400,3,FALSE),0)-IFERROR(VLOOKUP(LEFT(Dulieu!$C$44,10)&amp;"2636_PRE_M",Dulieu!$C$88:$N$400,3,FALSE),0)</f>
        <v>200</v>
      </c>
      <c r="F155" s="62">
        <f>+IFERROR(VLOOKUP(LEFT(Dulieu!$C$44,10)&amp;"2636",Dulieu!$C$88:$N$400,4,FALSE),0)-IFERROR(VLOOKUP(LEFT(Dulieu!$C$44,10)&amp;"2636_PRE_M",Dulieu!$C$88:$N$400,4,FALSE),0)</f>
        <v>244</v>
      </c>
      <c r="G155" s="62">
        <f>+IFERROR(VLOOKUP(LEFT(Dulieu!$C$44,10)&amp;"2636",Dulieu!$C$88:$N$400,5,FALSE),0)-IFERROR(VLOOKUP(LEFT(Dulieu!$C$44,10)&amp;"2636_PRE_M",Dulieu!$C$88:$N$400,5,FALSE),0)</f>
        <v>96</v>
      </c>
      <c r="H155" s="62">
        <f>+IFERROR(VLOOKUP(LEFT(Dulieu!$C$44,10)&amp;"2636",Dulieu!$C$88:$N$400,6,FALSE),0)-IFERROR(VLOOKUP(LEFT(Dulieu!$C$44,10)&amp;"2636_PRE_M",Dulieu!$C$88:$N$400,6,FALSE),0)</f>
        <v>171.5</v>
      </c>
      <c r="I155" s="62">
        <f>+IFERROR(VLOOKUP(LEFT(Dulieu!$C$44,10)&amp;"2636",Dulieu!$C$88:$N$400,7,FALSE),0)-IFERROR(VLOOKUP(LEFT(Dulieu!$C$44,10)&amp;"2636_PRE_M",Dulieu!$C$88:$N$400,7,FALSE),0)</f>
        <v>-81</v>
      </c>
      <c r="J155" s="62">
        <f>+IFERROR(VLOOKUP(LEFT(Dulieu!$C$44,10)&amp;"2636",Dulieu!$C$88:$N$400,8,FALSE),0)-IFERROR(VLOOKUP(LEFT(Dulieu!$C$44,10)&amp;"2636_PRE_M",Dulieu!$C$88:$N$400,8,FALSE),0)</f>
        <v>0</v>
      </c>
      <c r="K155" s="62">
        <f>+IFERROR(VLOOKUP(LEFT(Dulieu!$C$44,10)&amp;"2636",Dulieu!$C$88:$N$400,9,FALSE),0)-IFERROR(VLOOKUP(LEFT(Dulieu!$C$44,10)&amp;"2636_PRE_M",Dulieu!$C$88:$N$400,9,FALSE),0)</f>
        <v>155</v>
      </c>
      <c r="L155" s="62">
        <f>+IFERROR(VLOOKUP(LEFT(Dulieu!$C$44,10)&amp;"2636",Dulieu!$C$88:$N$400,10,FALSE),0)-IFERROR(VLOOKUP(LEFT(Dulieu!$C$44,10)&amp;"2636_PRE_M",Dulieu!$C$88:$N$400,10,FALSE),0)</f>
        <v>0</v>
      </c>
      <c r="M155" s="62">
        <f>+IFERROR(VLOOKUP(LEFT(Dulieu!$C$44,10)&amp;"2636",Dulieu!$C$88:$N$400,11,FALSE),0)-IFERROR(VLOOKUP(LEFT(Dulieu!$C$44,10)&amp;"2636_PRE_M",Dulieu!$C$88:$N$400,11,FALSE),0)</f>
        <v>140</v>
      </c>
      <c r="N155" s="62">
        <f>+IFERROR(VLOOKUP(LEFT(Dulieu!$C$44,10)&amp;"2636",Dulieu!$C$88:$N$400,12,FALSE),0)-IFERROR(VLOOKUP(LEFT(Dulieu!$C$44,10)&amp;"2636_PRE_M",Dulieu!$C$88:$N$400,12,FALSE),0)</f>
        <v>0</v>
      </c>
      <c r="O155" s="62">
        <f>+IFERROR(VLOOKUP(LEFT(Dulieu!$C$44,10)&amp;"2636",Dulieu!$C$88:$Y$400,13,FALSE),0)-IFERROR(VLOOKUP(LEFT(Dulieu!$C$44,10)&amp;"2636_PRE_M",Dulieu!$C$88:$Y$400,13,FALSE),0)</f>
        <v>0</v>
      </c>
      <c r="P155" s="62">
        <f>+IFERROR(VLOOKUP(LEFT(Dulieu!$C$44,10)&amp;"2636",Dulieu!$C$88:$Y$400,14,FALSE),0)-IFERROR(VLOOKUP(LEFT(Dulieu!$C$44,10)&amp;"2636_PRE_M",Dulieu!$C$88:$Y$400,14,FALSE),0)</f>
        <v>96</v>
      </c>
      <c r="Q155" s="62">
        <f>+IFERROR(VLOOKUP(LEFT(Dulieu!$C$44,10)&amp;"2636",Dulieu!$C$88:$Y$400,15,FALSE),0)-IFERROR(VLOOKUP(LEFT(Dulieu!$C$44,10)&amp;"2636_PRE_M",Dulieu!$C$88:$Y$400,15,FALSE),0)</f>
        <v>260</v>
      </c>
      <c r="R155" s="62">
        <f>+IFERROR(VLOOKUP(LEFT(Dulieu!$C$44,10)&amp;"2636",Dulieu!$C$88:$Y$400,16,FALSE),0)-IFERROR(VLOOKUP(LEFT(Dulieu!$C$44,10)&amp;"2636_PRE_M",Dulieu!$C$88:$Y$400,16,FALSE),0)</f>
        <v>0</v>
      </c>
      <c r="S155" s="62">
        <f>+IFERROR(VLOOKUP(LEFT(Dulieu!$C$44,10)&amp;"2636",Dulieu!$C$88:$Y$400,17,FALSE),0)-IFERROR(VLOOKUP(LEFT(Dulieu!$C$44,10)&amp;"2636_PRE_M",Dulieu!$C$88:$Y$400,17,FALSE),0)</f>
        <v>590</v>
      </c>
      <c r="T155" s="62">
        <f>+IFERROR(VLOOKUP(LEFT(Dulieu!$C$44,10)&amp;"2636",Dulieu!$C$88:$Y$400,18,FALSE),0)-IFERROR(VLOOKUP(LEFT(Dulieu!$C$44,10)&amp;"2636_PRE_M",Dulieu!$C$88:$Y$400,18,FALSE),0)</f>
        <v>100</v>
      </c>
      <c r="U155" s="62">
        <f>+IFERROR(VLOOKUP(LEFT(Dulieu!$C$44,10)&amp;"2636",Dulieu!$C$88:$Y$400,19,FALSE),0)-IFERROR(VLOOKUP(LEFT(Dulieu!$C$44,10)&amp;"2636_PRE_M",Dulieu!$C$88:$Y$400,19,FALSE),0)</f>
        <v>50</v>
      </c>
      <c r="V155" s="62">
        <f>+IFERROR(VLOOKUP(LEFT(Dulieu!$C$44,10)&amp;"2636",Dulieu!$C$88:$Y$400,20,FALSE),0)-IFERROR(VLOOKUP(LEFT(Dulieu!$C$44,10)&amp;"2636_PRE_M",Dulieu!$C$88:$Y$400,20,FALSE),0)</f>
        <v>0</v>
      </c>
      <c r="W155" s="62">
        <f>+IFERROR(VLOOKUP(LEFT(Dulieu!$C$44,10)&amp;"2636",Dulieu!$C$88:$Y$400,21,FALSE),0)-IFERROR(VLOOKUP(LEFT(Dulieu!$C$44,10)&amp;"2636_PRE_M",Dulieu!$C$88:$Y$400,21,FALSE),0)</f>
        <v>-56</v>
      </c>
      <c r="X155" s="62">
        <f>+IFERROR(VLOOKUP(LEFT(Dulieu!$C$44,10)&amp;"2636",Dulieu!$C$88:$Y$400,22,FALSE),0)-IFERROR(VLOOKUP(LEFT(Dulieu!$C$44,10)&amp;"2636_PRE_M",Dulieu!$C$88:$Y$400,22,FALSE),0)</f>
        <v>347</v>
      </c>
      <c r="Y155" s="62">
        <f>+IFERROR(VLOOKUP(LEFT(Dulieu!$C$44,10)&amp;"2636",Dulieu!$C$88:$Y$400,23,FALSE),0)-IFERROR(VLOOKUP(LEFT(Dulieu!$C$44,10)&amp;"2636_PRE_M",Dulieu!$C$88:$Y$400,23,FALSE),0)</f>
        <v>686</v>
      </c>
    </row>
    <row r="156" spans="1:25" s="63" customFormat="1" ht="12" x14ac:dyDescent="0.25">
      <c r="A156" s="60"/>
      <c r="B156" s="61" t="s">
        <v>92</v>
      </c>
      <c r="C156" s="62">
        <f t="shared" si="34"/>
        <v>14904.699999999999</v>
      </c>
      <c r="D156" s="62">
        <f>+IFERROR(VLOOKUP(LEFT(Dulieu!$C$44,10)&amp;"2636",Dulieu!$C$88:$N$400,2,FALSE),0)-IFERROR(VLOOKUP(LEFT(Dulieu!$C$44,10)&amp;"2636_PRE_Y",Dulieu!$C$88:$N$400,2,FALSE),0)</f>
        <v>67</v>
      </c>
      <c r="E156" s="62">
        <f>+IFERROR(VLOOKUP(LEFT(Dulieu!$C$44,10)&amp;"2636",Dulieu!$C$88:$N$400,3,FALSE),0)-IFERROR(VLOOKUP(LEFT(Dulieu!$C$44,10)&amp;"2636_PRE_Y",Dulieu!$C$88:$N$400,3,FALSE),0)</f>
        <v>745</v>
      </c>
      <c r="F156" s="62">
        <f>+IFERROR(VLOOKUP(LEFT(Dulieu!$C$44,10)&amp;"2636",Dulieu!$C$88:$N$400,4,FALSE),0)-IFERROR(VLOOKUP(LEFT(Dulieu!$C$44,10)&amp;"2636_PRE_Y",Dulieu!$C$88:$N$400,4,FALSE),0)</f>
        <v>434</v>
      </c>
      <c r="G156" s="62">
        <f>+IFERROR(VLOOKUP(LEFT(Dulieu!$C$44,10)&amp;"2636",Dulieu!$C$88:$N$400,5,FALSE),0)-IFERROR(VLOOKUP(LEFT(Dulieu!$C$44,10)&amp;"2636_PRE_Y",Dulieu!$C$88:$N$400,5,FALSE),0)</f>
        <v>1227.9999999999998</v>
      </c>
      <c r="H156" s="62">
        <f>+IFERROR(VLOOKUP(LEFT(Dulieu!$C$44,10)&amp;"2636",Dulieu!$C$88:$N$400,6,FALSE),0)-IFERROR(VLOOKUP(LEFT(Dulieu!$C$44,10)&amp;"2636_PRE_Y",Dulieu!$C$88:$N$400,6,FALSE),0)</f>
        <v>1293.4999999999995</v>
      </c>
      <c r="I156" s="62">
        <f>+IFERROR(VLOOKUP(LEFT(Dulieu!$C$44,10)&amp;"2636",Dulieu!$C$88:$N$400,7,FALSE),0)-IFERROR(VLOOKUP(LEFT(Dulieu!$C$44,10)&amp;"2636_PRE_Y",Dulieu!$C$88:$N$400,7,FALSE),0)</f>
        <v>219</v>
      </c>
      <c r="J156" s="62">
        <f>+IFERROR(VLOOKUP(LEFT(Dulieu!$C$44,10)&amp;"2636",Dulieu!$C$88:$N$400,8,FALSE),0)-IFERROR(VLOOKUP(LEFT(Dulieu!$C$44,10)&amp;"2636_PRE_Y",Dulieu!$C$88:$N$400,8,FALSE),0)</f>
        <v>604</v>
      </c>
      <c r="K156" s="62">
        <f>+IFERROR(VLOOKUP(LEFT(Dulieu!$C$44,10)&amp;"2636",Dulieu!$C$88:$N$400,9,FALSE),0)-IFERROR(VLOOKUP(LEFT(Dulieu!$C$44,10)&amp;"2636_PRE_Y",Dulieu!$C$88:$N$400,9,FALSE),0)</f>
        <v>578</v>
      </c>
      <c r="L156" s="62">
        <f>+IFERROR(VLOOKUP(LEFT(Dulieu!$C$44,10)&amp;"2636",Dulieu!$C$88:$N$400,10,FALSE),0)-IFERROR(VLOOKUP(LEFT(Dulieu!$C$44,10)&amp;"2636_PRE_Y",Dulieu!$C$88:$N$400,10,FALSE),0)</f>
        <v>263</v>
      </c>
      <c r="M156" s="62">
        <f>+IFERROR(VLOOKUP(LEFT(Dulieu!$C$44,10)&amp;"2636",Dulieu!$C$88:$N$400,11,FALSE),0)-IFERROR(VLOOKUP(LEFT(Dulieu!$C$44,10)&amp;"2636_PRE_Y",Dulieu!$C$88:$N$400,11,FALSE),0)</f>
        <v>1090.9000000000001</v>
      </c>
      <c r="N156" s="62">
        <f>+IFERROR(VLOOKUP(LEFT(Dulieu!$C$44,10)&amp;"2636",Dulieu!$C$88:$N$400,12,FALSE),0)-IFERROR(VLOOKUP(LEFT(Dulieu!$C$44,10)&amp;"2636_PRE_Y",Dulieu!$C$88:$N$400,12,FALSE),0)</f>
        <v>-51.200000000000273</v>
      </c>
      <c r="O156" s="62">
        <f>+IFERROR(VLOOKUP(LEFT(Dulieu!$C$44,10)&amp;"2636",Dulieu!$C$88:$Y$400,13,FALSE),0)-IFERROR(VLOOKUP(LEFT(Dulieu!$C$44,10)&amp;"2636_PRE_Y",Dulieu!$C$88:$Y$400,13,FALSE),0)</f>
        <v>900</v>
      </c>
      <c r="P156" s="62">
        <f>+IFERROR(VLOOKUP(LEFT(Dulieu!$C$44,10)&amp;"2636",Dulieu!$C$88:$Y$400,14,FALSE),0)-IFERROR(VLOOKUP(LEFT(Dulieu!$C$44,10)&amp;"2636_PRE_Y",Dulieu!$C$88:$Y$400,14,FALSE),0)</f>
        <v>673.5</v>
      </c>
      <c r="Q156" s="62">
        <f>+IFERROR(VLOOKUP(LEFT(Dulieu!$C$44,10)&amp;"2636",Dulieu!$C$88:$Y$400,15,FALSE),0)-IFERROR(VLOOKUP(LEFT(Dulieu!$C$44,10)&amp;"2636_PRE_Y",Dulieu!$C$88:$Y$400,15,FALSE),0)</f>
        <v>564</v>
      </c>
      <c r="R156" s="62">
        <f>+IFERROR(VLOOKUP(LEFT(Dulieu!$C$44,10)&amp;"2636",Dulieu!$C$88:$Y$400,16,FALSE),0)-IFERROR(VLOOKUP(LEFT(Dulieu!$C$44,10)&amp;"2636_PRE_Y",Dulieu!$C$88:$Y$400,16,FALSE),0)</f>
        <v>300</v>
      </c>
      <c r="S156" s="62">
        <f>+IFERROR(VLOOKUP(LEFT(Dulieu!$C$44,10)&amp;"2636",Dulieu!$C$88:$Y$400,17,FALSE),0)-IFERROR(VLOOKUP(LEFT(Dulieu!$C$44,10)&amp;"2636_PRE_Y",Dulieu!$C$88:$Y$400,17,FALSE),0)</f>
        <v>990</v>
      </c>
      <c r="T156" s="62">
        <f>+IFERROR(VLOOKUP(LEFT(Dulieu!$C$44,10)&amp;"2636",Dulieu!$C$88:$Y$400,18,FALSE),0)-IFERROR(VLOOKUP(LEFT(Dulieu!$C$44,10)&amp;"2636_PRE_Y",Dulieu!$C$88:$Y$400,18,FALSE),0)</f>
        <v>192</v>
      </c>
      <c r="U156" s="62">
        <f>+IFERROR(VLOOKUP(LEFT(Dulieu!$C$44,10)&amp;"2636",Dulieu!$C$88:$Y$400,19,FALSE),0)-IFERROR(VLOOKUP(LEFT(Dulieu!$C$44,10)&amp;"2636_PRE_Y",Dulieu!$C$88:$Y$400,19,FALSE),0)</f>
        <v>450</v>
      </c>
      <c r="V156" s="62">
        <f>+IFERROR(VLOOKUP(LEFT(Dulieu!$C$44,10)&amp;"2636",Dulieu!$C$88:$Y$400,20,FALSE),0)-IFERROR(VLOOKUP(LEFT(Dulieu!$C$44,10)&amp;"2636_PRE_Y",Dulieu!$C$88:$Y$400,20,FALSE),0)</f>
        <v>900</v>
      </c>
      <c r="W156" s="62">
        <f>+IFERROR(VLOOKUP(LEFT(Dulieu!$C$44,10)&amp;"2636",Dulieu!$C$88:$Y$400,21,FALSE),0)-IFERROR(VLOOKUP(LEFT(Dulieu!$C$44,10)&amp;"2636_PRE_Y",Dulieu!$C$88:$Y$400,21,FALSE),0)</f>
        <v>490</v>
      </c>
      <c r="X156" s="62">
        <f>+IFERROR(VLOOKUP(LEFT(Dulieu!$C$44,10)&amp;"2636",Dulieu!$C$88:$Y$400,22,FALSE),0)-IFERROR(VLOOKUP(LEFT(Dulieu!$C$44,10)&amp;"2636_PRE_Y",Dulieu!$C$88:$Y$400,22,FALSE),0)</f>
        <v>732</v>
      </c>
      <c r="Y156" s="62">
        <f>+IFERROR(VLOOKUP(LEFT(Dulieu!$C$44,10)&amp;"2636",Dulieu!$C$88:$Y$400,23,FALSE),0)-IFERROR(VLOOKUP(LEFT(Dulieu!$C$44,10)&amp;"2636_PRE_Y",Dulieu!$C$88:$Y$400,23,FALSE),0)</f>
        <v>2242</v>
      </c>
    </row>
    <row r="157" spans="1:25" s="63" customFormat="1" ht="12" x14ac:dyDescent="0.25">
      <c r="A157" s="60"/>
      <c r="B157" s="65" t="s">
        <v>42</v>
      </c>
      <c r="C157" s="62">
        <f t="shared" ref="C157:C181" si="35">SUM(D157:Y157)</f>
        <v>20168</v>
      </c>
      <c r="D157" s="64">
        <f>+IFERROR(VLOOKUP(LEFT(Dulieu!$C$44,10)&amp;"NV_263601",Dulieu!$C$88:$Y$400,2,FALSE),0)</f>
        <v>100</v>
      </c>
      <c r="E157" s="64">
        <f>+IFERROR(VLOOKUP(LEFT(Dulieu!$C$44,10)&amp;"NV_263601",Dulieu!$C$88:$Y$400,3,FALSE),0)</f>
        <v>550</v>
      </c>
      <c r="F157" s="64">
        <f>+IFERROR(VLOOKUP(LEFT(Dulieu!$C$44,10)&amp;"NV_263601",Dulieu!$C$88:$Y$400,4,FALSE),0)</f>
        <v>350</v>
      </c>
      <c r="G157" s="64">
        <f>+IFERROR(VLOOKUP(LEFT(Dulieu!$C$44,10)&amp;"NV_263601",Dulieu!$C$88:$Y$400,5,FALSE),0)</f>
        <v>100</v>
      </c>
      <c r="H157" s="64">
        <f>+IFERROR(VLOOKUP(LEFT(Dulieu!$C$44,10)&amp;"NV_263601",Dulieu!$C$88:$Y$400,6,FALSE),0)</f>
        <v>695</v>
      </c>
      <c r="I157" s="64">
        <f>+IFERROR(VLOOKUP(LEFT(Dulieu!$C$44,10)&amp;"NV_263601",Dulieu!$C$88:$Y$400,7,FALSE),0)</f>
        <v>500</v>
      </c>
      <c r="J157" s="64">
        <f>+IFERROR(VLOOKUP(LEFT(Dulieu!$C$44,10)&amp;"NV_263601",Dulieu!$C$88:$Y$400,8,FALSE),0)</f>
        <v>610</v>
      </c>
      <c r="K157" s="64">
        <f>+IFERROR(VLOOKUP(LEFT(Dulieu!$C$44,10)&amp;"NV_263601",Dulieu!$C$88:$Y$400,9,FALSE),0)</f>
        <v>90</v>
      </c>
      <c r="L157" s="64">
        <f>+IFERROR(VLOOKUP(LEFT(Dulieu!$C$44,10)&amp;"NV_263601",Dulieu!$C$88:$Y$400,10,FALSE),0)</f>
        <v>100</v>
      </c>
      <c r="M157" s="64">
        <f>+IFERROR(VLOOKUP(LEFT(Dulieu!$C$44,10)&amp;"NV_263601",Dulieu!$C$88:$Y$400,11,FALSE),0)</f>
        <v>0</v>
      </c>
      <c r="N157" s="64">
        <f>+IFERROR(VLOOKUP(LEFT(Dulieu!$C$44,10)&amp;"NV_263601",Dulieu!$C$88:$Y$400,12,FALSE),0)</f>
        <v>0</v>
      </c>
      <c r="O157" s="64">
        <f>+IFERROR(VLOOKUP(LEFT(Dulieu!$C$44,10)&amp;"NV_263601",Dulieu!$C$88:$Y$400,13,FALSE),0)</f>
        <v>1000</v>
      </c>
      <c r="P157" s="64">
        <f>+IFERROR(VLOOKUP(LEFT(Dulieu!$C$44,10)&amp;"NV_263601",Dulieu!$C$88:$Y$400,14,FALSE),0)</f>
        <v>1254</v>
      </c>
      <c r="Q157" s="64">
        <f>+IFERROR(VLOOKUP(LEFT(Dulieu!$C$44,10)&amp;"NV_263601",Dulieu!$C$88:$Y$400,15,FALSE),0)</f>
        <v>1330</v>
      </c>
      <c r="R157" s="64">
        <f>+IFERROR(VLOOKUP(LEFT(Dulieu!$C$44,10)&amp;"NV_263601",Dulieu!$C$88:$Y$400,16,FALSE),0)</f>
        <v>300</v>
      </c>
      <c r="S157" s="64">
        <f>+IFERROR(VLOOKUP(LEFT(Dulieu!$C$44,10)&amp;"NV_263601",Dulieu!$C$88:$Y$400,17,FALSE),0)</f>
        <v>2890</v>
      </c>
      <c r="T157" s="64">
        <f>+IFERROR(VLOOKUP(LEFT(Dulieu!$C$44,10)&amp;"NV_263601",Dulieu!$C$88:$Y$400,18,FALSE),0)</f>
        <v>1579</v>
      </c>
      <c r="U157" s="64">
        <f>+IFERROR(VLOOKUP(LEFT(Dulieu!$C$44,10)&amp;"NV_263601",Dulieu!$C$88:$Y$400,19,FALSE),0)</f>
        <v>400</v>
      </c>
      <c r="V157" s="64">
        <f>+IFERROR(VLOOKUP(LEFT(Dulieu!$C$44,10)&amp;"NV_263601",Dulieu!$C$88:$Y$400,20,FALSE),0)</f>
        <v>645</v>
      </c>
      <c r="W157" s="64">
        <f>+IFERROR(VLOOKUP(LEFT(Dulieu!$C$44,10)&amp;"NV_263601",Dulieu!$C$88:$Y$400,21,FALSE),0)</f>
        <v>965</v>
      </c>
      <c r="X157" s="64">
        <f>+IFERROR(VLOOKUP(LEFT(Dulieu!$C$44,10)&amp;"NV_263601",Dulieu!$C$88:$Y$400,22,FALSE),0)</f>
        <v>5350</v>
      </c>
      <c r="Y157" s="64">
        <f>+IFERROR(VLOOKUP(LEFT(Dulieu!$C$44,10)&amp;"NV_263601",Dulieu!$C$88:$Y$400,23,FALSE),0)</f>
        <v>1360</v>
      </c>
    </row>
    <row r="158" spans="1:25" s="63" customFormat="1" ht="12" x14ac:dyDescent="0.25">
      <c r="A158" s="60"/>
      <c r="B158" s="65" t="s">
        <v>43</v>
      </c>
      <c r="C158" s="62">
        <f t="shared" si="35"/>
        <v>52872.61</v>
      </c>
      <c r="D158" s="64">
        <f>+IFERROR(VLOOKUP(LEFT(Dulieu!$C$44,10)&amp;"NV_263602",Dulieu!$C$88:$Y$400,2,FALSE),0)</f>
        <v>1138.5</v>
      </c>
      <c r="E158" s="64">
        <f>+IFERROR(VLOOKUP(LEFT(Dulieu!$C$44,10)&amp;"NV_263602",Dulieu!$C$88:$Y$400,3,FALSE),0)</f>
        <v>805</v>
      </c>
      <c r="F158" s="64">
        <f>+IFERROR(VLOOKUP(LEFT(Dulieu!$C$44,10)&amp;"NV_263602",Dulieu!$C$88:$Y$400,4,FALSE),0)</f>
        <v>1387</v>
      </c>
      <c r="G158" s="64">
        <f>+IFERROR(VLOOKUP(LEFT(Dulieu!$C$44,10)&amp;"NV_263602",Dulieu!$C$88:$Y$400,5,FALSE),0)</f>
        <v>2972.2</v>
      </c>
      <c r="H158" s="64">
        <f>+IFERROR(VLOOKUP(LEFT(Dulieu!$C$44,10)&amp;"NV_263602",Dulieu!$C$88:$Y$400,6,FALSE),0)</f>
        <v>3825.44</v>
      </c>
      <c r="I158" s="64">
        <f>+IFERROR(VLOOKUP(LEFT(Dulieu!$C$44,10)&amp;"NV_263602",Dulieu!$C$88:$Y$400,7,FALSE),0)</f>
        <v>1419</v>
      </c>
      <c r="J158" s="64">
        <f>+IFERROR(VLOOKUP(LEFT(Dulieu!$C$44,10)&amp;"NV_263602",Dulieu!$C$88:$Y$400,8,FALSE),0)</f>
        <v>1707</v>
      </c>
      <c r="K158" s="64">
        <f>+IFERROR(VLOOKUP(LEFT(Dulieu!$C$44,10)&amp;"NV_263602",Dulieu!$C$88:$Y$400,9,FALSE),0)</f>
        <v>3061</v>
      </c>
      <c r="L158" s="64">
        <f>+IFERROR(VLOOKUP(LEFT(Dulieu!$C$44,10)&amp;"NV_263602",Dulieu!$C$88:$Y$400,10,FALSE),0)</f>
        <v>1524.1</v>
      </c>
      <c r="M158" s="64">
        <f>+IFERROR(VLOOKUP(LEFT(Dulieu!$C$44,10)&amp;"NV_263602",Dulieu!$C$88:$Y$400,11,FALSE),0)</f>
        <v>2329</v>
      </c>
      <c r="N158" s="64">
        <f>+IFERROR(VLOOKUP(LEFT(Dulieu!$C$44,10)&amp;"NV_263602",Dulieu!$C$88:$Y$400,12,FALSE),0)</f>
        <v>2404.87</v>
      </c>
      <c r="O158" s="64">
        <f>+IFERROR(VLOOKUP(LEFT(Dulieu!$C$44,10)&amp;"NV_263602",Dulieu!$C$88:$Y$400,13,FALSE),0)</f>
        <v>2300</v>
      </c>
      <c r="P158" s="64">
        <f>+IFERROR(VLOOKUP(LEFT(Dulieu!$C$44,10)&amp;"NV_263602",Dulieu!$C$88:$Y$400,14,FALSE),0)</f>
        <v>2807.5</v>
      </c>
      <c r="Q158" s="64">
        <f>+IFERROR(VLOOKUP(LEFT(Dulieu!$C$44,10)&amp;"NV_263602",Dulieu!$C$88:$Y$400,15,FALSE),0)</f>
        <v>2665</v>
      </c>
      <c r="R158" s="64">
        <f>+IFERROR(VLOOKUP(LEFT(Dulieu!$C$44,10)&amp;"NV_263602",Dulieu!$C$88:$Y$400,16,FALSE),0)</f>
        <v>1750</v>
      </c>
      <c r="S158" s="64">
        <f>+IFERROR(VLOOKUP(LEFT(Dulieu!$C$44,10)&amp;"NV_263602",Dulieu!$C$88:$Y$400,17,FALSE),0)</f>
        <v>1790</v>
      </c>
      <c r="T158" s="64">
        <f>+IFERROR(VLOOKUP(LEFT(Dulieu!$C$44,10)&amp;"NV_263602",Dulieu!$C$88:$Y$400,18,FALSE),0)</f>
        <v>2320</v>
      </c>
      <c r="U158" s="64">
        <f>+IFERROR(VLOOKUP(LEFT(Dulieu!$C$44,10)&amp;"NV_263602",Dulieu!$C$88:$Y$400,19,FALSE),0)</f>
        <v>2170</v>
      </c>
      <c r="V158" s="64">
        <f>+IFERROR(VLOOKUP(LEFT(Dulieu!$C$44,10)&amp;"NV_263602",Dulieu!$C$88:$Y$400,20,FALSE),0)</f>
        <v>3850</v>
      </c>
      <c r="W158" s="64">
        <f>+IFERROR(VLOOKUP(LEFT(Dulieu!$C$44,10)&amp;"NV_263602",Dulieu!$C$88:$Y$400,21,FALSE),0)</f>
        <v>1490</v>
      </c>
      <c r="X158" s="64">
        <f>+IFERROR(VLOOKUP(LEFT(Dulieu!$C$44,10)&amp;"NV_263602",Dulieu!$C$88:$Y$400,22,FALSE),0)</f>
        <v>4932</v>
      </c>
      <c r="Y158" s="64">
        <f>+IFERROR(VLOOKUP(LEFT(Dulieu!$C$44,10)&amp;"NV_263602",Dulieu!$C$88:$Y$400,23,FALSE),0)</f>
        <v>4225</v>
      </c>
    </row>
    <row r="159" spans="1:25" s="37" customFormat="1" ht="12" x14ac:dyDescent="0.25">
      <c r="A159" s="34">
        <v>20</v>
      </c>
      <c r="B159" s="35" t="s">
        <v>110</v>
      </c>
      <c r="C159" s="36">
        <f t="shared" si="35"/>
        <v>16971</v>
      </c>
      <c r="D159" s="36">
        <f>+IFERROR(VLOOKUP(LEFT(Dulieu!$C$44,10)&amp;"2535",Dulieu!$C$88:$N$400,2,FALSE),0)</f>
        <v>0</v>
      </c>
      <c r="E159" s="36">
        <f>+IFERROR(VLOOKUP(LEFT(Dulieu!$C$44,10)&amp;"2535",Dulieu!$C$88:$N$400,3,FALSE),0)</f>
        <v>0</v>
      </c>
      <c r="F159" s="36">
        <f>+IFERROR(VLOOKUP(LEFT(Dulieu!$C$44,10)&amp;"2535",Dulieu!$C$88:$N$400,4,FALSE),0)</f>
        <v>0</v>
      </c>
      <c r="G159" s="36">
        <f>+IFERROR(VLOOKUP(LEFT(Dulieu!$C$44,10)&amp;"2535",Dulieu!$C$88:$N$400,5,FALSE),0)</f>
        <v>0</v>
      </c>
      <c r="H159" s="36">
        <f>+IFERROR(VLOOKUP(LEFT(Dulieu!$C$44,10)&amp;"2535",Dulieu!$C$88:$N$400,6,FALSE),0)</f>
        <v>0</v>
      </c>
      <c r="I159" s="36">
        <f>+IFERROR(VLOOKUP(LEFT(Dulieu!$C$44,10)&amp;"2535",Dulieu!$C$88:$N$400,7,FALSE),0)</f>
        <v>0</v>
      </c>
      <c r="J159" s="36">
        <f>+IFERROR(VLOOKUP(LEFT(Dulieu!$C$44,10)&amp;"2535",Dulieu!$C$88:$N$400,8,FALSE),0)</f>
        <v>0</v>
      </c>
      <c r="K159" s="36">
        <f>+IFERROR(VLOOKUP(LEFT(Dulieu!$C$44,10)&amp;"2535",Dulieu!$C$88:$N$400,9,FALSE),0)</f>
        <v>0</v>
      </c>
      <c r="L159" s="36">
        <f>+IFERROR(VLOOKUP(LEFT(Dulieu!$C$44,10)&amp;"2535",Dulieu!$C$88:$N$400,10,FALSE),0)</f>
        <v>0</v>
      </c>
      <c r="M159" s="36">
        <f>+IFERROR(VLOOKUP(LEFT(Dulieu!$C$44,10)&amp;"2535",Dulieu!$C$88:$N$400,11,FALSE),0)</f>
        <v>0</v>
      </c>
      <c r="N159" s="36">
        <f>+IFERROR(VLOOKUP(LEFT(Dulieu!$C$44,10)&amp;"2535",Dulieu!$C$88:$N$400,12,FALSE),0)</f>
        <v>0</v>
      </c>
      <c r="O159" s="36">
        <f>+IFERROR(VLOOKUP(LEFT(Dulieu!$C$44,10)&amp;"2535",Dulieu!$C$88:$Y$400,13,FALSE),0)</f>
        <v>0</v>
      </c>
      <c r="P159" s="36">
        <f>+IFERROR(VLOOKUP(LEFT(Dulieu!$C$44,10)&amp;"2535",Dulieu!$C$88:$Y$400,14,FALSE),0)</f>
        <v>3805</v>
      </c>
      <c r="Q159" s="36">
        <f>+IFERROR(VLOOKUP(LEFT(Dulieu!$C$44,10)&amp;"2535",Dulieu!$C$88:$Y$400,15,FALSE),0)</f>
        <v>0</v>
      </c>
      <c r="R159" s="36">
        <f>+IFERROR(VLOOKUP(LEFT(Dulieu!$C$44,10)&amp;"2535",Dulieu!$C$88:$Y$400,16,FALSE),0)</f>
        <v>200</v>
      </c>
      <c r="S159" s="36">
        <f>+IFERROR(VLOOKUP(LEFT(Dulieu!$C$44,10)&amp;"2535",Dulieu!$C$88:$Y$400,17,FALSE),0)</f>
        <v>3048</v>
      </c>
      <c r="T159" s="36">
        <f>+IFERROR(VLOOKUP(LEFT(Dulieu!$C$44,10)&amp;"2535",Dulieu!$C$88:$Y$400,18,FALSE),0)</f>
        <v>0</v>
      </c>
      <c r="U159" s="36">
        <f>+IFERROR(VLOOKUP(LEFT(Dulieu!$C$44,10)&amp;"2535",Dulieu!$C$88:$Y$400,19,FALSE),0)</f>
        <v>0</v>
      </c>
      <c r="V159" s="36">
        <f>+IFERROR(VLOOKUP(LEFT(Dulieu!$C$44,10)&amp;"2535",Dulieu!$C$88:$Y$400,20,FALSE),0)</f>
        <v>5671</v>
      </c>
      <c r="W159" s="36">
        <f>+IFERROR(VLOOKUP(LEFT(Dulieu!$C$44,10)&amp;"2535",Dulieu!$C$88:$Y$400,21,FALSE),0)</f>
        <v>1730</v>
      </c>
      <c r="X159" s="36">
        <f>+IFERROR(VLOOKUP(LEFT(Dulieu!$C$44,10)&amp;"2535",Dulieu!$C$88:$Y$400,22,FALSE),0)</f>
        <v>2517</v>
      </c>
      <c r="Y159" s="36">
        <f>+IFERROR(VLOOKUP(LEFT(Dulieu!$C$44,10)&amp;"2535",Dulieu!$C$88:$Y$400,23,FALSE),0)</f>
        <v>0</v>
      </c>
    </row>
    <row r="160" spans="1:25" s="41" customFormat="1" ht="12" x14ac:dyDescent="0.25">
      <c r="A160" s="38"/>
      <c r="B160" s="39" t="s">
        <v>91</v>
      </c>
      <c r="C160" s="40">
        <f t="shared" si="35"/>
        <v>-23</v>
      </c>
      <c r="D160" s="40">
        <f>+IFERROR(VLOOKUP(LEFT(Dulieu!$C$44,10)&amp;"2535",Dulieu!$C$88:$N$400,2,FALSE),0)-IFERROR(VLOOKUP(LEFT(Dulieu!$C$44,10)&amp;"2535_PRE_M",Dulieu!$C$88:$N$400,2,FALSE),0)</f>
        <v>0</v>
      </c>
      <c r="E160" s="40">
        <f>+IFERROR(VLOOKUP(LEFT(Dulieu!$C$44,10)&amp;"2535",Dulieu!$C$88:$N$400,3,FALSE),0)-IFERROR(VLOOKUP(LEFT(Dulieu!$C$44,10)&amp;"2535_PRE_M",Dulieu!$C$88:$N$400,3,FALSE),0)</f>
        <v>0</v>
      </c>
      <c r="F160" s="40">
        <f>+IFERROR(VLOOKUP(LEFT(Dulieu!$C$44,10)&amp;"2535",Dulieu!$C$88:$N$400,4,FALSE),0)-IFERROR(VLOOKUP(LEFT(Dulieu!$C$44,10)&amp;"2535_PRE_M",Dulieu!$C$88:$N$400,4,FALSE),0)</f>
        <v>0</v>
      </c>
      <c r="G160" s="40">
        <f>+IFERROR(VLOOKUP(LEFT(Dulieu!$C$44,10)&amp;"2535",Dulieu!$C$88:$N$400,5,FALSE),0)-IFERROR(VLOOKUP(LEFT(Dulieu!$C$44,10)&amp;"2535_PRE_M",Dulieu!$C$88:$N$400,5,FALSE),0)</f>
        <v>0</v>
      </c>
      <c r="H160" s="40">
        <f>+IFERROR(VLOOKUP(LEFT(Dulieu!$C$44,10)&amp;"2535",Dulieu!$C$88:$N$400,6,FALSE),0)-IFERROR(VLOOKUP(LEFT(Dulieu!$C$44,10)&amp;"2535_PRE_M",Dulieu!$C$88:$N$400,6,FALSE),0)</f>
        <v>0</v>
      </c>
      <c r="I160" s="40">
        <f>+IFERROR(VLOOKUP(LEFT(Dulieu!$C$44,10)&amp;"2535",Dulieu!$C$88:$N$400,7,FALSE),0)-IFERROR(VLOOKUP(LEFT(Dulieu!$C$44,10)&amp;"2535_PRE_M",Dulieu!$C$88:$N$400,7,FALSE),0)</f>
        <v>0</v>
      </c>
      <c r="J160" s="40">
        <f>+IFERROR(VLOOKUP(LEFT(Dulieu!$C$44,10)&amp;"2535",Dulieu!$C$88:$N$400,8,FALSE),0)-IFERROR(VLOOKUP(LEFT(Dulieu!$C$44,10)&amp;"2535_PRE_M",Dulieu!$C$88:$N$400,8,FALSE),0)</f>
        <v>0</v>
      </c>
      <c r="K160" s="40">
        <f>+IFERROR(VLOOKUP(LEFT(Dulieu!$C$44,10)&amp;"2535",Dulieu!$C$88:$N$400,9,FALSE),0)-IFERROR(VLOOKUP(LEFT(Dulieu!$C$44,10)&amp;"2535_PRE_M",Dulieu!$C$88:$N$400,9,FALSE),0)</f>
        <v>0</v>
      </c>
      <c r="L160" s="40">
        <f>+IFERROR(VLOOKUP(LEFT(Dulieu!$C$44,10)&amp;"2535",Dulieu!$C$88:$N$400,10,FALSE),0)-IFERROR(VLOOKUP(LEFT(Dulieu!$C$44,10)&amp;"2535_PRE_M",Dulieu!$C$88:$N$400,10,FALSE),0)</f>
        <v>0</v>
      </c>
      <c r="M160" s="40">
        <f>+IFERROR(VLOOKUP(LEFT(Dulieu!$C$44,10)&amp;"2535",Dulieu!$C$88:$N$400,11,FALSE),0)-IFERROR(VLOOKUP(LEFT(Dulieu!$C$44,10)&amp;"2535_PRE_M",Dulieu!$C$88:$N$400,11,FALSE),0)</f>
        <v>0</v>
      </c>
      <c r="N160" s="40">
        <f>+IFERROR(VLOOKUP(LEFT(Dulieu!$C$44,10)&amp;"2535",Dulieu!$C$88:$N$400,12,FALSE),0)-IFERROR(VLOOKUP(LEFT(Dulieu!$C$44,10)&amp;"2535_PRE_M",Dulieu!$C$88:$N$400,12,FALSE),0)</f>
        <v>0</v>
      </c>
      <c r="O160" s="40">
        <f>+IFERROR(VLOOKUP(LEFT(Dulieu!$C$44,10)&amp;"2535",Dulieu!$C$88:$Y$400,13,FALSE),0)-IFERROR(VLOOKUP(LEFT(Dulieu!$C$44,10)&amp;"2535_PRE_M",Dulieu!$C$88:$Y$400,13,FALSE),0)</f>
        <v>0</v>
      </c>
      <c r="P160" s="40">
        <f>+IFERROR(VLOOKUP(LEFT(Dulieu!$C$44,10)&amp;"2535",Dulieu!$C$88:$Y$400,14,FALSE),0)-IFERROR(VLOOKUP(LEFT(Dulieu!$C$44,10)&amp;"2535_PRE_M",Dulieu!$C$88:$Y$400,14,FALSE),0)</f>
        <v>-23</v>
      </c>
      <c r="Q160" s="40">
        <f>+IFERROR(VLOOKUP(LEFT(Dulieu!$C$44,10)&amp;"2535",Dulieu!$C$88:$Y$400,15,FALSE),0)-IFERROR(VLOOKUP(LEFT(Dulieu!$C$44,10)&amp;"2535_PRE_M",Dulieu!$C$88:$Y$400,15,FALSE),0)</f>
        <v>0</v>
      </c>
      <c r="R160" s="40">
        <f>+IFERROR(VLOOKUP(LEFT(Dulieu!$C$44,10)&amp;"2535",Dulieu!$C$88:$Y$400,16,FALSE),0)-IFERROR(VLOOKUP(LEFT(Dulieu!$C$44,10)&amp;"2535_PRE_M",Dulieu!$C$88:$Y$400,16,FALSE),0)</f>
        <v>0</v>
      </c>
      <c r="S160" s="40">
        <f>+IFERROR(VLOOKUP(LEFT(Dulieu!$C$44,10)&amp;"2535",Dulieu!$C$88:$Y$400,17,FALSE),0)-IFERROR(VLOOKUP(LEFT(Dulieu!$C$44,10)&amp;"2535_PRE_M",Dulieu!$C$88:$Y$400,17,FALSE),0)</f>
        <v>0</v>
      </c>
      <c r="T160" s="40">
        <f>+IFERROR(VLOOKUP(LEFT(Dulieu!$C$44,10)&amp;"2535",Dulieu!$C$88:$Y$400,18,FALSE),0)-IFERROR(VLOOKUP(LEFT(Dulieu!$C$44,10)&amp;"2535_PRE_M",Dulieu!$C$88:$Y$400,18,FALSE),0)</f>
        <v>0</v>
      </c>
      <c r="U160" s="40">
        <f>+IFERROR(VLOOKUP(LEFT(Dulieu!$C$44,10)&amp;"2535",Dulieu!$C$88:$Y$400,19,FALSE),0)-IFERROR(VLOOKUP(LEFT(Dulieu!$C$44,10)&amp;"2535_PRE_M",Dulieu!$C$88:$Y$400,19,FALSE),0)</f>
        <v>0</v>
      </c>
      <c r="V160" s="40">
        <f>+IFERROR(VLOOKUP(LEFT(Dulieu!$C$44,10)&amp;"2535",Dulieu!$C$88:$Y$400,20,FALSE),0)-IFERROR(VLOOKUP(LEFT(Dulieu!$C$44,10)&amp;"2535_PRE_M",Dulieu!$C$88:$Y$400,20,FALSE),0)</f>
        <v>0</v>
      </c>
      <c r="W160" s="40">
        <f>+IFERROR(VLOOKUP(LEFT(Dulieu!$C$44,10)&amp;"2535",Dulieu!$C$88:$Y$400,21,FALSE),0)-IFERROR(VLOOKUP(LEFT(Dulieu!$C$44,10)&amp;"2535_PRE_M",Dulieu!$C$88:$Y$400,21,FALSE),0)</f>
        <v>0</v>
      </c>
      <c r="X160" s="40">
        <f>+IFERROR(VLOOKUP(LEFT(Dulieu!$C$44,10)&amp;"2535",Dulieu!$C$88:$Y$400,22,FALSE),0)-IFERROR(VLOOKUP(LEFT(Dulieu!$C$44,10)&amp;"2535_PRE_M",Dulieu!$C$88:$Y$400,22,FALSE),0)</f>
        <v>0</v>
      </c>
      <c r="Y160" s="40">
        <f>+IFERROR(VLOOKUP(LEFT(Dulieu!$C$44,10)&amp;"2535",Dulieu!$C$88:$Y$400,23,FALSE),0)-IFERROR(VLOOKUP(LEFT(Dulieu!$C$44,10)&amp;"2535_PRE_M",Dulieu!$C$88:$Y$400,23,FALSE),0)</f>
        <v>0</v>
      </c>
    </row>
    <row r="161" spans="1:25" s="41" customFormat="1" ht="12" x14ac:dyDescent="0.25">
      <c r="A161" s="38"/>
      <c r="B161" s="39" t="s">
        <v>92</v>
      </c>
      <c r="C161" s="40">
        <f t="shared" si="35"/>
        <v>-163</v>
      </c>
      <c r="D161" s="40">
        <f>+IFERROR(VLOOKUP(LEFT(Dulieu!$C$44,10)&amp;"2535",Dulieu!$C$88:$N$400,2,FALSE),0)-IFERROR(VLOOKUP(LEFT(Dulieu!$C$44,10)&amp;"2535_PRE_Y",Dulieu!$C$88:$N$400,2,FALSE),0)</f>
        <v>0</v>
      </c>
      <c r="E161" s="40">
        <f>+IFERROR(VLOOKUP(LEFT(Dulieu!$C$44,10)&amp;"2535",Dulieu!$C$88:$N$400,3,FALSE),0)-IFERROR(VLOOKUP(LEFT(Dulieu!$C$44,10)&amp;"2535_PRE_Y",Dulieu!$C$88:$N$400,3,FALSE),0)</f>
        <v>0</v>
      </c>
      <c r="F161" s="40">
        <f>+IFERROR(VLOOKUP(LEFT(Dulieu!$C$44,10)&amp;"2535",Dulieu!$C$88:$N$400,4,FALSE),0)-IFERROR(VLOOKUP(LEFT(Dulieu!$C$44,10)&amp;"2535_PRE_Y",Dulieu!$C$88:$N$400,4,FALSE),0)</f>
        <v>0</v>
      </c>
      <c r="G161" s="40">
        <f>+IFERROR(VLOOKUP(LEFT(Dulieu!$C$44,10)&amp;"2535",Dulieu!$C$88:$N$400,5,FALSE),0)-IFERROR(VLOOKUP(LEFT(Dulieu!$C$44,10)&amp;"2535_PRE_Y",Dulieu!$C$88:$N$400,5,FALSE),0)</f>
        <v>0</v>
      </c>
      <c r="H161" s="40">
        <f>+IFERROR(VLOOKUP(LEFT(Dulieu!$C$44,10)&amp;"2535",Dulieu!$C$88:$N$400,6,FALSE),0)-IFERROR(VLOOKUP(LEFT(Dulieu!$C$44,10)&amp;"2535_PRE_Y",Dulieu!$C$88:$N$400,6,FALSE),0)</f>
        <v>0</v>
      </c>
      <c r="I161" s="40">
        <f>+IFERROR(VLOOKUP(LEFT(Dulieu!$C$44,10)&amp;"2535",Dulieu!$C$88:$N$400,7,FALSE),0)-IFERROR(VLOOKUP(LEFT(Dulieu!$C$44,10)&amp;"2535_PRE_Y",Dulieu!$C$88:$N$400,7,FALSE),0)</f>
        <v>0</v>
      </c>
      <c r="J161" s="40">
        <f>+IFERROR(VLOOKUP(LEFT(Dulieu!$C$44,10)&amp;"2535",Dulieu!$C$88:$N$400,8,FALSE),0)-IFERROR(VLOOKUP(LEFT(Dulieu!$C$44,10)&amp;"2535_PRE_Y",Dulieu!$C$88:$N$400,8,FALSE),0)</f>
        <v>0</v>
      </c>
      <c r="K161" s="40">
        <f>+IFERROR(VLOOKUP(LEFT(Dulieu!$C$44,10)&amp;"2535",Dulieu!$C$88:$N$400,9,FALSE),0)-IFERROR(VLOOKUP(LEFT(Dulieu!$C$44,10)&amp;"2535_PRE_Y",Dulieu!$C$88:$N$400,9,FALSE),0)</f>
        <v>0</v>
      </c>
      <c r="L161" s="40">
        <f>+IFERROR(VLOOKUP(LEFT(Dulieu!$C$44,10)&amp;"2535",Dulieu!$C$88:$N$400,10,FALSE),0)-IFERROR(VLOOKUP(LEFT(Dulieu!$C$44,10)&amp;"2535_PRE_Y",Dulieu!$C$88:$N$400,10,FALSE),0)</f>
        <v>0</v>
      </c>
      <c r="M161" s="40">
        <f>+IFERROR(VLOOKUP(LEFT(Dulieu!$C$44,10)&amp;"2535",Dulieu!$C$88:$N$400,11,FALSE),0)-IFERROR(VLOOKUP(LEFT(Dulieu!$C$44,10)&amp;"2535_PRE_Y",Dulieu!$C$88:$N$400,11,FALSE),0)</f>
        <v>0</v>
      </c>
      <c r="N161" s="40">
        <f>+IFERROR(VLOOKUP(LEFT(Dulieu!$C$44,10)&amp;"2535",Dulieu!$C$88:$N$400,12,FALSE),0)-IFERROR(VLOOKUP(LEFT(Dulieu!$C$44,10)&amp;"2535_PRE_Y",Dulieu!$C$88:$N$400,12,FALSE),0)</f>
        <v>0</v>
      </c>
      <c r="O161" s="40">
        <f>+IFERROR(VLOOKUP(LEFT(Dulieu!$C$44,10)&amp;"2535",Dulieu!$C$88:$Y$400,13,FALSE),0)-IFERROR(VLOOKUP(LEFT(Dulieu!$C$44,10)&amp;"2535_PRE_Y",Dulieu!$C$88:$Y$400,13,FALSE),0)</f>
        <v>0</v>
      </c>
      <c r="P161" s="40">
        <f>+IFERROR(VLOOKUP(LEFT(Dulieu!$C$44,10)&amp;"2535",Dulieu!$C$88:$Y$400,14,FALSE),0)-IFERROR(VLOOKUP(LEFT(Dulieu!$C$44,10)&amp;"2535_PRE_Y",Dulieu!$C$88:$Y$400,14,FALSE),0)</f>
        <v>-42</v>
      </c>
      <c r="Q161" s="40">
        <f>+IFERROR(VLOOKUP(LEFT(Dulieu!$C$44,10)&amp;"2535",Dulieu!$C$88:$Y$400,15,FALSE),0)-IFERROR(VLOOKUP(LEFT(Dulieu!$C$44,10)&amp;"2535_PRE_Y",Dulieu!$C$88:$Y$400,15,FALSE),0)</f>
        <v>0</v>
      </c>
      <c r="R161" s="40">
        <f>+IFERROR(VLOOKUP(LEFT(Dulieu!$C$44,10)&amp;"2535",Dulieu!$C$88:$Y$400,16,FALSE),0)-IFERROR(VLOOKUP(LEFT(Dulieu!$C$44,10)&amp;"2535_PRE_Y",Dulieu!$C$88:$Y$400,16,FALSE),0)</f>
        <v>0</v>
      </c>
      <c r="S161" s="40">
        <f>+IFERROR(VLOOKUP(LEFT(Dulieu!$C$44,10)&amp;"2535",Dulieu!$C$88:$Y$400,17,FALSE),0)-IFERROR(VLOOKUP(LEFT(Dulieu!$C$44,10)&amp;"2535_PRE_Y",Dulieu!$C$88:$Y$400,17,FALSE),0)</f>
        <v>0</v>
      </c>
      <c r="T161" s="40">
        <f>+IFERROR(VLOOKUP(LEFT(Dulieu!$C$44,10)&amp;"2535",Dulieu!$C$88:$Y$400,18,FALSE),0)-IFERROR(VLOOKUP(LEFT(Dulieu!$C$44,10)&amp;"2535_PRE_Y",Dulieu!$C$88:$Y$400,18,FALSE),0)</f>
        <v>0</v>
      </c>
      <c r="U161" s="40">
        <f>+IFERROR(VLOOKUP(LEFT(Dulieu!$C$44,10)&amp;"2535",Dulieu!$C$88:$Y$400,19,FALSE),0)-IFERROR(VLOOKUP(LEFT(Dulieu!$C$44,10)&amp;"2535_PRE_Y",Dulieu!$C$88:$Y$400,19,FALSE),0)</f>
        <v>0</v>
      </c>
      <c r="V161" s="40">
        <f>+IFERROR(VLOOKUP(LEFT(Dulieu!$C$44,10)&amp;"2535",Dulieu!$C$88:$Y$400,20,FALSE),0)-IFERROR(VLOOKUP(LEFT(Dulieu!$C$44,10)&amp;"2535_PRE_Y",Dulieu!$C$88:$Y$400,20,FALSE),0)</f>
        <v>-100</v>
      </c>
      <c r="W161" s="40">
        <f>+IFERROR(VLOOKUP(LEFT(Dulieu!$C$44,10)&amp;"2535",Dulieu!$C$88:$Y$400,21,FALSE),0)-IFERROR(VLOOKUP(LEFT(Dulieu!$C$44,10)&amp;"2535_PRE_Y",Dulieu!$C$88:$Y$400,21,FALSE),0)</f>
        <v>-11</v>
      </c>
      <c r="X161" s="40">
        <f>+IFERROR(VLOOKUP(LEFT(Dulieu!$C$44,10)&amp;"2535",Dulieu!$C$88:$Y$400,22,FALSE),0)-IFERROR(VLOOKUP(LEFT(Dulieu!$C$44,10)&amp;"2535_PRE_Y",Dulieu!$C$88:$Y$400,22,FALSE),0)</f>
        <v>-10</v>
      </c>
      <c r="Y161" s="40">
        <f>+IFERROR(VLOOKUP(LEFT(Dulieu!$C$44,10)&amp;"2535",Dulieu!$C$88:$Y$400,23,FALSE),0)-IFERROR(VLOOKUP(LEFT(Dulieu!$C$44,10)&amp;"2535_PRE_Y",Dulieu!$C$88:$Y$400,23,FALSE),0)</f>
        <v>0</v>
      </c>
    </row>
    <row r="162" spans="1:25" s="37" customFormat="1" ht="12" x14ac:dyDescent="0.25">
      <c r="A162" s="34">
        <v>21</v>
      </c>
      <c r="B162" s="35" t="s">
        <v>114</v>
      </c>
      <c r="C162" s="36">
        <f t="shared" si="35"/>
        <v>73285</v>
      </c>
      <c r="D162" s="36">
        <f>+IFERROR(VLOOKUP(LEFT(Dulieu!$C$44,10)&amp;"9926",Dulieu!$C$88:$N$400,2,FALSE),0)</f>
        <v>0</v>
      </c>
      <c r="E162" s="36">
        <f>+IFERROR(VLOOKUP(LEFT(Dulieu!$C$44,10)&amp;"9926",Dulieu!$C$88:$N$400,3,FALSE),0)</f>
        <v>0</v>
      </c>
      <c r="F162" s="36">
        <f>+IFERROR(VLOOKUP(LEFT(Dulieu!$C$44,10)&amp;"9926",Dulieu!$C$88:$N$400,4,FALSE),0)</f>
        <v>200</v>
      </c>
      <c r="G162" s="36">
        <f>+IFERROR(VLOOKUP(LEFT(Dulieu!$C$44,10)&amp;"9926",Dulieu!$C$88:$N$400,5,FALSE),0)</f>
        <v>1200</v>
      </c>
      <c r="H162" s="36">
        <f>+IFERROR(VLOOKUP(LEFT(Dulieu!$C$44,10)&amp;"9926",Dulieu!$C$88:$N$400,6,FALSE),0)</f>
        <v>0</v>
      </c>
      <c r="I162" s="36">
        <f>+IFERROR(VLOOKUP(LEFT(Dulieu!$C$44,10)&amp;"9926",Dulieu!$C$88:$N$400,7,FALSE),0)</f>
        <v>9000</v>
      </c>
      <c r="J162" s="36">
        <f>+IFERROR(VLOOKUP(LEFT(Dulieu!$C$44,10)&amp;"9926",Dulieu!$C$88:$N$400,8,FALSE),0)</f>
        <v>1680</v>
      </c>
      <c r="K162" s="36">
        <f>+IFERROR(VLOOKUP(LEFT(Dulieu!$C$44,10)&amp;"9926",Dulieu!$C$88:$N$400,9,FALSE),0)</f>
        <v>3335</v>
      </c>
      <c r="L162" s="36">
        <f>+IFERROR(VLOOKUP(LEFT(Dulieu!$C$44,10)&amp;"9926",Dulieu!$C$88:$N$400,10,FALSE),0)</f>
        <v>2600</v>
      </c>
      <c r="M162" s="36">
        <f>+IFERROR(VLOOKUP(LEFT(Dulieu!$C$44,10)&amp;"9926",Dulieu!$C$88:$N$400,11,FALSE),0)</f>
        <v>4910</v>
      </c>
      <c r="N162" s="36">
        <f>+IFERROR(VLOOKUP(LEFT(Dulieu!$C$44,10)&amp;"9926",Dulieu!$C$88:$N$400,12,FALSE),0)</f>
        <v>200</v>
      </c>
      <c r="O162" s="36">
        <f>+IFERROR(VLOOKUP(LEFT(Dulieu!$C$44,10)&amp;"9926",Dulieu!$C$88:$Y$400,13,FALSE),0)</f>
        <v>8510</v>
      </c>
      <c r="P162" s="36">
        <f>+IFERROR(VLOOKUP(LEFT(Dulieu!$C$44,10)&amp;"9926",Dulieu!$C$88:$Y$400,14,FALSE),0)</f>
        <v>4100</v>
      </c>
      <c r="Q162" s="36">
        <f>+IFERROR(VLOOKUP(LEFT(Dulieu!$C$44,10)&amp;"9926",Dulieu!$C$88:$Y$400,15,FALSE),0)</f>
        <v>0</v>
      </c>
      <c r="R162" s="36">
        <f>+IFERROR(VLOOKUP(LEFT(Dulieu!$C$44,10)&amp;"9926",Dulieu!$C$88:$Y$400,16,FALSE),0)</f>
        <v>2000</v>
      </c>
      <c r="S162" s="36">
        <f>+IFERROR(VLOOKUP(LEFT(Dulieu!$C$44,10)&amp;"9926",Dulieu!$C$88:$Y$400,17,FALSE),0)</f>
        <v>10000</v>
      </c>
      <c r="T162" s="36">
        <f>+IFERROR(VLOOKUP(LEFT(Dulieu!$C$44,10)&amp;"9926",Dulieu!$C$88:$Y$400,18,FALSE),0)</f>
        <v>5350</v>
      </c>
      <c r="U162" s="36">
        <f>+IFERROR(VLOOKUP(LEFT(Dulieu!$C$44,10)&amp;"9926",Dulieu!$C$88:$Y$400,19,FALSE),0)</f>
        <v>0</v>
      </c>
      <c r="V162" s="36">
        <f>+IFERROR(VLOOKUP(LEFT(Dulieu!$C$44,10)&amp;"9926",Dulieu!$C$88:$Y$400,20,FALSE),0)</f>
        <v>950</v>
      </c>
      <c r="W162" s="36">
        <f>+IFERROR(VLOOKUP(LEFT(Dulieu!$C$44,10)&amp;"9926",Dulieu!$C$88:$Y$400,21,FALSE),0)</f>
        <v>3850</v>
      </c>
      <c r="X162" s="36">
        <f>+IFERROR(VLOOKUP(LEFT(Dulieu!$C$44,10)&amp;"9926",Dulieu!$C$88:$Y$400,22,FALSE),0)</f>
        <v>9400</v>
      </c>
      <c r="Y162" s="36">
        <f>+IFERROR(VLOOKUP(LEFT(Dulieu!$C$44,10)&amp;"9926",Dulieu!$C$88:$Y$400,23,FALSE),0)</f>
        <v>6000</v>
      </c>
    </row>
    <row r="163" spans="1:25" s="68" customFormat="1" ht="12" x14ac:dyDescent="0.25">
      <c r="A163" s="66"/>
      <c r="B163" s="67" t="s">
        <v>91</v>
      </c>
      <c r="C163" s="64">
        <f t="shared" si="35"/>
        <v>3020</v>
      </c>
      <c r="D163" s="64">
        <f>+IFERROR(VLOOKUP(LEFT(Dulieu!$C$44,10)&amp;"9926",Dulieu!$C$88:$N$400,2,FALSE),0)-IFERROR(VLOOKUP(LEFT(Dulieu!$C$44,10)&amp;"9926_PRE_M",Dulieu!$C$88:$N$400,2,FALSE),0)</f>
        <v>0</v>
      </c>
      <c r="E163" s="64">
        <f>+IFERROR(VLOOKUP(LEFT(Dulieu!$C$44,10)&amp;"9926",Dulieu!$C$88:$N$400,3,FALSE),0)-IFERROR(VLOOKUP(LEFT(Dulieu!$C$44,10)&amp;"9926_PRE_M",Dulieu!$C$88:$N$400,3,FALSE),0)</f>
        <v>0</v>
      </c>
      <c r="F163" s="64">
        <f>+IFERROR(VLOOKUP(LEFT(Dulieu!$C$44,10)&amp;"9926",Dulieu!$C$88:$N$400,4,FALSE),0)-IFERROR(VLOOKUP(LEFT(Dulieu!$C$44,10)&amp;"9926_PRE_M",Dulieu!$C$88:$N$400,4,FALSE),0)</f>
        <v>0</v>
      </c>
      <c r="G163" s="64">
        <f>+IFERROR(VLOOKUP(LEFT(Dulieu!$C$44,10)&amp;"9926",Dulieu!$C$88:$N$400,5,FALSE),0)-IFERROR(VLOOKUP(LEFT(Dulieu!$C$44,10)&amp;"9926_PRE_M",Dulieu!$C$88:$N$400,5,FALSE),0)</f>
        <v>0</v>
      </c>
      <c r="H163" s="64">
        <f>+IFERROR(VLOOKUP(LEFT(Dulieu!$C$44,10)&amp;"9926",Dulieu!$C$88:$N$400,6,FALSE),0)-IFERROR(VLOOKUP(LEFT(Dulieu!$C$44,10)&amp;"9926_PRE_M",Dulieu!$C$88:$N$400,6,FALSE),0)</f>
        <v>0</v>
      </c>
      <c r="I163" s="64">
        <f>+IFERROR(VLOOKUP(LEFT(Dulieu!$C$44,10)&amp;"9926",Dulieu!$C$88:$N$400,7,FALSE),0)-IFERROR(VLOOKUP(LEFT(Dulieu!$C$44,10)&amp;"9926_PRE_M",Dulieu!$C$88:$N$400,7,FALSE),0)</f>
        <v>400</v>
      </c>
      <c r="J163" s="64">
        <f>+IFERROR(VLOOKUP(LEFT(Dulieu!$C$44,10)&amp;"9926",Dulieu!$C$88:$N$400,8,FALSE),0)-IFERROR(VLOOKUP(LEFT(Dulieu!$C$44,10)&amp;"9926_PRE_M",Dulieu!$C$88:$N$400,8,FALSE),0)</f>
        <v>0</v>
      </c>
      <c r="K163" s="64">
        <f>+IFERROR(VLOOKUP(LEFT(Dulieu!$C$44,10)&amp;"9926",Dulieu!$C$88:$N$400,9,FALSE),0)-IFERROR(VLOOKUP(LEFT(Dulieu!$C$44,10)&amp;"9926_PRE_M",Dulieu!$C$88:$N$400,9,FALSE),0)</f>
        <v>360</v>
      </c>
      <c r="L163" s="64">
        <f>+IFERROR(VLOOKUP(LEFT(Dulieu!$C$44,10)&amp;"9926",Dulieu!$C$88:$N$400,10,FALSE),0)-IFERROR(VLOOKUP(LEFT(Dulieu!$C$44,10)&amp;"9926_PRE_M",Dulieu!$C$88:$N$400,10,FALSE),0)</f>
        <v>200</v>
      </c>
      <c r="M163" s="64">
        <f>+IFERROR(VLOOKUP(LEFT(Dulieu!$C$44,10)&amp;"9926",Dulieu!$C$88:$N$400,11,FALSE),0)-IFERROR(VLOOKUP(LEFT(Dulieu!$C$44,10)&amp;"9926_PRE_M",Dulieu!$C$88:$N$400,11,FALSE),0)</f>
        <v>160</v>
      </c>
      <c r="N163" s="64">
        <f>+IFERROR(VLOOKUP(LEFT(Dulieu!$C$44,10)&amp;"9926",Dulieu!$C$88:$N$400,12,FALSE),0)-IFERROR(VLOOKUP(LEFT(Dulieu!$C$44,10)&amp;"9926_PRE_M",Dulieu!$C$88:$N$400,12,FALSE),0)</f>
        <v>0</v>
      </c>
      <c r="O163" s="64">
        <f>+IFERROR(VLOOKUP(LEFT(Dulieu!$C$44,10)&amp;"9926",Dulieu!$C$88:$Y$400,13,FALSE),0)-IFERROR(VLOOKUP(LEFT(Dulieu!$C$44,10)&amp;"9926_PRE_M",Dulieu!$C$88:$Y$400,13,FALSE),0)</f>
        <v>0</v>
      </c>
      <c r="P163" s="64">
        <f>+IFERROR(VLOOKUP(LEFT(Dulieu!$C$44,10)&amp;"9926",Dulieu!$C$88:$Y$400,14,FALSE),0)-IFERROR(VLOOKUP(LEFT(Dulieu!$C$44,10)&amp;"9926_PRE_M",Dulieu!$C$88:$Y$400,14,FALSE),0)</f>
        <v>0</v>
      </c>
      <c r="Q163" s="64">
        <f>+IFERROR(VLOOKUP(LEFT(Dulieu!$C$44,10)&amp;"9926",Dulieu!$C$88:$Y$400,15,FALSE),0)-IFERROR(VLOOKUP(LEFT(Dulieu!$C$44,10)&amp;"9926_PRE_M",Dulieu!$C$88:$Y$400,15,FALSE),0)</f>
        <v>0</v>
      </c>
      <c r="R163" s="64">
        <f>+IFERROR(VLOOKUP(LEFT(Dulieu!$C$44,10)&amp;"9926",Dulieu!$C$88:$Y$400,16,FALSE),0)-IFERROR(VLOOKUP(LEFT(Dulieu!$C$44,10)&amp;"9926_PRE_M",Dulieu!$C$88:$Y$400,16,FALSE),0)</f>
        <v>0</v>
      </c>
      <c r="S163" s="64">
        <f>+IFERROR(VLOOKUP(LEFT(Dulieu!$C$44,10)&amp;"9926",Dulieu!$C$88:$Y$400,17,FALSE),0)-IFERROR(VLOOKUP(LEFT(Dulieu!$C$44,10)&amp;"9926_PRE_M",Dulieu!$C$88:$Y$400,17,FALSE),0)</f>
        <v>0</v>
      </c>
      <c r="T163" s="64">
        <f>+IFERROR(VLOOKUP(LEFT(Dulieu!$C$44,10)&amp;"9926",Dulieu!$C$88:$Y$400,18,FALSE),0)-IFERROR(VLOOKUP(LEFT(Dulieu!$C$44,10)&amp;"9926_PRE_M",Dulieu!$C$88:$Y$400,18,FALSE),0)</f>
        <v>1000</v>
      </c>
      <c r="U163" s="64">
        <f>+IFERROR(VLOOKUP(LEFT(Dulieu!$C$44,10)&amp;"9926",Dulieu!$C$88:$Y$400,19,FALSE),0)-IFERROR(VLOOKUP(LEFT(Dulieu!$C$44,10)&amp;"9926_PRE_M",Dulieu!$C$88:$Y$400,19,FALSE),0)</f>
        <v>0</v>
      </c>
      <c r="V163" s="64">
        <f>+IFERROR(VLOOKUP(LEFT(Dulieu!$C$44,10)&amp;"9926",Dulieu!$C$88:$Y$400,20,FALSE),0)-IFERROR(VLOOKUP(LEFT(Dulieu!$C$44,10)&amp;"9926_PRE_M",Dulieu!$C$88:$Y$400,20,FALSE),0)</f>
        <v>0</v>
      </c>
      <c r="W163" s="64">
        <f>+IFERROR(VLOOKUP(LEFT(Dulieu!$C$44,10)&amp;"9926",Dulieu!$C$88:$Y$400,21,FALSE),0)-IFERROR(VLOOKUP(LEFT(Dulieu!$C$44,10)&amp;"9926_PRE_M",Dulieu!$C$88:$Y$400,21,FALSE),0)</f>
        <v>800</v>
      </c>
      <c r="X163" s="64">
        <f>+IFERROR(VLOOKUP(LEFT(Dulieu!$C$44,10)&amp;"9926",Dulieu!$C$88:$Y$400,22,FALSE),0)-IFERROR(VLOOKUP(LEFT(Dulieu!$C$44,10)&amp;"9926_PRE_M",Dulieu!$C$88:$Y$400,22,FALSE),0)</f>
        <v>100</v>
      </c>
      <c r="Y163" s="64">
        <f>+IFERROR(VLOOKUP(LEFT(Dulieu!$C$44,10)&amp;"9926",Dulieu!$C$88:$Y$400,23,FALSE),0)-IFERROR(VLOOKUP(LEFT(Dulieu!$C$44,10)&amp;"9926_PRE_M",Dulieu!$C$88:$Y$400,23,FALSE),0)</f>
        <v>0</v>
      </c>
    </row>
    <row r="164" spans="1:25" s="68" customFormat="1" ht="12" x14ac:dyDescent="0.25">
      <c r="A164" s="66"/>
      <c r="B164" s="67" t="s">
        <v>92</v>
      </c>
      <c r="C164" s="64">
        <f t="shared" si="35"/>
        <v>68085</v>
      </c>
      <c r="D164" s="64">
        <f>+IFERROR(VLOOKUP(LEFT(Dulieu!$C$44,10)&amp;"9926",Dulieu!$C$88:$N$400,2,FALSE),0)-IFERROR(VLOOKUP(LEFT(Dulieu!$C$44,10)&amp;"9926_PRE_Y",Dulieu!$C$88:$N$400,2,FALSE),0)</f>
        <v>0</v>
      </c>
      <c r="E164" s="64">
        <f>+IFERROR(VLOOKUP(LEFT(Dulieu!$C$44,10)&amp;"9926",Dulieu!$C$88:$N$400,3,FALSE),0)-IFERROR(VLOOKUP(LEFT(Dulieu!$C$44,10)&amp;"9926_PRE_Y",Dulieu!$C$88:$N$400,3,FALSE),0)</f>
        <v>0</v>
      </c>
      <c r="F164" s="64">
        <f>+IFERROR(VLOOKUP(LEFT(Dulieu!$C$44,10)&amp;"9926",Dulieu!$C$88:$N$400,4,FALSE),0)-IFERROR(VLOOKUP(LEFT(Dulieu!$C$44,10)&amp;"9926_PRE_Y",Dulieu!$C$88:$N$400,4,FALSE),0)</f>
        <v>0</v>
      </c>
      <c r="G164" s="64">
        <f>+IFERROR(VLOOKUP(LEFT(Dulieu!$C$44,10)&amp;"9926",Dulieu!$C$88:$N$400,5,FALSE),0)-IFERROR(VLOOKUP(LEFT(Dulieu!$C$44,10)&amp;"9926_PRE_Y",Dulieu!$C$88:$N$400,5,FALSE),0)</f>
        <v>200</v>
      </c>
      <c r="H164" s="64">
        <f>+IFERROR(VLOOKUP(LEFT(Dulieu!$C$44,10)&amp;"9926",Dulieu!$C$88:$N$400,6,FALSE),0)-IFERROR(VLOOKUP(LEFT(Dulieu!$C$44,10)&amp;"9926_PRE_Y",Dulieu!$C$88:$N$400,6,FALSE),0)</f>
        <v>0</v>
      </c>
      <c r="I164" s="64">
        <f>+IFERROR(VLOOKUP(LEFT(Dulieu!$C$44,10)&amp;"9926",Dulieu!$C$88:$N$400,7,FALSE),0)-IFERROR(VLOOKUP(LEFT(Dulieu!$C$44,10)&amp;"9926_PRE_Y",Dulieu!$C$88:$N$400,7,FALSE),0)</f>
        <v>8000</v>
      </c>
      <c r="J164" s="64">
        <f>+IFERROR(VLOOKUP(LEFT(Dulieu!$C$44,10)&amp;"9926",Dulieu!$C$88:$N$400,8,FALSE),0)-IFERROR(VLOOKUP(LEFT(Dulieu!$C$44,10)&amp;"9926_PRE_Y",Dulieu!$C$88:$N$400,8,FALSE),0)</f>
        <v>-120</v>
      </c>
      <c r="K164" s="64">
        <f>+IFERROR(VLOOKUP(LEFT(Dulieu!$C$44,10)&amp;"9926",Dulieu!$C$88:$N$400,9,FALSE),0)-IFERROR(VLOOKUP(LEFT(Dulieu!$C$44,10)&amp;"9926_PRE_Y",Dulieu!$C$88:$N$400,9,FALSE),0)</f>
        <v>3335</v>
      </c>
      <c r="L164" s="64">
        <f>+IFERROR(VLOOKUP(LEFT(Dulieu!$C$44,10)&amp;"9926",Dulieu!$C$88:$N$400,10,FALSE),0)-IFERROR(VLOOKUP(LEFT(Dulieu!$C$44,10)&amp;"9926_PRE_Y",Dulieu!$C$88:$N$400,10,FALSE),0)</f>
        <v>2600</v>
      </c>
      <c r="M164" s="64">
        <f>+IFERROR(VLOOKUP(LEFT(Dulieu!$C$44,10)&amp;"9926",Dulieu!$C$88:$N$400,11,FALSE),0)-IFERROR(VLOOKUP(LEFT(Dulieu!$C$44,10)&amp;"9926_PRE_Y",Dulieu!$C$88:$N$400,11,FALSE),0)</f>
        <v>3910</v>
      </c>
      <c r="N164" s="64">
        <f>+IFERROR(VLOOKUP(LEFT(Dulieu!$C$44,10)&amp;"9926",Dulieu!$C$88:$N$400,12,FALSE),0)-IFERROR(VLOOKUP(LEFT(Dulieu!$C$44,10)&amp;"9926_PRE_Y",Dulieu!$C$88:$N$400,12,FALSE),0)</f>
        <v>0</v>
      </c>
      <c r="O164" s="64">
        <f>+IFERROR(VLOOKUP(LEFT(Dulieu!$C$44,10)&amp;"9926",Dulieu!$C$88:$Y$400,13,FALSE),0)-IFERROR(VLOOKUP(LEFT(Dulieu!$C$44,10)&amp;"9926_PRE_Y",Dulieu!$C$88:$Y$400,13,FALSE),0)</f>
        <v>8510</v>
      </c>
      <c r="P164" s="64">
        <f>+IFERROR(VLOOKUP(LEFT(Dulieu!$C$44,10)&amp;"9926",Dulieu!$C$88:$Y$400,14,FALSE),0)-IFERROR(VLOOKUP(LEFT(Dulieu!$C$44,10)&amp;"9926_PRE_Y",Dulieu!$C$88:$Y$400,14,FALSE),0)</f>
        <v>4100</v>
      </c>
      <c r="Q164" s="64">
        <f>+IFERROR(VLOOKUP(LEFT(Dulieu!$C$44,10)&amp;"9926",Dulieu!$C$88:$Y$400,15,FALSE),0)-IFERROR(VLOOKUP(LEFT(Dulieu!$C$44,10)&amp;"9926_PRE_Y",Dulieu!$C$88:$Y$400,15,FALSE),0)</f>
        <v>0</v>
      </c>
      <c r="R164" s="64">
        <f>+IFERROR(VLOOKUP(LEFT(Dulieu!$C$44,10)&amp;"9926",Dulieu!$C$88:$Y$400,16,FALSE),0)-IFERROR(VLOOKUP(LEFT(Dulieu!$C$44,10)&amp;"9926_PRE_Y",Dulieu!$C$88:$Y$400,16,FALSE),0)</f>
        <v>2000</v>
      </c>
      <c r="S164" s="64">
        <f>+IFERROR(VLOOKUP(LEFT(Dulieu!$C$44,10)&amp;"9926",Dulieu!$C$88:$Y$400,17,FALSE),0)-IFERROR(VLOOKUP(LEFT(Dulieu!$C$44,10)&amp;"9926_PRE_Y",Dulieu!$C$88:$Y$400,17,FALSE),0)</f>
        <v>10000</v>
      </c>
      <c r="T164" s="64">
        <f>+IFERROR(VLOOKUP(LEFT(Dulieu!$C$44,10)&amp;"9926",Dulieu!$C$88:$Y$400,18,FALSE),0)-IFERROR(VLOOKUP(LEFT(Dulieu!$C$44,10)&amp;"9926_PRE_Y",Dulieu!$C$88:$Y$400,18,FALSE),0)</f>
        <v>5350</v>
      </c>
      <c r="U164" s="64">
        <f>+IFERROR(VLOOKUP(LEFT(Dulieu!$C$44,10)&amp;"9926",Dulieu!$C$88:$Y$400,19,FALSE),0)-IFERROR(VLOOKUP(LEFT(Dulieu!$C$44,10)&amp;"9926_PRE_Y",Dulieu!$C$88:$Y$400,19,FALSE),0)</f>
        <v>0</v>
      </c>
      <c r="V164" s="64">
        <f>+IFERROR(VLOOKUP(LEFT(Dulieu!$C$44,10)&amp;"9926",Dulieu!$C$88:$Y$400,20,FALSE),0)-IFERROR(VLOOKUP(LEFT(Dulieu!$C$44,10)&amp;"9926_PRE_Y",Dulieu!$C$88:$Y$400,20,FALSE),0)</f>
        <v>950</v>
      </c>
      <c r="W164" s="64">
        <f>+IFERROR(VLOOKUP(LEFT(Dulieu!$C$44,10)&amp;"9926",Dulieu!$C$88:$Y$400,21,FALSE),0)-IFERROR(VLOOKUP(LEFT(Dulieu!$C$44,10)&amp;"9926_PRE_Y",Dulieu!$C$88:$Y$400,21,FALSE),0)</f>
        <v>3850</v>
      </c>
      <c r="X164" s="64">
        <f>+IFERROR(VLOOKUP(LEFT(Dulieu!$C$44,10)&amp;"9926",Dulieu!$C$88:$Y$400,22,FALSE),0)-IFERROR(VLOOKUP(LEFT(Dulieu!$C$44,10)&amp;"9926_PRE_Y",Dulieu!$C$88:$Y$400,22,FALSE),0)</f>
        <v>9400</v>
      </c>
      <c r="Y164" s="64">
        <f>+IFERROR(VLOOKUP(LEFT(Dulieu!$C$44,10)&amp;"9926",Dulieu!$C$88:$Y$400,23,FALSE),0)-IFERROR(VLOOKUP(LEFT(Dulieu!$C$44,10)&amp;"9926_PRE_Y",Dulieu!$C$88:$Y$400,23,FALSE),0)</f>
        <v>6000</v>
      </c>
    </row>
    <row r="165" spans="1:25" s="63" customFormat="1" ht="12" x14ac:dyDescent="0.25">
      <c r="A165" s="60"/>
      <c r="B165" s="65" t="s">
        <v>113</v>
      </c>
      <c r="C165" s="62">
        <f t="shared" si="35"/>
        <v>1200</v>
      </c>
      <c r="D165" s="64">
        <f>+IFERROR(VLOOKUP(LEFT(Dulieu!$C$44,10)&amp;"NV_9926DL",Dulieu!$C$88:$Y$400,2,FALSE),0)</f>
        <v>0</v>
      </c>
      <c r="E165" s="64">
        <f>+IFERROR(VLOOKUP(LEFT(Dulieu!$C$44,10)&amp;"NV_9926DL",Dulieu!$C$88:$Y$400,3,FALSE),0)</f>
        <v>0</v>
      </c>
      <c r="F165" s="64">
        <f>+IFERROR(VLOOKUP(LEFT(Dulieu!$C$44,10)&amp;"NV_9926DL",Dulieu!$C$88:$Y$400,4,FALSE),0)</f>
        <v>0</v>
      </c>
      <c r="G165" s="64">
        <f>+IFERROR(VLOOKUP(LEFT(Dulieu!$C$44,10)&amp;"NV_9926DL",Dulieu!$C$88:$Y$400,5,FALSE),0)</f>
        <v>1200</v>
      </c>
      <c r="H165" s="64">
        <f>+IFERROR(VLOOKUP(LEFT(Dulieu!$C$44,10)&amp;"NV_9926DL",Dulieu!$C$88:$Y$400,6,FALSE),0)</f>
        <v>0</v>
      </c>
      <c r="I165" s="64">
        <f>+IFERROR(VLOOKUP(LEFT(Dulieu!$C$44,10)&amp;"NV_9926DL",Dulieu!$C$88:$Y$400,7,FALSE),0)</f>
        <v>0</v>
      </c>
      <c r="J165" s="64">
        <f>+IFERROR(VLOOKUP(LEFT(Dulieu!$C$44,10)&amp;"NV_9926DL",Dulieu!$C$88:$Y$400,8,FALSE),0)</f>
        <v>0</v>
      </c>
      <c r="K165" s="64">
        <f>+IFERROR(VLOOKUP(LEFT(Dulieu!$C$44,10)&amp;"NV_9926DL",Dulieu!$C$88:$Y$400,9,FALSE),0)</f>
        <v>0</v>
      </c>
      <c r="L165" s="64">
        <f>+IFERROR(VLOOKUP(LEFT(Dulieu!$C$44,10)&amp;"NV_9926DL",Dulieu!$C$88:$Y$400,10,FALSE),0)</f>
        <v>0</v>
      </c>
      <c r="M165" s="64">
        <f>+IFERROR(VLOOKUP(LEFT(Dulieu!$C$44,10)&amp;"NV_9926DL",Dulieu!$C$88:$Y$400,11,FALSE),0)</f>
        <v>0</v>
      </c>
      <c r="N165" s="64">
        <f>+IFERROR(VLOOKUP(LEFT(Dulieu!$C$44,10)&amp;"NV_9926DL",Dulieu!$C$88:$Y$400,12,FALSE),0)</f>
        <v>0</v>
      </c>
      <c r="O165" s="64">
        <f>+IFERROR(VLOOKUP(LEFT(Dulieu!$C$44,10)&amp;"NV_9926DL",Dulieu!$C$88:$Y$400,13,FALSE),0)</f>
        <v>0</v>
      </c>
      <c r="P165" s="64">
        <f>+IFERROR(VLOOKUP(LEFT(Dulieu!$C$44,10)&amp;"NV_9926DL",Dulieu!$C$88:$Y$400,14,FALSE),0)</f>
        <v>0</v>
      </c>
      <c r="Q165" s="64">
        <f>+IFERROR(VLOOKUP(LEFT(Dulieu!$C$44,10)&amp;"NV_9926DL",Dulieu!$C$88:$Y$400,15,FALSE),0)</f>
        <v>0</v>
      </c>
      <c r="R165" s="64">
        <f>+IFERROR(VLOOKUP(LEFT(Dulieu!$C$44,10)&amp;"NV_9926DL",Dulieu!$C$88:$Y$400,16,FALSE),0)</f>
        <v>0</v>
      </c>
      <c r="S165" s="64">
        <f>+IFERROR(VLOOKUP(LEFT(Dulieu!$C$44,10)&amp;"NV_9926DL",Dulieu!$C$88:$Y$400,17,FALSE),0)</f>
        <v>0</v>
      </c>
      <c r="T165" s="64">
        <f>+IFERROR(VLOOKUP(LEFT(Dulieu!$C$44,10)&amp;"NV_9926DL",Dulieu!$C$88:$Y$400,18,FALSE),0)</f>
        <v>0</v>
      </c>
      <c r="U165" s="64">
        <f>+IFERROR(VLOOKUP(LEFT(Dulieu!$C$44,10)&amp;"NV_9926DL",Dulieu!$C$88:$Y$400,19,FALSE),0)</f>
        <v>0</v>
      </c>
      <c r="V165" s="64">
        <f>+IFERROR(VLOOKUP(LEFT(Dulieu!$C$44,10)&amp;"NV_9926DL",Dulieu!$C$88:$Y$400,20,FALSE),0)</f>
        <v>0</v>
      </c>
      <c r="W165" s="64">
        <f>+IFERROR(VLOOKUP(LEFT(Dulieu!$C$44,10)&amp;"NV_9926DL",Dulieu!$C$88:$Y$400,21,FALSE),0)</f>
        <v>0</v>
      </c>
      <c r="X165" s="64">
        <f>+IFERROR(VLOOKUP(LEFT(Dulieu!$C$44,10)&amp;"NV_9926DL",Dulieu!$C$88:$Y$400,22,FALSE),0)</f>
        <v>0</v>
      </c>
      <c r="Y165" s="64">
        <f>+IFERROR(VLOOKUP(LEFT(Dulieu!$C$44,10)&amp;"NV_9926DL",Dulieu!$C$88:$Y$400,23,FALSE),0)</f>
        <v>0</v>
      </c>
    </row>
    <row r="166" spans="1:25" s="63" customFormat="1" ht="12" x14ac:dyDescent="0.25">
      <c r="A166" s="60"/>
      <c r="B166" s="65" t="s">
        <v>111</v>
      </c>
      <c r="C166" s="62">
        <f t="shared" si="35"/>
        <v>3200</v>
      </c>
      <c r="D166" s="64">
        <f>+IFERROR(VLOOKUP(LEFT(Dulieu!$C$44,10)&amp;"NV_9926NN",Dulieu!$C$88:$Y$400,2,FALSE),0)</f>
        <v>0</v>
      </c>
      <c r="E166" s="64">
        <f>+IFERROR(VLOOKUP(LEFT(Dulieu!$C$44,10)&amp;"NV_9926NN",Dulieu!$C$88:$Y$400,3,FALSE),0)</f>
        <v>0</v>
      </c>
      <c r="F166" s="64">
        <f>+IFERROR(VLOOKUP(LEFT(Dulieu!$C$44,10)&amp;"NV_9926NN",Dulieu!$C$88:$Y$400,4,FALSE),0)</f>
        <v>200</v>
      </c>
      <c r="G166" s="64">
        <f>+IFERROR(VLOOKUP(LEFT(Dulieu!$C$44,10)&amp;"NV_9926NN",Dulieu!$C$88:$Y$400,5,FALSE),0)</f>
        <v>0</v>
      </c>
      <c r="H166" s="64">
        <f>+IFERROR(VLOOKUP(LEFT(Dulieu!$C$44,10)&amp;"NV_9926NN",Dulieu!$C$88:$Y$400,6,FALSE),0)</f>
        <v>0</v>
      </c>
      <c r="I166" s="64">
        <f>+IFERROR(VLOOKUP(LEFT(Dulieu!$C$44,10)&amp;"NV_9926NN",Dulieu!$C$88:$Y$400,7,FALSE),0)</f>
        <v>0</v>
      </c>
      <c r="J166" s="64">
        <f>+IFERROR(VLOOKUP(LEFT(Dulieu!$C$44,10)&amp;"NV_9926NN",Dulieu!$C$88:$Y$400,8,FALSE),0)</f>
        <v>0</v>
      </c>
      <c r="K166" s="64">
        <f>+IFERROR(VLOOKUP(LEFT(Dulieu!$C$44,10)&amp;"NV_9926NN",Dulieu!$C$88:$Y$400,9,FALSE),0)</f>
        <v>0</v>
      </c>
      <c r="L166" s="64">
        <f>+IFERROR(VLOOKUP(LEFT(Dulieu!$C$44,10)&amp;"NV_9926NN",Dulieu!$C$88:$Y$400,10,FALSE),0)</f>
        <v>1800</v>
      </c>
      <c r="M166" s="64">
        <f>+IFERROR(VLOOKUP(LEFT(Dulieu!$C$44,10)&amp;"NV_9926NN",Dulieu!$C$88:$Y$400,11,FALSE),0)</f>
        <v>1000</v>
      </c>
      <c r="N166" s="64">
        <f>+IFERROR(VLOOKUP(LEFT(Dulieu!$C$44,10)&amp;"NV_9926NN",Dulieu!$C$88:$Y$400,12,FALSE),0)</f>
        <v>200</v>
      </c>
      <c r="O166" s="64">
        <f>+IFERROR(VLOOKUP(LEFT(Dulieu!$C$44,10)&amp;"NV_9926NN",Dulieu!$C$88:$Y$400,13,FALSE),0)</f>
        <v>0</v>
      </c>
      <c r="P166" s="64">
        <f>+IFERROR(VLOOKUP(LEFT(Dulieu!$C$44,10)&amp;"NV_9926NN",Dulieu!$C$88:$Y$400,14,FALSE),0)</f>
        <v>0</v>
      </c>
      <c r="Q166" s="64">
        <f>+IFERROR(VLOOKUP(LEFT(Dulieu!$C$44,10)&amp;"NV_9926NN",Dulieu!$C$88:$Y$400,15,FALSE),0)</f>
        <v>0</v>
      </c>
      <c r="R166" s="64">
        <f>+IFERROR(VLOOKUP(LEFT(Dulieu!$C$44,10)&amp;"NV_9926NN",Dulieu!$C$88:$Y$400,16,FALSE),0)</f>
        <v>0</v>
      </c>
      <c r="S166" s="64">
        <f>+IFERROR(VLOOKUP(LEFT(Dulieu!$C$44,10)&amp;"NV_9926NN",Dulieu!$C$88:$Y$400,17,FALSE),0)</f>
        <v>0</v>
      </c>
      <c r="T166" s="64">
        <f>+IFERROR(VLOOKUP(LEFT(Dulieu!$C$44,10)&amp;"NV_9926NN",Dulieu!$C$88:$Y$400,18,FALSE),0)</f>
        <v>0</v>
      </c>
      <c r="U166" s="64">
        <f>+IFERROR(VLOOKUP(LEFT(Dulieu!$C$44,10)&amp;"NV_9926NN",Dulieu!$C$88:$Y$400,19,FALSE),0)</f>
        <v>0</v>
      </c>
      <c r="V166" s="64">
        <f>+IFERROR(VLOOKUP(LEFT(Dulieu!$C$44,10)&amp;"NV_9926NN",Dulieu!$C$88:$Y$400,20,FALSE),0)</f>
        <v>0</v>
      </c>
      <c r="W166" s="64">
        <f>+IFERROR(VLOOKUP(LEFT(Dulieu!$C$44,10)&amp;"NV_9926NN",Dulieu!$C$88:$Y$400,21,FALSE),0)</f>
        <v>0</v>
      </c>
      <c r="X166" s="64">
        <f>+IFERROR(VLOOKUP(LEFT(Dulieu!$C$44,10)&amp;"NV_9926NN",Dulieu!$C$88:$Y$400,22,FALSE),0)</f>
        <v>0</v>
      </c>
      <c r="Y166" s="64">
        <f>+IFERROR(VLOOKUP(LEFT(Dulieu!$C$44,10)&amp;"NV_9926NN",Dulieu!$C$88:$Y$400,23,FALSE),0)</f>
        <v>0</v>
      </c>
    </row>
    <row r="167" spans="1:25" s="63" customFormat="1" ht="12" x14ac:dyDescent="0.25">
      <c r="A167" s="60"/>
      <c r="B167" s="65" t="s">
        <v>112</v>
      </c>
      <c r="C167" s="62">
        <f t="shared" si="35"/>
        <v>68885</v>
      </c>
      <c r="D167" s="64">
        <f>+IFERROR(VLOOKUP(LEFT(Dulieu!$C$44,10)&amp;"NV_9926TB",Dulieu!$C$88:$Y$400,2,FALSE),0)</f>
        <v>0</v>
      </c>
      <c r="E167" s="64">
        <f>+IFERROR(VLOOKUP(LEFT(Dulieu!$C$44,10)&amp;"NV_9926TB",Dulieu!$C$88:$Y$400,3,FALSE),0)</f>
        <v>0</v>
      </c>
      <c r="F167" s="64">
        <f>+IFERROR(VLOOKUP(LEFT(Dulieu!$C$44,10)&amp;"NV_9926TB",Dulieu!$C$88:$Y$400,4,FALSE),0)</f>
        <v>0</v>
      </c>
      <c r="G167" s="64">
        <f>+IFERROR(VLOOKUP(LEFT(Dulieu!$C$44,10)&amp;"NV_9926TB",Dulieu!$C$88:$Y$400,5,FALSE),0)</f>
        <v>0</v>
      </c>
      <c r="H167" s="64">
        <f>+IFERROR(VLOOKUP(LEFT(Dulieu!$C$44,10)&amp;"NV_9926TB",Dulieu!$C$88:$Y$400,6,FALSE),0)</f>
        <v>0</v>
      </c>
      <c r="I167" s="64">
        <f>+IFERROR(VLOOKUP(LEFT(Dulieu!$C$44,10)&amp;"NV_9926TB",Dulieu!$C$88:$Y$400,7,FALSE),0)</f>
        <v>9000</v>
      </c>
      <c r="J167" s="64">
        <f>+IFERROR(VLOOKUP(LEFT(Dulieu!$C$44,10)&amp;"NV_9926TB",Dulieu!$C$88:$Y$400,8,FALSE),0)</f>
        <v>1680</v>
      </c>
      <c r="K167" s="64">
        <f>+IFERROR(VLOOKUP(LEFT(Dulieu!$C$44,10)&amp;"NV_9926TB",Dulieu!$C$88:$Y$400,9,FALSE),0)</f>
        <v>3335</v>
      </c>
      <c r="L167" s="64">
        <f>+IFERROR(VLOOKUP(LEFT(Dulieu!$C$44,10)&amp;"NV_9926TB",Dulieu!$C$88:$Y$400,10,FALSE),0)</f>
        <v>800</v>
      </c>
      <c r="M167" s="64">
        <f>+IFERROR(VLOOKUP(LEFT(Dulieu!$C$44,10)&amp;"NV_9926TB",Dulieu!$C$88:$Y$400,11,FALSE),0)</f>
        <v>3910</v>
      </c>
      <c r="N167" s="64">
        <f>+IFERROR(VLOOKUP(LEFT(Dulieu!$C$44,10)&amp;"NV_9926TB",Dulieu!$C$88:$Y$400,12,FALSE),0)</f>
        <v>0</v>
      </c>
      <c r="O167" s="64">
        <f>+IFERROR(VLOOKUP(LEFT(Dulieu!$C$44,10)&amp;"NV_9926TB",Dulieu!$C$88:$Y$400,13,FALSE),0)</f>
        <v>8510</v>
      </c>
      <c r="P167" s="64">
        <f>+IFERROR(VLOOKUP(LEFT(Dulieu!$C$44,10)&amp;"NV_9926TB",Dulieu!$C$88:$Y$400,14,FALSE),0)</f>
        <v>4100</v>
      </c>
      <c r="Q167" s="64">
        <f>+IFERROR(VLOOKUP(LEFT(Dulieu!$C$44,10)&amp;"NV_9926TB",Dulieu!$C$88:$Y$400,15,FALSE),0)</f>
        <v>0</v>
      </c>
      <c r="R167" s="64">
        <f>+IFERROR(VLOOKUP(LEFT(Dulieu!$C$44,10)&amp;"NV_9926TB",Dulieu!$C$88:$Y$400,16,FALSE),0)</f>
        <v>2000</v>
      </c>
      <c r="S167" s="64">
        <f>+IFERROR(VLOOKUP(LEFT(Dulieu!$C$44,10)&amp;"NV_9926TB",Dulieu!$C$88:$Y$400,17,FALSE),0)</f>
        <v>10000</v>
      </c>
      <c r="T167" s="64">
        <f>+IFERROR(VLOOKUP(LEFT(Dulieu!$C$44,10)&amp;"NV_9926TB",Dulieu!$C$88:$Y$400,18,FALSE),0)</f>
        <v>5350</v>
      </c>
      <c r="U167" s="64">
        <f>+IFERROR(VLOOKUP(LEFT(Dulieu!$C$44,10)&amp;"NV_9926TB",Dulieu!$C$88:$Y$400,19,FALSE),0)</f>
        <v>0</v>
      </c>
      <c r="V167" s="64">
        <f>+IFERROR(VLOOKUP(LEFT(Dulieu!$C$44,10)&amp;"NV_9926TB",Dulieu!$C$88:$Y$400,20,FALSE),0)</f>
        <v>950</v>
      </c>
      <c r="W167" s="64">
        <f>+IFERROR(VLOOKUP(LEFT(Dulieu!$C$44,10)&amp;"NV_9926TB",Dulieu!$C$88:$Y$400,21,FALSE),0)</f>
        <v>3850</v>
      </c>
      <c r="X167" s="64">
        <f>+IFERROR(VLOOKUP(LEFT(Dulieu!$C$44,10)&amp;"NV_9926TB",Dulieu!$C$88:$Y$400,22,FALSE),0)</f>
        <v>9400</v>
      </c>
      <c r="Y167" s="64">
        <f>+IFERROR(VLOOKUP(LEFT(Dulieu!$C$44,10)&amp;"NV_9926TB",Dulieu!$C$88:$Y$400,23,FALSE),0)</f>
        <v>6000</v>
      </c>
    </row>
    <row r="168" spans="1:25" s="37" customFormat="1" ht="12" x14ac:dyDescent="0.25">
      <c r="A168" s="34">
        <v>22</v>
      </c>
      <c r="B168" s="35" t="s">
        <v>117</v>
      </c>
      <c r="C168" s="36">
        <f t="shared" ref="C168:C170" si="36">SUM(D168:Y168)</f>
        <v>12630.95</v>
      </c>
      <c r="D168" s="36">
        <f>+IFERROR(VLOOKUP(LEFT(Dulieu!$C$44,10)&amp;"0243",Dulieu!$C$88:$N$400,2,FALSE),0)</f>
        <v>1853.5</v>
      </c>
      <c r="E168" s="36">
        <f>+IFERROR(VLOOKUP(LEFT(Dulieu!$C$44,10)&amp;"0243",Dulieu!$C$88:$N$400,3,FALSE),0)</f>
        <v>886.55</v>
      </c>
      <c r="F168" s="36">
        <f>+IFERROR(VLOOKUP(LEFT(Dulieu!$C$44,10)&amp;"0243",Dulieu!$C$88:$N$400,4,FALSE),0)</f>
        <v>853.84</v>
      </c>
      <c r="G168" s="36">
        <f>+IFERROR(VLOOKUP(LEFT(Dulieu!$C$44,10)&amp;"0243",Dulieu!$C$88:$N$400,5,FALSE),0)</f>
        <v>119</v>
      </c>
      <c r="H168" s="36">
        <f>+IFERROR(VLOOKUP(LEFT(Dulieu!$C$44,10)&amp;"0243",Dulieu!$C$88:$N$400,6,FALSE),0)</f>
        <v>928.5</v>
      </c>
      <c r="I168" s="36">
        <f>+IFERROR(VLOOKUP(LEFT(Dulieu!$C$44,10)&amp;"0243",Dulieu!$C$88:$N$400,7,FALSE),0)</f>
        <v>1260.83</v>
      </c>
      <c r="J168" s="36">
        <f>+IFERROR(VLOOKUP(LEFT(Dulieu!$C$44,10)&amp;"0243",Dulieu!$C$88:$N$400,8,FALSE),0)</f>
        <v>1722.5</v>
      </c>
      <c r="K168" s="36">
        <f>+IFERROR(VLOOKUP(LEFT(Dulieu!$C$44,10)&amp;"0243",Dulieu!$C$88:$N$400,9,FALSE),0)</f>
        <v>857</v>
      </c>
      <c r="L168" s="36">
        <f>+IFERROR(VLOOKUP(LEFT(Dulieu!$C$44,10)&amp;"0243",Dulieu!$C$88:$N$400,10,FALSE),0)</f>
        <v>407</v>
      </c>
      <c r="M168" s="36">
        <f>+IFERROR(VLOOKUP(LEFT(Dulieu!$C$44,10)&amp;"0243",Dulieu!$C$88:$N$400,11,FALSE),0)</f>
        <v>370</v>
      </c>
      <c r="N168" s="36">
        <f>+IFERROR(VLOOKUP(LEFT(Dulieu!$C$44,10)&amp;"0243",Dulieu!$C$88:$N$400,12,FALSE),0)</f>
        <v>114</v>
      </c>
      <c r="O168" s="36">
        <f>+IFERROR(VLOOKUP(LEFT(Dulieu!$C$44,10)&amp;"0243",Dulieu!$C$88:$Y$400,13,FALSE),0)</f>
        <v>567.36</v>
      </c>
      <c r="P168" s="36">
        <f>+IFERROR(VLOOKUP(LEFT(Dulieu!$C$44,10)&amp;"0243",Dulieu!$C$88:$Y$400,14,FALSE),0)</f>
        <v>258</v>
      </c>
      <c r="Q168" s="36">
        <f>+IFERROR(VLOOKUP(LEFT(Dulieu!$C$44,10)&amp;"0243",Dulieu!$C$88:$Y$400,15,FALSE),0)</f>
        <v>168</v>
      </c>
      <c r="R168" s="36">
        <f>+IFERROR(VLOOKUP(LEFT(Dulieu!$C$44,10)&amp;"0243",Dulieu!$C$88:$Y$400,16,FALSE),0)</f>
        <v>680.19</v>
      </c>
      <c r="S168" s="36">
        <f>+IFERROR(VLOOKUP(LEFT(Dulieu!$C$44,10)&amp;"0243",Dulieu!$C$88:$Y$400,17,FALSE),0)</f>
        <v>159.05000000000001</v>
      </c>
      <c r="T168" s="36">
        <f>+IFERROR(VLOOKUP(LEFT(Dulieu!$C$44,10)&amp;"0243",Dulieu!$C$88:$Y$400,18,FALSE),0)</f>
        <v>0</v>
      </c>
      <c r="U168" s="36">
        <f>+IFERROR(VLOOKUP(LEFT(Dulieu!$C$44,10)&amp;"0243",Dulieu!$C$88:$Y$400,19,FALSE),0)</f>
        <v>371.1</v>
      </c>
      <c r="V168" s="36">
        <f>+IFERROR(VLOOKUP(LEFT(Dulieu!$C$44,10)&amp;"0243",Dulieu!$C$88:$Y$400,20,FALSE),0)</f>
        <v>87.4</v>
      </c>
      <c r="W168" s="36">
        <f>+IFERROR(VLOOKUP(LEFT(Dulieu!$C$44,10)&amp;"0243",Dulieu!$C$88:$Y$400,21,FALSE),0)</f>
        <v>295.63</v>
      </c>
      <c r="X168" s="36">
        <f>+IFERROR(VLOOKUP(LEFT(Dulieu!$C$44,10)&amp;"0243",Dulieu!$C$88:$Y$400,22,FALSE),0)</f>
        <v>347.5</v>
      </c>
      <c r="Y168" s="36">
        <f>+IFERROR(VLOOKUP(LEFT(Dulieu!$C$44,10)&amp;"0243",Dulieu!$C$88:$Y$400,23,FALSE),0)</f>
        <v>324</v>
      </c>
    </row>
    <row r="169" spans="1:25" s="41" customFormat="1" ht="12" x14ac:dyDescent="0.25">
      <c r="A169" s="38"/>
      <c r="B169" s="39" t="s">
        <v>91</v>
      </c>
      <c r="C169" s="40">
        <f t="shared" si="36"/>
        <v>136</v>
      </c>
      <c r="D169" s="40">
        <f>+IFERROR(VLOOKUP(LEFT(Dulieu!$C$44,10)&amp;"0243",Dulieu!$C$88:$N$400,2,FALSE),0)-IFERROR(VLOOKUP(LEFT(Dulieu!$C$44,10)&amp;"0243_PRE_M",Dulieu!$C$88:$N$400,2,FALSE),0)</f>
        <v>33.5</v>
      </c>
      <c r="E169" s="40">
        <f>+IFERROR(VLOOKUP(LEFT(Dulieu!$C$44,10)&amp;"0243",Dulieu!$C$88:$N$400,3,FALSE),0)-IFERROR(VLOOKUP(LEFT(Dulieu!$C$44,10)&amp;"0243_PRE_M",Dulieu!$C$88:$N$400,3,FALSE),0)</f>
        <v>0</v>
      </c>
      <c r="F169" s="40">
        <f>+IFERROR(VLOOKUP(LEFT(Dulieu!$C$44,10)&amp;"0243",Dulieu!$C$88:$N$400,4,FALSE),0)-IFERROR(VLOOKUP(LEFT(Dulieu!$C$44,10)&amp;"0243_PRE_M",Dulieu!$C$88:$N$400,4,FALSE),0)</f>
        <v>0</v>
      </c>
      <c r="G169" s="40">
        <f>+IFERROR(VLOOKUP(LEFT(Dulieu!$C$44,10)&amp;"0243",Dulieu!$C$88:$N$400,5,FALSE),0)-IFERROR(VLOOKUP(LEFT(Dulieu!$C$44,10)&amp;"0243_PRE_M",Dulieu!$C$88:$N$400,5,FALSE),0)</f>
        <v>43</v>
      </c>
      <c r="H169" s="40">
        <f>+IFERROR(VLOOKUP(LEFT(Dulieu!$C$44,10)&amp;"0243",Dulieu!$C$88:$N$400,6,FALSE),0)-IFERROR(VLOOKUP(LEFT(Dulieu!$C$44,10)&amp;"0243_PRE_M",Dulieu!$C$88:$N$400,6,FALSE),0)</f>
        <v>30</v>
      </c>
      <c r="I169" s="40">
        <f>+IFERROR(VLOOKUP(LEFT(Dulieu!$C$44,10)&amp;"0243",Dulieu!$C$88:$N$400,7,FALSE),0)-IFERROR(VLOOKUP(LEFT(Dulieu!$C$44,10)&amp;"0243_PRE_M",Dulieu!$C$88:$N$400,7,FALSE),0)</f>
        <v>29.5</v>
      </c>
      <c r="J169" s="40">
        <f>+IFERROR(VLOOKUP(LEFT(Dulieu!$C$44,10)&amp;"0243",Dulieu!$C$88:$N$400,8,FALSE),0)-IFERROR(VLOOKUP(LEFT(Dulieu!$C$44,10)&amp;"0243_PRE_M",Dulieu!$C$88:$N$400,8,FALSE),0)</f>
        <v>0</v>
      </c>
      <c r="K169" s="40">
        <f>+IFERROR(VLOOKUP(LEFT(Dulieu!$C$44,10)&amp;"0243",Dulieu!$C$88:$N$400,9,FALSE),0)-IFERROR(VLOOKUP(LEFT(Dulieu!$C$44,10)&amp;"0243_PRE_M",Dulieu!$C$88:$N$400,9,FALSE),0)</f>
        <v>0</v>
      </c>
      <c r="L169" s="40">
        <f>+IFERROR(VLOOKUP(LEFT(Dulieu!$C$44,10)&amp;"0243",Dulieu!$C$88:$N$400,10,FALSE),0)-IFERROR(VLOOKUP(LEFT(Dulieu!$C$44,10)&amp;"0243_PRE_M",Dulieu!$C$88:$N$400,10,FALSE),0)</f>
        <v>0</v>
      </c>
      <c r="M169" s="40">
        <f>+IFERROR(VLOOKUP(LEFT(Dulieu!$C$44,10)&amp;"0243",Dulieu!$C$88:$N$400,11,FALSE),0)-IFERROR(VLOOKUP(LEFT(Dulieu!$C$44,10)&amp;"0243_PRE_M",Dulieu!$C$88:$N$400,11,FALSE),0)</f>
        <v>0</v>
      </c>
      <c r="N169" s="40">
        <f>+IFERROR(VLOOKUP(LEFT(Dulieu!$C$44,10)&amp;"0243",Dulieu!$C$88:$N$400,12,FALSE),0)-IFERROR(VLOOKUP(LEFT(Dulieu!$C$44,10)&amp;"0243_PRE_M",Dulieu!$C$88:$N$400,12,FALSE),0)</f>
        <v>0</v>
      </c>
      <c r="O169" s="40">
        <f>+IFERROR(VLOOKUP(LEFT(Dulieu!$C$44,10)&amp;"0243",Dulieu!$C$88:$Y$400,13,FALSE),0)-IFERROR(VLOOKUP(LEFT(Dulieu!$C$44,10)&amp;"0243_PRE_M",Dulieu!$C$88:$Y$400,13,FALSE),0)</f>
        <v>0</v>
      </c>
      <c r="P169" s="40">
        <f>+IFERROR(VLOOKUP(LEFT(Dulieu!$C$44,10)&amp;"0243",Dulieu!$C$88:$Y$400,14,FALSE),0)-IFERROR(VLOOKUP(LEFT(Dulieu!$C$44,10)&amp;"0243_PRE_M",Dulieu!$C$88:$Y$400,14,FALSE),0)</f>
        <v>0</v>
      </c>
      <c r="Q169" s="40">
        <f>+IFERROR(VLOOKUP(LEFT(Dulieu!$C$44,10)&amp;"0243",Dulieu!$C$88:$Y$400,15,FALSE),0)-IFERROR(VLOOKUP(LEFT(Dulieu!$C$44,10)&amp;"0243_PRE_M",Dulieu!$C$88:$Y$400,15,FALSE),0)</f>
        <v>0</v>
      </c>
      <c r="R169" s="40">
        <f>+IFERROR(VLOOKUP(LEFT(Dulieu!$C$44,10)&amp;"0243",Dulieu!$C$88:$Y$400,16,FALSE),0)-IFERROR(VLOOKUP(LEFT(Dulieu!$C$44,10)&amp;"0243_PRE_M",Dulieu!$C$88:$Y$400,16,FALSE),0)</f>
        <v>0</v>
      </c>
      <c r="S169" s="40">
        <f>+IFERROR(VLOOKUP(LEFT(Dulieu!$C$44,10)&amp;"0243",Dulieu!$C$88:$Y$400,17,FALSE),0)-IFERROR(VLOOKUP(LEFT(Dulieu!$C$44,10)&amp;"0243_PRE_M",Dulieu!$C$88:$Y$400,17,FALSE),0)</f>
        <v>0</v>
      </c>
      <c r="T169" s="40">
        <f>+IFERROR(VLOOKUP(LEFT(Dulieu!$C$44,10)&amp;"0243",Dulieu!$C$88:$Y$400,18,FALSE),0)-IFERROR(VLOOKUP(LEFT(Dulieu!$C$44,10)&amp;"0243_PRE_M",Dulieu!$C$88:$Y$400,18,FALSE),0)</f>
        <v>0</v>
      </c>
      <c r="U169" s="40">
        <f>+IFERROR(VLOOKUP(LEFT(Dulieu!$C$44,10)&amp;"0243",Dulieu!$C$88:$Y$400,19,FALSE),0)-IFERROR(VLOOKUP(LEFT(Dulieu!$C$44,10)&amp;"0243_PRE_M",Dulieu!$C$88:$Y$400,19,FALSE),0)</f>
        <v>0</v>
      </c>
      <c r="V169" s="40">
        <f>+IFERROR(VLOOKUP(LEFT(Dulieu!$C$44,10)&amp;"0243",Dulieu!$C$88:$Y$400,20,FALSE),0)-IFERROR(VLOOKUP(LEFT(Dulieu!$C$44,10)&amp;"0243_PRE_M",Dulieu!$C$88:$Y$400,20,FALSE),0)</f>
        <v>0</v>
      </c>
      <c r="W169" s="40">
        <f>+IFERROR(VLOOKUP(LEFT(Dulieu!$C$44,10)&amp;"0243",Dulieu!$C$88:$Y$400,21,FALSE),0)-IFERROR(VLOOKUP(LEFT(Dulieu!$C$44,10)&amp;"0243_PRE_M",Dulieu!$C$88:$Y$400,21,FALSE),0)</f>
        <v>0</v>
      </c>
      <c r="X169" s="40">
        <f>+IFERROR(VLOOKUP(LEFT(Dulieu!$C$44,10)&amp;"0243",Dulieu!$C$88:$Y$400,22,FALSE),0)-IFERROR(VLOOKUP(LEFT(Dulieu!$C$44,10)&amp;"0243_PRE_M",Dulieu!$C$88:$Y$400,22,FALSE),0)</f>
        <v>0</v>
      </c>
      <c r="Y169" s="40">
        <f>+IFERROR(VLOOKUP(LEFT(Dulieu!$C$44,10)&amp;"0243",Dulieu!$C$88:$Y$400,23,FALSE),0)-IFERROR(VLOOKUP(LEFT(Dulieu!$C$44,10)&amp;"0243_PRE_M",Dulieu!$C$88:$Y$400,23,FALSE),0)</f>
        <v>0</v>
      </c>
    </row>
    <row r="170" spans="1:25" s="41" customFormat="1" ht="12" x14ac:dyDescent="0.25">
      <c r="A170" s="38"/>
      <c r="B170" s="39" t="s">
        <v>92</v>
      </c>
      <c r="C170" s="40">
        <f t="shared" si="36"/>
        <v>809.33999999999992</v>
      </c>
      <c r="D170" s="40">
        <f>+IFERROR(VLOOKUP(LEFT(Dulieu!$C$44,10)&amp;"0243",Dulieu!$C$88:$N$400,2,FALSE),0)-IFERROR(VLOOKUP(LEFT(Dulieu!$C$44,10)&amp;"0243_PRE_Y",Dulieu!$C$88:$N$400,2,FALSE),0)</f>
        <v>203.5</v>
      </c>
      <c r="E170" s="40">
        <f>+IFERROR(VLOOKUP(LEFT(Dulieu!$C$44,10)&amp;"0243",Dulieu!$C$88:$N$400,3,FALSE),0)-IFERROR(VLOOKUP(LEFT(Dulieu!$C$44,10)&amp;"0243_PRE_Y",Dulieu!$C$88:$N$400,3,FALSE),0)</f>
        <v>38</v>
      </c>
      <c r="F170" s="40">
        <f>+IFERROR(VLOOKUP(LEFT(Dulieu!$C$44,10)&amp;"0243",Dulieu!$C$88:$N$400,4,FALSE),0)-IFERROR(VLOOKUP(LEFT(Dulieu!$C$44,10)&amp;"0243_PRE_Y",Dulieu!$C$88:$N$400,4,FALSE),0)</f>
        <v>45.600000000000023</v>
      </c>
      <c r="G170" s="40">
        <f>+IFERROR(VLOOKUP(LEFT(Dulieu!$C$44,10)&amp;"0243",Dulieu!$C$88:$N$400,5,FALSE),0)-IFERROR(VLOOKUP(LEFT(Dulieu!$C$44,10)&amp;"0243_PRE_Y",Dulieu!$C$88:$N$400,5,FALSE),0)</f>
        <v>43</v>
      </c>
      <c r="H170" s="40">
        <f>+IFERROR(VLOOKUP(LEFT(Dulieu!$C$44,10)&amp;"0243",Dulieu!$C$88:$N$400,6,FALSE),0)-IFERROR(VLOOKUP(LEFT(Dulieu!$C$44,10)&amp;"0243_PRE_Y",Dulieu!$C$88:$N$400,6,FALSE),0)</f>
        <v>142.5</v>
      </c>
      <c r="I170" s="40">
        <f>+IFERROR(VLOOKUP(LEFT(Dulieu!$C$44,10)&amp;"0243",Dulieu!$C$88:$N$400,7,FALSE),0)-IFERROR(VLOOKUP(LEFT(Dulieu!$C$44,10)&amp;"0243_PRE_Y",Dulieu!$C$88:$N$400,7,FALSE),0)</f>
        <v>101.89999999999986</v>
      </c>
      <c r="J170" s="40">
        <f>+IFERROR(VLOOKUP(LEFT(Dulieu!$C$44,10)&amp;"0243",Dulieu!$C$88:$N$400,8,FALSE),0)-IFERROR(VLOOKUP(LEFT(Dulieu!$C$44,10)&amp;"0243_PRE_Y",Dulieu!$C$88:$N$400,8,FALSE),0)</f>
        <v>168.54999999999995</v>
      </c>
      <c r="K170" s="40">
        <f>+IFERROR(VLOOKUP(LEFT(Dulieu!$C$44,10)&amp;"0243",Dulieu!$C$88:$N$400,9,FALSE),0)-IFERROR(VLOOKUP(LEFT(Dulieu!$C$44,10)&amp;"0243_PRE_Y",Dulieu!$C$88:$N$400,9,FALSE),0)</f>
        <v>0</v>
      </c>
      <c r="L170" s="40">
        <f>+IFERROR(VLOOKUP(LEFT(Dulieu!$C$44,10)&amp;"0243",Dulieu!$C$88:$N$400,10,FALSE),0)-IFERROR(VLOOKUP(LEFT(Dulieu!$C$44,10)&amp;"0243_PRE_Y",Dulieu!$C$88:$N$400,10,FALSE),0)</f>
        <v>0</v>
      </c>
      <c r="M170" s="40">
        <f>+IFERROR(VLOOKUP(LEFT(Dulieu!$C$44,10)&amp;"0243",Dulieu!$C$88:$N$400,11,FALSE),0)-IFERROR(VLOOKUP(LEFT(Dulieu!$C$44,10)&amp;"0243_PRE_Y",Dulieu!$C$88:$N$400,11,FALSE),0)</f>
        <v>0</v>
      </c>
      <c r="N170" s="40">
        <f>+IFERROR(VLOOKUP(LEFT(Dulieu!$C$44,10)&amp;"0243",Dulieu!$C$88:$N$400,12,FALSE),0)-IFERROR(VLOOKUP(LEFT(Dulieu!$C$44,10)&amp;"0243_PRE_Y",Dulieu!$C$88:$N$400,12,FALSE),0)</f>
        <v>0</v>
      </c>
      <c r="O170" s="40">
        <f>+IFERROR(VLOOKUP(LEFT(Dulieu!$C$44,10)&amp;"0243",Dulieu!$C$88:$Y$400,13,FALSE),0)-IFERROR(VLOOKUP(LEFT(Dulieu!$C$44,10)&amp;"0243_PRE_Y",Dulieu!$C$88:$Y$400,13,FALSE),0)</f>
        <v>-15.139999999999986</v>
      </c>
      <c r="P170" s="40">
        <f>+IFERROR(VLOOKUP(LEFT(Dulieu!$C$44,10)&amp;"0243",Dulieu!$C$88:$Y$400,14,FALSE),0)-IFERROR(VLOOKUP(LEFT(Dulieu!$C$44,10)&amp;"0243_PRE_Y",Dulieu!$C$88:$Y$400,14,FALSE),0)</f>
        <v>0</v>
      </c>
      <c r="Q170" s="40">
        <f>+IFERROR(VLOOKUP(LEFT(Dulieu!$C$44,10)&amp;"0243",Dulieu!$C$88:$Y$400,15,FALSE),0)-IFERROR(VLOOKUP(LEFT(Dulieu!$C$44,10)&amp;"0243_PRE_Y",Dulieu!$C$88:$Y$400,15,FALSE),0)</f>
        <v>0</v>
      </c>
      <c r="R170" s="40">
        <f>+IFERROR(VLOOKUP(LEFT(Dulieu!$C$44,10)&amp;"0243",Dulieu!$C$88:$Y$400,16,FALSE),0)-IFERROR(VLOOKUP(LEFT(Dulieu!$C$44,10)&amp;"0243_PRE_Y",Dulieu!$C$88:$Y$400,16,FALSE),0)</f>
        <v>43.300000000000068</v>
      </c>
      <c r="S170" s="40">
        <f>+IFERROR(VLOOKUP(LEFT(Dulieu!$C$44,10)&amp;"0243",Dulieu!$C$88:$Y$400,17,FALSE),0)-IFERROR(VLOOKUP(LEFT(Dulieu!$C$44,10)&amp;"0243_PRE_Y",Dulieu!$C$88:$Y$400,17,FALSE),0)</f>
        <v>0</v>
      </c>
      <c r="T170" s="40">
        <f>+IFERROR(VLOOKUP(LEFT(Dulieu!$C$44,10)&amp;"0243",Dulieu!$C$88:$Y$400,18,FALSE),0)-IFERROR(VLOOKUP(LEFT(Dulieu!$C$44,10)&amp;"0243_PRE_Y",Dulieu!$C$88:$Y$400,18,FALSE),0)</f>
        <v>0</v>
      </c>
      <c r="U170" s="40">
        <f>+IFERROR(VLOOKUP(LEFT(Dulieu!$C$44,10)&amp;"0243",Dulieu!$C$88:$Y$400,19,FALSE),0)-IFERROR(VLOOKUP(LEFT(Dulieu!$C$44,10)&amp;"0243_PRE_Y",Dulieu!$C$88:$Y$400,19,FALSE),0)</f>
        <v>0</v>
      </c>
      <c r="V170" s="40">
        <f>+IFERROR(VLOOKUP(LEFT(Dulieu!$C$44,10)&amp;"0243",Dulieu!$C$88:$Y$400,20,FALSE),0)-IFERROR(VLOOKUP(LEFT(Dulieu!$C$44,10)&amp;"0243_PRE_Y",Dulieu!$C$88:$Y$400,20,FALSE),0)</f>
        <v>0</v>
      </c>
      <c r="W170" s="40">
        <f>+IFERROR(VLOOKUP(LEFT(Dulieu!$C$44,10)&amp;"0243",Dulieu!$C$88:$Y$400,21,FALSE),0)-IFERROR(VLOOKUP(LEFT(Dulieu!$C$44,10)&amp;"0243_PRE_Y",Dulieu!$C$88:$Y$400,21,FALSE),0)</f>
        <v>38.129999999999995</v>
      </c>
      <c r="X170" s="40">
        <f>+IFERROR(VLOOKUP(LEFT(Dulieu!$C$44,10)&amp;"0243",Dulieu!$C$88:$Y$400,22,FALSE),0)-IFERROR(VLOOKUP(LEFT(Dulieu!$C$44,10)&amp;"0243_PRE_Y",Dulieu!$C$88:$Y$400,22,FALSE),0)</f>
        <v>0</v>
      </c>
      <c r="Y170" s="40">
        <f>+IFERROR(VLOOKUP(LEFT(Dulieu!$C$44,10)&amp;"0243",Dulieu!$C$88:$Y$400,23,FALSE),0)-IFERROR(VLOOKUP(LEFT(Dulieu!$C$44,10)&amp;"0243_PRE_Y",Dulieu!$C$88:$Y$400,23,FALSE),0)</f>
        <v>0</v>
      </c>
    </row>
    <row r="171" spans="1:25" s="59" customFormat="1" ht="12" x14ac:dyDescent="0.25">
      <c r="A171" s="56" t="s">
        <v>68</v>
      </c>
      <c r="B171" s="57" t="s">
        <v>69</v>
      </c>
      <c r="C171" s="58">
        <f t="shared" si="35"/>
        <v>0</v>
      </c>
      <c r="D171" s="58">
        <f>+Dulieu!D82</f>
        <v>0</v>
      </c>
      <c r="E171" s="58">
        <f>+Dulieu!E82</f>
        <v>0</v>
      </c>
      <c r="F171" s="58">
        <f>+Dulieu!F82</f>
        <v>0</v>
      </c>
      <c r="G171" s="58">
        <f>+Dulieu!G82</f>
        <v>0</v>
      </c>
      <c r="H171" s="58">
        <f>+Dulieu!H82</f>
        <v>0</v>
      </c>
      <c r="I171" s="58">
        <f>+Dulieu!I82</f>
        <v>0</v>
      </c>
      <c r="J171" s="58">
        <f>+Dulieu!J82</f>
        <v>0</v>
      </c>
      <c r="K171" s="58">
        <f>+Dulieu!K82</f>
        <v>0</v>
      </c>
      <c r="L171" s="58">
        <f>+Dulieu!L82</f>
        <v>0</v>
      </c>
      <c r="M171" s="58">
        <f>+Dulieu!M82</f>
        <v>0</v>
      </c>
      <c r="N171" s="58">
        <f>+Dulieu!N82</f>
        <v>0</v>
      </c>
      <c r="O171" s="58">
        <f>+Dulieu!O82</f>
        <v>0</v>
      </c>
      <c r="P171" s="58">
        <f>+Dulieu!P82</f>
        <v>0</v>
      </c>
      <c r="Q171" s="58">
        <f>+Dulieu!Q82</f>
        <v>0</v>
      </c>
      <c r="R171" s="58">
        <f>+Dulieu!R82</f>
        <v>0</v>
      </c>
      <c r="S171" s="58">
        <f>+Dulieu!S82</f>
        <v>0</v>
      </c>
      <c r="T171" s="58">
        <f>+Dulieu!T82</f>
        <v>0</v>
      </c>
      <c r="U171" s="58">
        <f>+Dulieu!U82</f>
        <v>0</v>
      </c>
      <c r="V171" s="58">
        <f>+Dulieu!V82</f>
        <v>0</v>
      </c>
      <c r="W171" s="58">
        <f>+Dulieu!W82</f>
        <v>0</v>
      </c>
      <c r="X171" s="58">
        <f>+Dulieu!X82</f>
        <v>0</v>
      </c>
      <c r="Y171" s="58">
        <f>+Dulieu!Y82</f>
        <v>0</v>
      </c>
    </row>
    <row r="172" spans="1:25" s="37" customFormat="1" ht="12" x14ac:dyDescent="0.25">
      <c r="A172" s="34" t="s">
        <v>70</v>
      </c>
      <c r="B172" s="35" t="s">
        <v>71</v>
      </c>
      <c r="C172" s="36">
        <f t="shared" si="35"/>
        <v>40419.19</v>
      </c>
      <c r="D172" s="36">
        <f>+Dulieu!D83</f>
        <v>10412.01</v>
      </c>
      <c r="E172" s="36">
        <f>+Dulieu!E83</f>
        <v>1546.38</v>
      </c>
      <c r="F172" s="36">
        <f>+Dulieu!F83</f>
        <v>1228.8100000000002</v>
      </c>
      <c r="G172" s="36">
        <f>+Dulieu!G83</f>
        <v>1720.5</v>
      </c>
      <c r="H172" s="36">
        <f>+Dulieu!H83</f>
        <v>1270.76</v>
      </c>
      <c r="I172" s="36">
        <f>+Dulieu!I83</f>
        <v>3060.2799999999997</v>
      </c>
      <c r="J172" s="36">
        <f>+Dulieu!J83</f>
        <v>1715.44</v>
      </c>
      <c r="K172" s="36">
        <f>+Dulieu!K83</f>
        <v>1590.37</v>
      </c>
      <c r="L172" s="36">
        <f>+Dulieu!L83</f>
        <v>1830.57</v>
      </c>
      <c r="M172" s="36">
        <f>+Dulieu!M83</f>
        <v>2580.42</v>
      </c>
      <c r="N172" s="36">
        <f>+Dulieu!N83</f>
        <v>1307.44</v>
      </c>
      <c r="O172" s="36">
        <f>+Dulieu!O83</f>
        <v>399.74</v>
      </c>
      <c r="P172" s="36">
        <f>+Dulieu!P83</f>
        <v>829.81999999999994</v>
      </c>
      <c r="Q172" s="36">
        <f>+Dulieu!Q83</f>
        <v>1255.99</v>
      </c>
      <c r="R172" s="36">
        <f>+Dulieu!R83</f>
        <v>461.92</v>
      </c>
      <c r="S172" s="36">
        <f>+Dulieu!S83</f>
        <v>637.67999999999995</v>
      </c>
      <c r="T172" s="36">
        <f>+Dulieu!T83</f>
        <v>872.18000000000006</v>
      </c>
      <c r="U172" s="36">
        <f>+Dulieu!U83</f>
        <v>2600.92</v>
      </c>
      <c r="V172" s="36">
        <f>+Dulieu!V83</f>
        <v>1133.73</v>
      </c>
      <c r="W172" s="36">
        <f>+Dulieu!W83</f>
        <v>2249.3700000000003</v>
      </c>
      <c r="X172" s="36">
        <f>+Dulieu!X83</f>
        <v>177.14</v>
      </c>
      <c r="Y172" s="36">
        <f>+Dulieu!Y83</f>
        <v>1537.7199999999998</v>
      </c>
    </row>
    <row r="173" spans="1:25" s="41" customFormat="1" ht="12" x14ac:dyDescent="0.25">
      <c r="A173" s="38"/>
      <c r="B173" s="39" t="s">
        <v>91</v>
      </c>
      <c r="C173" s="40">
        <f t="shared" si="35"/>
        <v>9546.7899999999991</v>
      </c>
      <c r="D173" s="40">
        <f>+D176+D179</f>
        <v>4993.46</v>
      </c>
      <c r="E173" s="40">
        <f t="shared" ref="E173:N174" si="37">+E176+E179</f>
        <v>394.14</v>
      </c>
      <c r="F173" s="40">
        <f t="shared" si="37"/>
        <v>793.07000000000016</v>
      </c>
      <c r="G173" s="40">
        <f t="shared" si="37"/>
        <v>1051.04</v>
      </c>
      <c r="H173" s="40">
        <f t="shared" si="37"/>
        <v>-407.10000000000014</v>
      </c>
      <c r="I173" s="40">
        <f t="shared" si="37"/>
        <v>1938.46</v>
      </c>
      <c r="J173" s="40">
        <f t="shared" si="37"/>
        <v>563.86000000000013</v>
      </c>
      <c r="K173" s="40">
        <f t="shared" si="37"/>
        <v>-163.81000000000017</v>
      </c>
      <c r="L173" s="40">
        <f t="shared" si="37"/>
        <v>1227.5899999999999</v>
      </c>
      <c r="M173" s="40">
        <f t="shared" si="37"/>
        <v>786.84999999999991</v>
      </c>
      <c r="N173" s="40">
        <f t="shared" si="37"/>
        <v>-392.75000000000006</v>
      </c>
      <c r="O173" s="40">
        <f t="shared" ref="O173:Y173" si="38">+O176+O179</f>
        <v>-211.14</v>
      </c>
      <c r="P173" s="40">
        <f t="shared" si="38"/>
        <v>217.8</v>
      </c>
      <c r="Q173" s="40">
        <f t="shared" si="38"/>
        <v>-115.58999999999992</v>
      </c>
      <c r="R173" s="40">
        <f t="shared" si="38"/>
        <v>-1317.08</v>
      </c>
      <c r="S173" s="40">
        <f t="shared" si="38"/>
        <v>-2077.29</v>
      </c>
      <c r="T173" s="40">
        <f t="shared" si="38"/>
        <v>-845.67</v>
      </c>
      <c r="U173" s="40">
        <f t="shared" si="38"/>
        <v>1499.2599999999998</v>
      </c>
      <c r="V173" s="40">
        <f t="shared" si="38"/>
        <v>129.91000000000017</v>
      </c>
      <c r="W173" s="40">
        <f t="shared" si="38"/>
        <v>1686.88</v>
      </c>
      <c r="X173" s="40">
        <f t="shared" si="38"/>
        <v>-174.54000000000002</v>
      </c>
      <c r="Y173" s="40">
        <f t="shared" si="38"/>
        <v>-30.560000000000173</v>
      </c>
    </row>
    <row r="174" spans="1:25" s="41" customFormat="1" ht="12" x14ac:dyDescent="0.25">
      <c r="A174" s="38"/>
      <c r="B174" s="39" t="s">
        <v>92</v>
      </c>
      <c r="C174" s="40">
        <f t="shared" si="35"/>
        <v>24233.859999999997</v>
      </c>
      <c r="D174" s="40">
        <f>+D177+D180</f>
        <v>6014.32</v>
      </c>
      <c r="E174" s="40">
        <f t="shared" si="37"/>
        <v>1147.9699999999998</v>
      </c>
      <c r="F174" s="40">
        <f t="shared" si="37"/>
        <v>1141.3200000000002</v>
      </c>
      <c r="G174" s="40">
        <f t="shared" si="37"/>
        <v>1432.74</v>
      </c>
      <c r="H174" s="40">
        <f t="shared" si="37"/>
        <v>450.50999999999988</v>
      </c>
      <c r="I174" s="40">
        <f t="shared" si="37"/>
        <v>2563.63</v>
      </c>
      <c r="J174" s="40">
        <f t="shared" si="37"/>
        <v>505.16000000000008</v>
      </c>
      <c r="K174" s="40">
        <f t="shared" si="37"/>
        <v>664.44999999999993</v>
      </c>
      <c r="L174" s="40">
        <f t="shared" si="37"/>
        <v>1773.48</v>
      </c>
      <c r="M174" s="40">
        <f t="shared" si="37"/>
        <v>1512.16</v>
      </c>
      <c r="N174" s="40">
        <f t="shared" si="37"/>
        <v>728.55</v>
      </c>
      <c r="O174" s="40">
        <f t="shared" ref="O174:Y174" si="39">+O177+O180</f>
        <v>-2.1499999999999915</v>
      </c>
      <c r="P174" s="40">
        <f t="shared" si="39"/>
        <v>696.51</v>
      </c>
      <c r="Q174" s="40">
        <f t="shared" si="39"/>
        <v>440.78999999999996</v>
      </c>
      <c r="R174" s="40">
        <f t="shared" si="39"/>
        <v>109.84000000000003</v>
      </c>
      <c r="S174" s="40">
        <f t="shared" si="39"/>
        <v>-554.29</v>
      </c>
      <c r="T174" s="40">
        <f t="shared" si="39"/>
        <v>733.24</v>
      </c>
      <c r="U174" s="40">
        <f t="shared" si="39"/>
        <v>2350.62</v>
      </c>
      <c r="V174" s="40">
        <f t="shared" si="39"/>
        <v>610.10000000000014</v>
      </c>
      <c r="W174" s="40">
        <f t="shared" si="39"/>
        <v>1618.81</v>
      </c>
      <c r="X174" s="40">
        <f t="shared" si="39"/>
        <v>-286.17</v>
      </c>
      <c r="Y174" s="40">
        <f t="shared" si="39"/>
        <v>582.27</v>
      </c>
    </row>
    <row r="175" spans="1:25" s="37" customFormat="1" ht="12" x14ac:dyDescent="0.25">
      <c r="A175" s="42">
        <v>1</v>
      </c>
      <c r="B175" s="43" t="s">
        <v>72</v>
      </c>
      <c r="C175" s="44">
        <f t="shared" si="35"/>
        <v>17612.249999999996</v>
      </c>
      <c r="D175" s="44">
        <f>+Dulieu!D84</f>
        <v>1842.84</v>
      </c>
      <c r="E175" s="44">
        <f>+Dulieu!E84</f>
        <v>525.29</v>
      </c>
      <c r="F175" s="44">
        <f>+Dulieu!F84</f>
        <v>1169.92</v>
      </c>
      <c r="G175" s="44">
        <f>+Dulieu!G84</f>
        <v>1586.43</v>
      </c>
      <c r="H175" s="44">
        <f>+Dulieu!H84</f>
        <v>1261.06</v>
      </c>
      <c r="I175" s="44">
        <f>+Dulieu!I84</f>
        <v>1211.55</v>
      </c>
      <c r="J175" s="44">
        <f>+Dulieu!J84</f>
        <v>803.11</v>
      </c>
      <c r="K175" s="44">
        <f>+Dulieu!K84</f>
        <v>0</v>
      </c>
      <c r="L175" s="44">
        <f>+Dulieu!L84</f>
        <v>160.31</v>
      </c>
      <c r="M175" s="44">
        <f>+Dulieu!M84</f>
        <v>1351.15</v>
      </c>
      <c r="N175" s="44">
        <f>+Dulieu!N84</f>
        <v>391.56</v>
      </c>
      <c r="O175" s="44">
        <f>+Dulieu!O84</f>
        <v>290.74</v>
      </c>
      <c r="P175" s="44">
        <f>+Dulieu!P84</f>
        <v>700.39</v>
      </c>
      <c r="Q175" s="44">
        <f>+Dulieu!Q84</f>
        <v>680.24</v>
      </c>
      <c r="R175" s="44">
        <f>+Dulieu!R84</f>
        <v>365.41</v>
      </c>
      <c r="S175" s="44">
        <f>+Dulieu!S84</f>
        <v>576.05999999999995</v>
      </c>
      <c r="T175" s="44">
        <f>+Dulieu!T84</f>
        <v>267.08</v>
      </c>
      <c r="U175" s="44">
        <f>+Dulieu!U84</f>
        <v>220.24</v>
      </c>
      <c r="V175" s="44">
        <f>+Dulieu!V84</f>
        <v>1054.1300000000001</v>
      </c>
      <c r="W175" s="44">
        <f>+Dulieu!W84</f>
        <v>2204.84</v>
      </c>
      <c r="X175" s="44">
        <f>+Dulieu!X84</f>
        <v>119.85</v>
      </c>
      <c r="Y175" s="44">
        <f>+Dulieu!Y84</f>
        <v>830.05</v>
      </c>
    </row>
    <row r="176" spans="1:25" s="41" customFormat="1" ht="12" x14ac:dyDescent="0.25">
      <c r="A176" s="38"/>
      <c r="B176" s="39" t="s">
        <v>91</v>
      </c>
      <c r="C176" s="40">
        <f t="shared" si="35"/>
        <v>3615.6500000000005</v>
      </c>
      <c r="D176" s="40">
        <f>+D175-VLOOKUP(Dulieu!$C$84&amp;"_PRE_M",Dulieu!$C$88:$N$400,2,FALSE)</f>
        <v>505.18999999999983</v>
      </c>
      <c r="E176" s="40">
        <f>+E175-VLOOKUP(Dulieu!$C$84&amp;"_PRE_M",Dulieu!$C$88:$N$400,3,FALSE)</f>
        <v>72.519999999999982</v>
      </c>
      <c r="F176" s="40">
        <f>+F175-VLOOKUP(Dulieu!$C$84&amp;"_PRE_M",Dulieu!$C$88:$N$400,4,FALSE)</f>
        <v>893.11000000000013</v>
      </c>
      <c r="G176" s="40">
        <f>+G175-VLOOKUP(Dulieu!$C$84&amp;"_PRE_M",Dulieu!$C$88:$N$400,5,FALSE)</f>
        <v>1009.47</v>
      </c>
      <c r="H176" s="40">
        <f>+H175-VLOOKUP(Dulieu!$C$84&amp;"_PRE_M",Dulieu!$C$88:$N$400,6,FALSE)</f>
        <v>809.37999999999988</v>
      </c>
      <c r="I176" s="40">
        <f>+I175-VLOOKUP(Dulieu!$C$84&amp;"_PRE_M",Dulieu!$C$88:$N$400,7,FALSE)</f>
        <v>638.18999999999994</v>
      </c>
      <c r="J176" s="40">
        <f>+J175-VLOOKUP(Dulieu!$C$84&amp;"_PRE_M",Dulieu!$C$88:$N$400,8,FALSE)</f>
        <v>443.52000000000004</v>
      </c>
      <c r="K176" s="40">
        <f>+K175-VLOOKUP(Dulieu!$C$84&amp;"_PRE_M",Dulieu!$C$88:$N$400,9,FALSE)</f>
        <v>0</v>
      </c>
      <c r="L176" s="40">
        <f>+L175-VLOOKUP(Dulieu!$C$84&amp;"_PRE_M",Dulieu!$C$88:$N$400,10,FALSE)</f>
        <v>58.490000000000009</v>
      </c>
      <c r="M176" s="40">
        <f>+M175-VLOOKUP(Dulieu!$C$84&amp;"_PRE_M",Dulieu!$C$88:$N$400,11,FALSE)</f>
        <v>591.96</v>
      </c>
      <c r="N176" s="40">
        <f>+N175-VLOOKUP(Dulieu!$C$84&amp;"_PRE_M",Dulieu!$C$88:$N$400,12,FALSE)</f>
        <v>-267.47999999999996</v>
      </c>
      <c r="O176" s="40">
        <f>+O175-VLOOKUP(Dulieu!$C$84&amp;"_PRE_M",Dulieu!$C$88:$Y$400,13,FALSE)</f>
        <v>-231.27999999999997</v>
      </c>
      <c r="P176" s="40">
        <f>+P175-VLOOKUP(Dulieu!$C$84&amp;"_PRE_M",Dulieu!$C$88:$Y$400,14,FALSE)</f>
        <v>223.36</v>
      </c>
      <c r="Q176" s="40">
        <f>+Q175-VLOOKUP(Dulieu!$C$84&amp;"_PRE_M",Dulieu!$C$88:$Y$400,15,FALSE)</f>
        <v>373.99</v>
      </c>
      <c r="R176" s="40">
        <f>+R175-VLOOKUP(Dulieu!$C$84&amp;"_PRE_M",Dulieu!$C$88:$Y$400,16,FALSE)</f>
        <v>-516.96</v>
      </c>
      <c r="S176" s="40">
        <f>+S175-VLOOKUP(Dulieu!$C$84&amp;"_PRE_M",Dulieu!$C$88:$Y$400,17,FALSE)</f>
        <v>-1377.48</v>
      </c>
      <c r="T176" s="40">
        <f>+T175-VLOOKUP(Dulieu!$C$84&amp;"_PRE_M",Dulieu!$C$88:$Y$400,18,FALSE)</f>
        <v>-545.72</v>
      </c>
      <c r="U176" s="40">
        <f>+U175-VLOOKUP(Dulieu!$C$84&amp;"_PRE_M",Dulieu!$C$88:$Y$400,19,FALSE)</f>
        <v>-798.71</v>
      </c>
      <c r="V176" s="40">
        <f>+V175-VLOOKUP(Dulieu!$C$84&amp;"_PRE_M",Dulieu!$C$88:$Y$400,20,FALSE)</f>
        <v>105.82000000000016</v>
      </c>
      <c r="W176" s="40">
        <f>+W175-VLOOKUP(Dulieu!$C$84&amp;"_PRE_M",Dulieu!$C$88:$Y$400,21,FALSE)</f>
        <v>1986.66</v>
      </c>
      <c r="X176" s="40">
        <f>+X175-VLOOKUP(Dulieu!$C$84&amp;"_PRE_M",Dulieu!$C$88:$Y$400,22,FALSE)</f>
        <v>-227.59</v>
      </c>
      <c r="Y176" s="40">
        <f>+Y175-VLOOKUP(Dulieu!$C$84&amp;"_PRE_M",Dulieu!$C$88:$Y$400,23,FALSE)</f>
        <v>-130.79000000000008</v>
      </c>
    </row>
    <row r="177" spans="1:25" s="41" customFormat="1" ht="12" x14ac:dyDescent="0.25">
      <c r="A177" s="38"/>
      <c r="B177" s="39" t="s">
        <v>92</v>
      </c>
      <c r="C177" s="40">
        <f t="shared" si="35"/>
        <v>12185.07</v>
      </c>
      <c r="D177" s="40">
        <f>+D175-VLOOKUP(Dulieu!$C$84&amp;"_PRE_Y",Dulieu!$C$88:$N$400,2,FALSE)</f>
        <v>1163.2199999999998</v>
      </c>
      <c r="E177" s="40">
        <f>+E175-VLOOKUP(Dulieu!$C$84&amp;"_PRE_Y",Dulieu!$C$88:$N$400,3,FALSE)</f>
        <v>348.69999999999993</v>
      </c>
      <c r="F177" s="40">
        <f>+F175-VLOOKUP(Dulieu!$C$84&amp;"_PRE_Y",Dulieu!$C$88:$N$400,4,FALSE)</f>
        <v>1083.92</v>
      </c>
      <c r="G177" s="40">
        <f>+G175-VLOOKUP(Dulieu!$C$84&amp;"_PRE_Y",Dulieu!$C$88:$N$400,5,FALSE)</f>
        <v>1581.53</v>
      </c>
      <c r="H177" s="40">
        <f>+H175-VLOOKUP(Dulieu!$C$84&amp;"_PRE_Y",Dulieu!$C$88:$N$400,6,FALSE)</f>
        <v>1195.9199999999998</v>
      </c>
      <c r="I177" s="40">
        <f>+I175-VLOOKUP(Dulieu!$C$84&amp;"_PRE_Y",Dulieu!$C$88:$N$400,7,FALSE)</f>
        <v>1211.55</v>
      </c>
      <c r="J177" s="40">
        <f>+J175-VLOOKUP(Dulieu!$C$84&amp;"_PRE_Y",Dulieu!$C$88:$N$400,8,FALSE)</f>
        <v>614.09</v>
      </c>
      <c r="K177" s="40">
        <f>+K175-VLOOKUP(Dulieu!$C$84&amp;"_PRE_Y",Dulieu!$C$88:$N$400,9,FALSE)</f>
        <v>0</v>
      </c>
      <c r="L177" s="40">
        <f>+L175-VLOOKUP(Dulieu!$C$84&amp;"_PRE_Y",Dulieu!$C$88:$N$400,10,FALSE)</f>
        <v>160.31</v>
      </c>
      <c r="M177" s="40">
        <f>+M175-VLOOKUP(Dulieu!$C$84&amp;"_PRE_Y",Dulieu!$C$88:$N$400,11,FALSE)</f>
        <v>822.19</v>
      </c>
      <c r="N177" s="40">
        <f>+N175-VLOOKUP(Dulieu!$C$84&amp;"_PRE_Y",Dulieu!$C$88:$N$400,12,FALSE)</f>
        <v>53.009999999999991</v>
      </c>
      <c r="O177" s="40">
        <f>+O175-VLOOKUP(Dulieu!$C$84&amp;"_PRE_Y",Dulieu!$C$88:$Y$400,13,FALSE)</f>
        <v>-7.1899999999999977</v>
      </c>
      <c r="P177" s="40">
        <f>+P175-VLOOKUP(Dulieu!$C$84&amp;"_PRE_Y",Dulieu!$C$88:$Y$400,14,FALSE)</f>
        <v>693.01</v>
      </c>
      <c r="Q177" s="40">
        <f>+Q175-VLOOKUP(Dulieu!$C$84&amp;"_PRE_Y",Dulieu!$C$88:$Y$400,15,FALSE)</f>
        <v>634.98</v>
      </c>
      <c r="R177" s="40">
        <f>+R175-VLOOKUP(Dulieu!$C$84&amp;"_PRE_Y",Dulieu!$C$88:$Y$400,16,FALSE)</f>
        <v>72.900000000000034</v>
      </c>
      <c r="S177" s="40">
        <f>+S175-VLOOKUP(Dulieu!$C$84&amp;"_PRE_Y",Dulieu!$C$88:$Y$400,17,FALSE)</f>
        <v>-559.79999999999995</v>
      </c>
      <c r="T177" s="40">
        <f>+T175-VLOOKUP(Dulieu!$C$84&amp;"_PRE_Y",Dulieu!$C$88:$Y$400,18,FALSE)</f>
        <v>237.46999999999997</v>
      </c>
      <c r="U177" s="40">
        <f>+U175-VLOOKUP(Dulieu!$C$84&amp;"_PRE_Y",Dulieu!$C$88:$Y$400,19,FALSE)</f>
        <v>-23.639999999999986</v>
      </c>
      <c r="V177" s="40">
        <f>+V175-VLOOKUP(Dulieu!$C$84&amp;"_PRE_Y",Dulieu!$C$88:$Y$400,20,FALSE)</f>
        <v>649.53000000000009</v>
      </c>
      <c r="W177" s="40">
        <f>+W175-VLOOKUP(Dulieu!$C$84&amp;"_PRE_Y",Dulieu!$C$88:$Y$400,21,FALSE)</f>
        <v>2076.06</v>
      </c>
      <c r="X177" s="40">
        <f>+X175-VLOOKUP(Dulieu!$C$84&amp;"_PRE_Y",Dulieu!$C$88:$Y$400,22,FALSE)</f>
        <v>-286.71000000000004</v>
      </c>
      <c r="Y177" s="40">
        <f>+Y175-VLOOKUP(Dulieu!$C$84&amp;"_PRE_Y",Dulieu!$C$88:$Y$400,23,FALSE)</f>
        <v>464.02</v>
      </c>
    </row>
    <row r="178" spans="1:25" s="37" customFormat="1" ht="12" x14ac:dyDescent="0.25">
      <c r="A178" s="42">
        <v>2</v>
      </c>
      <c r="B178" s="43" t="s">
        <v>73</v>
      </c>
      <c r="C178" s="44">
        <f t="shared" si="35"/>
        <v>22806.939999999991</v>
      </c>
      <c r="D178" s="44">
        <f>+Dulieu!D85</f>
        <v>8569.17</v>
      </c>
      <c r="E178" s="44">
        <f>+Dulieu!E85</f>
        <v>1021.09</v>
      </c>
      <c r="F178" s="44">
        <f>+Dulieu!F85</f>
        <v>58.89</v>
      </c>
      <c r="G178" s="44">
        <f>+Dulieu!G85</f>
        <v>134.07</v>
      </c>
      <c r="H178" s="44">
        <f>+Dulieu!H85</f>
        <v>9.6999999999999993</v>
      </c>
      <c r="I178" s="44">
        <f>+Dulieu!I85</f>
        <v>1848.73</v>
      </c>
      <c r="J178" s="44">
        <f>+Dulieu!J85</f>
        <v>912.33</v>
      </c>
      <c r="K178" s="44">
        <f>+Dulieu!K85</f>
        <v>1590.37</v>
      </c>
      <c r="L178" s="44">
        <f>+Dulieu!L85</f>
        <v>1670.26</v>
      </c>
      <c r="M178" s="44">
        <f>+Dulieu!M85</f>
        <v>1229.27</v>
      </c>
      <c r="N178" s="44">
        <f>+Dulieu!N85</f>
        <v>915.88</v>
      </c>
      <c r="O178" s="44">
        <f>+Dulieu!O85</f>
        <v>109</v>
      </c>
      <c r="P178" s="44">
        <f>+Dulieu!P85</f>
        <v>129.43</v>
      </c>
      <c r="Q178" s="44">
        <f>+Dulieu!Q85</f>
        <v>575.75</v>
      </c>
      <c r="R178" s="44">
        <f>+Dulieu!R85</f>
        <v>96.51</v>
      </c>
      <c r="S178" s="44">
        <f>+Dulieu!S85</f>
        <v>61.62</v>
      </c>
      <c r="T178" s="44">
        <f>+Dulieu!T85</f>
        <v>605.1</v>
      </c>
      <c r="U178" s="44">
        <f>+Dulieu!U85</f>
        <v>2380.6799999999998</v>
      </c>
      <c r="V178" s="44">
        <f>+Dulieu!V85</f>
        <v>79.599999999999994</v>
      </c>
      <c r="W178" s="44">
        <f>+Dulieu!W85</f>
        <v>44.53</v>
      </c>
      <c r="X178" s="44">
        <f>+Dulieu!X85</f>
        <v>57.29</v>
      </c>
      <c r="Y178" s="44">
        <f>+Dulieu!Y85</f>
        <v>707.67</v>
      </c>
    </row>
    <row r="179" spans="1:25" s="41" customFormat="1" ht="12" x14ac:dyDescent="0.25">
      <c r="A179" s="38"/>
      <c r="B179" s="39" t="s">
        <v>91</v>
      </c>
      <c r="C179" s="40">
        <f t="shared" si="35"/>
        <v>5931.1399999999994</v>
      </c>
      <c r="D179" s="40">
        <f>+D178-VLOOKUP(Dulieu!$C$85&amp;"_PRE_M",Dulieu!$C$88:$N$400,2,FALSE)</f>
        <v>4488.2700000000004</v>
      </c>
      <c r="E179" s="40">
        <f>+E178-VLOOKUP(Dulieu!$C$85&amp;"_PRE_M",Dulieu!$C$88:$N$400,3,FALSE)</f>
        <v>321.62</v>
      </c>
      <c r="F179" s="40">
        <f>+F178-VLOOKUP(Dulieu!$C$85&amp;"_PRE_M",Dulieu!$C$88:$N$400,4,FALSE)</f>
        <v>-100.04</v>
      </c>
      <c r="G179" s="40">
        <f>+G178-VLOOKUP(Dulieu!$C$85&amp;"_PRE_M",Dulieu!$C$88:$N$400,5,FALSE)</f>
        <v>41.569999999999993</v>
      </c>
      <c r="H179" s="40">
        <f>+H178-VLOOKUP(Dulieu!$C$85&amp;"_PRE_M",Dulieu!$C$88:$N$400,6,FALSE)</f>
        <v>-1216.48</v>
      </c>
      <c r="I179" s="40">
        <f>+I178-VLOOKUP(Dulieu!$C$85&amp;"_PRE_M",Dulieu!$C$88:$N$400,7,FALSE)</f>
        <v>1300.27</v>
      </c>
      <c r="J179" s="40">
        <f>+J178-VLOOKUP(Dulieu!$C$85&amp;"_PRE_M",Dulieu!$C$88:$N$400,8,FALSE)</f>
        <v>120.34000000000003</v>
      </c>
      <c r="K179" s="40">
        <f>+K178-VLOOKUP(Dulieu!$C$85&amp;"_PRE_M",Dulieu!$C$88:$N$400,9,FALSE)</f>
        <v>-163.81000000000017</v>
      </c>
      <c r="L179" s="40">
        <f>+L178-VLOOKUP(Dulieu!$C$85&amp;"_PRE_M",Dulieu!$C$88:$N$400,10,FALSE)</f>
        <v>1169.0999999999999</v>
      </c>
      <c r="M179" s="40">
        <f>+M178-VLOOKUP(Dulieu!$C$85&amp;"_PRE_M",Dulieu!$C$88:$N$400,11,FALSE)</f>
        <v>194.88999999999987</v>
      </c>
      <c r="N179" s="40">
        <f>+N178-VLOOKUP(Dulieu!$C$85&amp;"_PRE_M",Dulieu!$C$88:$N$400,12,FALSE)</f>
        <v>-125.2700000000001</v>
      </c>
      <c r="O179" s="40">
        <f>+O178-VLOOKUP(Dulieu!$C$85&amp;"_PRE_M",Dulieu!$C$88:$Y$400,13,FALSE)</f>
        <v>20.14</v>
      </c>
      <c r="P179" s="40">
        <f>+P178-VLOOKUP(Dulieu!$C$85&amp;"_PRE_M",Dulieu!$C$88:$Y$400,14,FALSE)</f>
        <v>-5.5600000000000023</v>
      </c>
      <c r="Q179" s="40">
        <f>+Q178-VLOOKUP(Dulieu!$C$85&amp;"_PRE_M",Dulieu!$C$88:$Y$400,15,FALSE)</f>
        <v>-489.57999999999993</v>
      </c>
      <c r="R179" s="40">
        <f>+R178-VLOOKUP(Dulieu!$C$85&amp;"_PRE_M",Dulieu!$C$88:$Y$400,16,FALSE)</f>
        <v>-800.12</v>
      </c>
      <c r="S179" s="40">
        <f>+S178-VLOOKUP(Dulieu!$C$85&amp;"_PRE_M",Dulieu!$C$88:$Y$400,17,FALSE)</f>
        <v>-699.81</v>
      </c>
      <c r="T179" s="40">
        <f>+T178-VLOOKUP(Dulieu!$C$85&amp;"_PRE_M",Dulieu!$C$88:$Y$400,18,FALSE)</f>
        <v>-299.94999999999993</v>
      </c>
      <c r="U179" s="40">
        <f>+U178-VLOOKUP(Dulieu!$C$85&amp;"_PRE_M",Dulieu!$C$88:$Y$400,19,FALSE)</f>
        <v>2297.9699999999998</v>
      </c>
      <c r="V179" s="40">
        <f>+V178-VLOOKUP(Dulieu!$C$85&amp;"_PRE_M",Dulieu!$C$88:$Y$400,20,FALSE)</f>
        <v>24.089999999999996</v>
      </c>
      <c r="W179" s="40">
        <f>+W178-VLOOKUP(Dulieu!$C$85&amp;"_PRE_M",Dulieu!$C$88:$Y$400,21,FALSE)</f>
        <v>-299.77999999999997</v>
      </c>
      <c r="X179" s="40">
        <f>+X178-VLOOKUP(Dulieu!$C$85&amp;"_PRE_M",Dulieu!$C$88:$Y$400,22,FALSE)</f>
        <v>53.05</v>
      </c>
      <c r="Y179" s="40">
        <f>+Y178-VLOOKUP(Dulieu!$C$85&amp;"_PRE_M",Dulieu!$C$88:$Y$400,23,FALSE)</f>
        <v>100.2299999999999</v>
      </c>
    </row>
    <row r="180" spans="1:25" s="41" customFormat="1" ht="12" x14ac:dyDescent="0.25">
      <c r="A180" s="38"/>
      <c r="B180" s="39" t="s">
        <v>92</v>
      </c>
      <c r="C180" s="40">
        <f t="shared" si="35"/>
        <v>12048.79</v>
      </c>
      <c r="D180" s="40">
        <f>+D178-VLOOKUP(Dulieu!$C$85&amp;"_PRE_Y",Dulieu!$C$88:$N$400,2,FALSE)</f>
        <v>4851.1000000000004</v>
      </c>
      <c r="E180" s="40">
        <f>+E178-VLOOKUP(Dulieu!$C$85&amp;"_PRE_Y",Dulieu!$C$88:$N$400,3,FALSE)</f>
        <v>799.27</v>
      </c>
      <c r="F180" s="40">
        <f>+F178-VLOOKUP(Dulieu!$C$85&amp;"_PRE_Y",Dulieu!$C$88:$N$400,4,FALSE)</f>
        <v>57.4</v>
      </c>
      <c r="G180" s="40">
        <f>+G178-VLOOKUP(Dulieu!$C$85&amp;"_PRE_Y",Dulieu!$C$88:$N$400,5,FALSE)</f>
        <v>-148.79000000000002</v>
      </c>
      <c r="H180" s="40">
        <f>+H178-VLOOKUP(Dulieu!$C$85&amp;"_PRE_Y",Dulieu!$C$88:$N$400,6,FALSE)</f>
        <v>-745.41</v>
      </c>
      <c r="I180" s="40">
        <f>+I178-VLOOKUP(Dulieu!$C$85&amp;"_PRE_Y",Dulieu!$C$88:$N$400,7,FALSE)</f>
        <v>1352.08</v>
      </c>
      <c r="J180" s="40">
        <f>+J178-VLOOKUP(Dulieu!$C$85&amp;"_PRE_Y",Dulieu!$C$88:$N$400,8,FALSE)</f>
        <v>-108.92999999999995</v>
      </c>
      <c r="K180" s="40">
        <f>+K178-VLOOKUP(Dulieu!$C$85&amp;"_PRE_Y",Dulieu!$C$88:$N$400,9,FALSE)</f>
        <v>664.44999999999993</v>
      </c>
      <c r="L180" s="40">
        <f>+L178-VLOOKUP(Dulieu!$C$85&amp;"_PRE_Y",Dulieu!$C$88:$N$400,10,FALSE)</f>
        <v>1613.17</v>
      </c>
      <c r="M180" s="40">
        <f>+M178-VLOOKUP(Dulieu!$C$85&amp;"_PRE_Y",Dulieu!$C$88:$N$400,11,FALSE)</f>
        <v>689.97</v>
      </c>
      <c r="N180" s="40">
        <f>+N178-VLOOKUP(Dulieu!$C$85&amp;"_PRE_Y",Dulieu!$C$88:$N$400,12,FALSE)</f>
        <v>675.54</v>
      </c>
      <c r="O180" s="40">
        <f>+O178-VLOOKUP(Dulieu!$C$85&amp;"_PRE_Y",Dulieu!$C$88:$Y$400,13,FALSE)</f>
        <v>5.0400000000000063</v>
      </c>
      <c r="P180" s="40">
        <f>+P178-VLOOKUP(Dulieu!$C$85&amp;"_PRE_Y",Dulieu!$C$88:$Y$400,14,FALSE)</f>
        <v>3.5</v>
      </c>
      <c r="Q180" s="40">
        <f>+Q178-VLOOKUP(Dulieu!$C$85&amp;"_PRE_Y",Dulieu!$C$88:$Y$400,15,FALSE)</f>
        <v>-194.19000000000005</v>
      </c>
      <c r="R180" s="40">
        <f>+R178-VLOOKUP(Dulieu!$C$85&amp;"_PRE_Y",Dulieu!$C$88:$Y$400,16,FALSE)</f>
        <v>36.940000000000005</v>
      </c>
      <c r="S180" s="40">
        <f>+S178-VLOOKUP(Dulieu!$C$85&amp;"_PRE_Y",Dulieu!$C$88:$Y$400,17,FALSE)</f>
        <v>5.509999999999998</v>
      </c>
      <c r="T180" s="40">
        <f>+T178-VLOOKUP(Dulieu!$C$85&amp;"_PRE_Y",Dulieu!$C$88:$Y$400,18,FALSE)</f>
        <v>495.77000000000004</v>
      </c>
      <c r="U180" s="40">
        <f>+U178-VLOOKUP(Dulieu!$C$85&amp;"_PRE_Y",Dulieu!$C$88:$Y$400,19,FALSE)</f>
        <v>2374.2599999999998</v>
      </c>
      <c r="V180" s="40">
        <f>+V178-VLOOKUP(Dulieu!$C$85&amp;"_PRE_Y",Dulieu!$C$88:$Y$400,20,FALSE)</f>
        <v>-39.430000000000007</v>
      </c>
      <c r="W180" s="40">
        <f>+W178-VLOOKUP(Dulieu!$C$85&amp;"_PRE_Y",Dulieu!$C$88:$Y$400,21,FALSE)</f>
        <v>-457.25</v>
      </c>
      <c r="X180" s="40">
        <f>+X178-VLOOKUP(Dulieu!$C$85&amp;"_PRE_Y",Dulieu!$C$88:$Y$400,22,FALSE)</f>
        <v>0.53999999999999915</v>
      </c>
      <c r="Y180" s="40">
        <f>+Y178-VLOOKUP(Dulieu!$C$85&amp;"_PRE_Y",Dulieu!$C$88:$Y$400,23,FALSE)</f>
        <v>118.25</v>
      </c>
    </row>
    <row r="181" spans="1:25" s="37" customFormat="1" ht="12" x14ac:dyDescent="0.25">
      <c r="A181" s="42">
        <v>3</v>
      </c>
      <c r="B181" s="43" t="s">
        <v>74</v>
      </c>
      <c r="C181" s="44">
        <f t="shared" si="35"/>
        <v>-26619.190000000002</v>
      </c>
      <c r="D181" s="44">
        <f>+Dulieu!D86</f>
        <v>-6312.01</v>
      </c>
      <c r="E181" s="44">
        <f>+Dulieu!E86</f>
        <v>-746.38</v>
      </c>
      <c r="F181" s="44">
        <f>+Dulieu!F86</f>
        <v>-428.81</v>
      </c>
      <c r="G181" s="44">
        <f>+Dulieu!G86</f>
        <v>-920.5</v>
      </c>
      <c r="H181" s="44">
        <f>+Dulieu!H86</f>
        <v>-270.76</v>
      </c>
      <c r="I181" s="44">
        <f>+Dulieu!I86</f>
        <v>-2060.2800000000002</v>
      </c>
      <c r="J181" s="44">
        <f>+Dulieu!J86</f>
        <v>-915.44</v>
      </c>
      <c r="K181" s="44">
        <f>+Dulieu!K86</f>
        <v>-590.37</v>
      </c>
      <c r="L181" s="44">
        <f>+Dulieu!L86</f>
        <v>-1030.57</v>
      </c>
      <c r="M181" s="44">
        <f>+Dulieu!M86</f>
        <v>-1780.42</v>
      </c>
      <c r="N181" s="44">
        <f>+Dulieu!N86</f>
        <v>-507.44</v>
      </c>
      <c r="O181" s="44">
        <f>+Dulieu!O86</f>
        <v>-299.74</v>
      </c>
      <c r="P181" s="44">
        <f>+Dulieu!P86</f>
        <v>-729.82</v>
      </c>
      <c r="Q181" s="44">
        <f>+Dulieu!Q86</f>
        <v>-1155.99</v>
      </c>
      <c r="R181" s="44">
        <f>+Dulieu!R86</f>
        <v>-361.92</v>
      </c>
      <c r="S181" s="44">
        <f>+Dulieu!S86</f>
        <v>-537.67999999999995</v>
      </c>
      <c r="T181" s="44">
        <f>+Dulieu!T86</f>
        <v>-772.18</v>
      </c>
      <c r="U181" s="44">
        <f>+Dulieu!U86</f>
        <v>-2500.92</v>
      </c>
      <c r="V181" s="44">
        <f>+Dulieu!V86</f>
        <v>-1033.73</v>
      </c>
      <c r="W181" s="44">
        <f>+Dulieu!W86</f>
        <v>-2149.37</v>
      </c>
      <c r="X181" s="44">
        <f>+Dulieu!X86</f>
        <v>-77.14</v>
      </c>
      <c r="Y181" s="44">
        <f>+Dulieu!Y86</f>
        <v>-1437.72</v>
      </c>
    </row>
    <row r="182" spans="1:25" s="37" customFormat="1" ht="12" hidden="1" x14ac:dyDescent="0.25">
      <c r="C182" s="55">
        <v>12700</v>
      </c>
      <c r="D182" s="55">
        <v>4100</v>
      </c>
      <c r="E182" s="55">
        <v>800</v>
      </c>
      <c r="F182" s="55">
        <v>800</v>
      </c>
      <c r="G182" s="55">
        <v>800</v>
      </c>
      <c r="H182" s="55">
        <v>1000</v>
      </c>
      <c r="I182" s="55">
        <v>1000</v>
      </c>
      <c r="J182" s="55">
        <v>800</v>
      </c>
      <c r="K182" s="55">
        <v>1000</v>
      </c>
      <c r="L182" s="55">
        <v>800</v>
      </c>
      <c r="M182" s="55">
        <v>800</v>
      </c>
      <c r="N182" s="55">
        <v>800</v>
      </c>
    </row>
    <row r="183" spans="1:25" s="37" customFormat="1" ht="12" x14ac:dyDescent="0.25">
      <c r="A183" s="42"/>
      <c r="B183" s="69" t="s">
        <v>115</v>
      </c>
      <c r="C183" s="36">
        <f t="shared" ref="C183:C184" si="40">SUM(D183:Y183)</f>
        <v>738553.46000000008</v>
      </c>
      <c r="D183" s="64">
        <f>+IFERROR(VLOOKUP("NQ11_03",Dulieu!$C$88:$Y$400,2,FALSE),0)</f>
        <v>36463.71</v>
      </c>
      <c r="E183" s="64">
        <f>+IFERROR(VLOOKUP("NQ11_03",Dulieu!$C$88:$Y$400,3,FALSE),0)</f>
        <v>35601.56</v>
      </c>
      <c r="F183" s="64">
        <f>+IFERROR(VLOOKUP("NQ11_03",Dulieu!$C$88:$Y$400,4,FALSE),0)</f>
        <v>30584.69</v>
      </c>
      <c r="G183" s="64">
        <f>+IFERROR(VLOOKUP("NQ11_03",Dulieu!$C$88:$Y$400,5,FALSE),0)</f>
        <v>32175.119999999999</v>
      </c>
      <c r="H183" s="64">
        <f>+IFERROR(VLOOKUP("NQ11_03",Dulieu!$C$88:$Y$400,6,FALSE),0)</f>
        <v>43335.01</v>
      </c>
      <c r="I183" s="64">
        <f>+IFERROR(VLOOKUP("NQ11_03",Dulieu!$C$88:$Y$400,7,FALSE),0)</f>
        <v>29066.38</v>
      </c>
      <c r="J183" s="64">
        <f>+IFERROR(VLOOKUP("NQ11_03",Dulieu!$C$88:$Y$400,8,FALSE),0)</f>
        <v>36011.589999999997</v>
      </c>
      <c r="K183" s="64">
        <f>+IFERROR(VLOOKUP("NQ11_03",Dulieu!$C$88:$Y$400,9,FALSE),0)</f>
        <v>35755.17</v>
      </c>
      <c r="L183" s="64">
        <f>+IFERROR(VLOOKUP("NQ11_03",Dulieu!$C$88:$Y$400,10,FALSE),0)</f>
        <v>33225.43</v>
      </c>
      <c r="M183" s="64">
        <f>+IFERROR(VLOOKUP("NQ11_03",Dulieu!$C$88:$Y$400,11,FALSE),0)</f>
        <v>36514.269999999997</v>
      </c>
      <c r="N183" s="64">
        <f>+IFERROR(VLOOKUP("NQ11_03",Dulieu!$C$88:$Y$400,12,FALSE),0)</f>
        <v>26719.200000000001</v>
      </c>
      <c r="O183" s="64">
        <f>+IFERROR(VLOOKUP("NQ11_03",Dulieu!$C$88:$Y$400,13,FALSE),0)</f>
        <v>48747.7</v>
      </c>
      <c r="P183" s="64">
        <f>+IFERROR(VLOOKUP("NQ11_03",Dulieu!$C$88:$Y$400,14,FALSE),0)</f>
        <v>19647.39</v>
      </c>
      <c r="Q183" s="64">
        <f>+IFERROR(VLOOKUP("NQ11_03",Dulieu!$C$88:$Y$400,15,FALSE),0)</f>
        <v>44552.46</v>
      </c>
      <c r="R183" s="64">
        <f>+IFERROR(VLOOKUP("NQ11_03",Dulieu!$C$88:$Y$400,16,FALSE),0)</f>
        <v>48752.480000000003</v>
      </c>
      <c r="S183" s="64">
        <f>+IFERROR(VLOOKUP("NQ11_03",Dulieu!$C$88:$Y$400,17,FALSE),0)</f>
        <v>25973.3</v>
      </c>
      <c r="T183" s="64">
        <f>+IFERROR(VLOOKUP("NQ11_03",Dulieu!$C$88:$Y$400,18,FALSE),0)</f>
        <v>36413.300000000003</v>
      </c>
      <c r="U183" s="64">
        <f>+IFERROR(VLOOKUP("NQ11_03",Dulieu!$C$88:$Y$400,19,FALSE),0)</f>
        <v>50769.7</v>
      </c>
      <c r="V183" s="64">
        <f>+IFERROR(VLOOKUP("NQ11_03",Dulieu!$C$88:$Y$400,20,FALSE),0)</f>
        <v>15161</v>
      </c>
      <c r="W183" s="64">
        <f>+IFERROR(VLOOKUP("NQ11_03",Dulieu!$C$88:$Y$400,21,FALSE),0)</f>
        <v>13987.5</v>
      </c>
      <c r="X183" s="64">
        <f>+IFERROR(VLOOKUP("NQ11_03",Dulieu!$C$88:$Y$400,22,FALSE),0)</f>
        <v>20335.900000000001</v>
      </c>
      <c r="Y183" s="64">
        <f>+IFERROR(VLOOKUP("NQ11_03",Dulieu!$C$88:$Y$400,23,FALSE),0)</f>
        <v>38760.6</v>
      </c>
    </row>
    <row r="184" spans="1:25" s="37" customFormat="1" ht="12" x14ac:dyDescent="0.25">
      <c r="A184" s="42"/>
      <c r="B184" s="69" t="s">
        <v>116</v>
      </c>
      <c r="C184" s="36">
        <f t="shared" si="40"/>
        <v>133631.32999999999</v>
      </c>
      <c r="D184" s="64">
        <f>+IFERROR(VLOOKUP("NQ11_12",Dulieu!$C$88:$Y$400,2,FALSE),0)</f>
        <v>2017.6</v>
      </c>
      <c r="E184" s="64">
        <f>+IFERROR(VLOOKUP("NQ11_12",Dulieu!$C$88:$Y$400,3,FALSE),0)</f>
        <v>397.1</v>
      </c>
      <c r="F184" s="64">
        <f>+IFERROR(VLOOKUP("NQ11_12",Dulieu!$C$88:$Y$400,4,FALSE),0)</f>
        <v>5357.5</v>
      </c>
      <c r="G184" s="64">
        <f>+IFERROR(VLOOKUP("NQ11_12",Dulieu!$C$88:$Y$400,5,FALSE),0)</f>
        <v>31580.87</v>
      </c>
      <c r="H184" s="64">
        <f>+IFERROR(VLOOKUP("NQ11_12",Dulieu!$C$88:$Y$400,6,FALSE),0)</f>
        <v>5397.9</v>
      </c>
      <c r="I184" s="64">
        <f>+IFERROR(VLOOKUP("NQ11_12",Dulieu!$C$88:$Y$400,7,FALSE),0)</f>
        <v>10135.700000000001</v>
      </c>
      <c r="J184" s="64">
        <f>+IFERROR(VLOOKUP("NQ11_12",Dulieu!$C$88:$Y$400,8,FALSE),0)</f>
        <v>4690.3999999999996</v>
      </c>
      <c r="K184" s="64">
        <f>+IFERROR(VLOOKUP("NQ11_12",Dulieu!$C$88:$Y$400,9,FALSE),0)</f>
        <v>6462.4</v>
      </c>
      <c r="L184" s="64">
        <f>+IFERROR(VLOOKUP("NQ11_12",Dulieu!$C$88:$Y$400,10,FALSE),0)</f>
        <v>4360.6000000000004</v>
      </c>
      <c r="M184" s="64">
        <f>+IFERROR(VLOOKUP("NQ11_12",Dulieu!$C$88:$Y$400,11,FALSE),0)</f>
        <v>3700.7</v>
      </c>
      <c r="N184" s="64">
        <f>+IFERROR(VLOOKUP("NQ11_12",Dulieu!$C$88:$Y$400,12,FALSE),0)</f>
        <v>440.5</v>
      </c>
      <c r="O184" s="64">
        <f>+IFERROR(VLOOKUP("NQ11_12",Dulieu!$C$88:$Y$400,13,FALSE),0)</f>
        <v>1063.0899999999999</v>
      </c>
      <c r="P184" s="64">
        <f>+IFERROR(VLOOKUP("NQ11_12",Dulieu!$C$88:$Y$400,14,FALSE),0)</f>
        <v>692</v>
      </c>
      <c r="Q184" s="64">
        <f>+IFERROR(VLOOKUP("NQ11_12",Dulieu!$C$88:$Y$400,15,FALSE),0)</f>
        <v>996</v>
      </c>
      <c r="R184" s="64">
        <f>+IFERROR(VLOOKUP("NQ11_12",Dulieu!$C$88:$Y$400,16,FALSE),0)</f>
        <v>2456.9499999999998</v>
      </c>
      <c r="S184" s="64">
        <f>+IFERROR(VLOOKUP("NQ11_12",Dulieu!$C$88:$Y$400,17,FALSE),0)</f>
        <v>5295.94</v>
      </c>
      <c r="T184" s="64">
        <f>+IFERROR(VLOOKUP("NQ11_12",Dulieu!$C$88:$Y$400,18,FALSE),0)</f>
        <v>2196.1999999999998</v>
      </c>
      <c r="U184" s="64">
        <f>+IFERROR(VLOOKUP("NQ11_12",Dulieu!$C$88:$Y$400,19,FALSE),0)</f>
        <v>3896</v>
      </c>
      <c r="V184" s="64">
        <f>+IFERROR(VLOOKUP("NQ11_12",Dulieu!$C$88:$Y$400,20,FALSE),0)</f>
        <v>5507.84</v>
      </c>
      <c r="W184" s="64">
        <f>+IFERROR(VLOOKUP("NQ11_12",Dulieu!$C$88:$Y$400,21,FALSE),0)</f>
        <v>6134.1</v>
      </c>
      <c r="X184" s="64">
        <f>+IFERROR(VLOOKUP("NQ11_12",Dulieu!$C$88:$Y$400,22,FALSE),0)</f>
        <v>29665.94</v>
      </c>
      <c r="Y184" s="64">
        <f>+IFERROR(VLOOKUP("NQ11_12",Dulieu!$C$88:$Y$400,23,FALSE),0)</f>
        <v>1186</v>
      </c>
    </row>
    <row r="185" spans="1:25" s="37" customFormat="1" ht="12" x14ac:dyDescent="0.25">
      <c r="A185" s="42"/>
      <c r="B185" s="70" t="s">
        <v>119</v>
      </c>
      <c r="C185" s="36">
        <f t="shared" ref="C185:C186" si="41">SUM(D185:Y185)</f>
        <v>1004546.33867</v>
      </c>
      <c r="D185" s="64">
        <f>+IFERROR(VLOOKUP("HDV_CS105_CD",Dulieu!$C$88:$Y$400,2,FALSE),0)</f>
        <v>81189.505126999997</v>
      </c>
      <c r="E185" s="64">
        <f>+IFERROR(VLOOKUP("HDV_CS105_CD",Dulieu!$C$88:$Y$400,3,FALSE),0)</f>
        <v>58361.183794999997</v>
      </c>
      <c r="F185" s="64">
        <f>+IFERROR(VLOOKUP("HDV_CS105_CD",Dulieu!$C$88:$Y$400,4,FALSE),0)</f>
        <v>71387.349205999999</v>
      </c>
      <c r="G185" s="64">
        <f>+IFERROR(VLOOKUP("HDV_CS105_CD",Dulieu!$C$88:$Y$400,5,FALSE),0)</f>
        <v>54342.049045</v>
      </c>
      <c r="H185" s="64">
        <f>+IFERROR(VLOOKUP("HDV_CS105_CD",Dulieu!$C$88:$Y$400,6,FALSE),0)</f>
        <v>54398.479627000001</v>
      </c>
      <c r="I185" s="64">
        <f>+IFERROR(VLOOKUP("HDV_CS105_CD",Dulieu!$C$88:$Y$400,7,FALSE),0)</f>
        <v>23574.688062000001</v>
      </c>
      <c r="J185" s="64">
        <f>+IFERROR(VLOOKUP("HDV_CS105_CD",Dulieu!$C$88:$Y$400,8,FALSE),0)</f>
        <v>48324.895868</v>
      </c>
      <c r="K185" s="64">
        <f>+IFERROR(VLOOKUP("HDV_CS105_CD",Dulieu!$C$88:$Y$400,9,FALSE),0)</f>
        <v>54365.948759999999</v>
      </c>
      <c r="L185" s="64">
        <f>+IFERROR(VLOOKUP("HDV_CS105_CD",Dulieu!$C$88:$Y$400,10,FALSE),0)</f>
        <v>43567.587907000001</v>
      </c>
      <c r="M185" s="64">
        <f>+IFERROR(VLOOKUP("HDV_CS105_CD",Dulieu!$C$88:$Y$400,11,FALSE),0)</f>
        <v>44061.462686999999</v>
      </c>
      <c r="N185" s="64">
        <f>+IFERROR(VLOOKUP("HDV_CS105_CD",Dulieu!$C$88:$Y$400,12,FALSE),0)</f>
        <v>84216.282051999995</v>
      </c>
      <c r="O185" s="64">
        <f>+IFERROR(VLOOKUP("HDV_CS105_CD",Dulieu!$C$88:$Y$400,13,FALSE),0)</f>
        <v>38887.929526</v>
      </c>
      <c r="P185" s="64">
        <f>+IFERROR(VLOOKUP("HDV_CS105_CD",Dulieu!$C$88:$Y$400,14,FALSE),0)</f>
        <v>42736.163066000001</v>
      </c>
      <c r="Q185" s="64">
        <f>+IFERROR(VLOOKUP("HDV_CS105_CD",Dulieu!$C$88:$Y$400,15,FALSE),0)</f>
        <v>17428.708037</v>
      </c>
      <c r="R185" s="64">
        <f>+IFERROR(VLOOKUP("HDV_CS105_CD",Dulieu!$C$88:$Y$400,16,FALSE),0)</f>
        <v>30969.035452</v>
      </c>
      <c r="S185" s="64">
        <f>+IFERROR(VLOOKUP("HDV_CS105_CD",Dulieu!$C$88:$Y$400,17,FALSE),0)</f>
        <v>39972.457743999999</v>
      </c>
      <c r="T185" s="64">
        <f>+IFERROR(VLOOKUP("HDV_CS105_CD",Dulieu!$C$88:$Y$400,18,FALSE),0)</f>
        <v>50557.581209999997</v>
      </c>
      <c r="U185" s="64">
        <f>+IFERROR(VLOOKUP("HDV_CS105_CD",Dulieu!$C$88:$Y$400,19,FALSE),0)</f>
        <v>27730.36537</v>
      </c>
      <c r="V185" s="64">
        <f>+IFERROR(VLOOKUP("HDV_CS105_CD",Dulieu!$C$88:$Y$400,20,FALSE),0)</f>
        <v>23348.640095999999</v>
      </c>
      <c r="W185" s="64">
        <f>+IFERROR(VLOOKUP("HDV_CS105_CD",Dulieu!$C$88:$Y$400,21,FALSE),0)</f>
        <v>42943.391457999998</v>
      </c>
      <c r="X185" s="64">
        <f>+IFERROR(VLOOKUP("HDV_CS105_CD",Dulieu!$C$88:$Y$400,22,FALSE),0)</f>
        <v>41932.121028000001</v>
      </c>
      <c r="Y185" s="64">
        <f>+IFERROR(VLOOKUP("HDV_CS105_CD",Dulieu!$C$88:$Y$400,23,FALSE),0)</f>
        <v>30250.513546999999</v>
      </c>
    </row>
    <row r="186" spans="1:25" s="37" customFormat="1" ht="12" x14ac:dyDescent="0.25">
      <c r="A186" s="42"/>
      <c r="B186" s="70" t="s">
        <v>118</v>
      </c>
      <c r="C186" s="36">
        <f t="shared" si="41"/>
        <v>736616.00239500031</v>
      </c>
      <c r="D186" s="64">
        <f>+IFERROR(VLOOKUP("HDV_DC_CD",Dulieu!$C$88:$Y$400,2,FALSE),0)</f>
        <v>133643.86428400001</v>
      </c>
      <c r="E186" s="64">
        <f>+IFERROR(VLOOKUP("HDV_DC_CD",Dulieu!$C$88:$Y$400,3,FALSE),0)</f>
        <v>21081.154471000002</v>
      </c>
      <c r="F186" s="64">
        <f>+IFERROR(VLOOKUP("HDV_DC_CD",Dulieu!$C$88:$Y$400,4,FALSE),0)</f>
        <v>24208.082875</v>
      </c>
      <c r="G186" s="64">
        <f>+IFERROR(VLOOKUP("HDV_DC_CD",Dulieu!$C$88:$Y$400,5,FALSE),0)</f>
        <v>19417.078219999999</v>
      </c>
      <c r="H186" s="64">
        <f>+IFERROR(VLOOKUP("HDV_DC_CD",Dulieu!$C$88:$Y$400,6,FALSE),0)</f>
        <v>21304.796063000002</v>
      </c>
      <c r="I186" s="64">
        <f>+IFERROR(VLOOKUP("HDV_DC_CD",Dulieu!$C$88:$Y$400,7,FALSE),0)</f>
        <v>34821.289357000001</v>
      </c>
      <c r="J186" s="64">
        <f>+IFERROR(VLOOKUP("HDV_DC_CD",Dulieu!$C$88:$Y$400,8,FALSE),0)</f>
        <v>27283.240749000001</v>
      </c>
      <c r="K186" s="64">
        <f>+IFERROR(VLOOKUP("HDV_DC_CD",Dulieu!$C$88:$Y$400,9,FALSE),0)</f>
        <v>18856.727695000001</v>
      </c>
      <c r="L186" s="64">
        <f>+IFERROR(VLOOKUP("HDV_DC_CD",Dulieu!$C$88:$Y$400,10,FALSE),0)</f>
        <v>37979.562243</v>
      </c>
      <c r="M186" s="64">
        <f>+IFERROR(VLOOKUP("HDV_DC_CD",Dulieu!$C$88:$Y$400,11,FALSE),0)</f>
        <v>15988.753832</v>
      </c>
      <c r="N186" s="64">
        <f>+IFERROR(VLOOKUP("HDV_DC_CD",Dulieu!$C$88:$Y$400,12,FALSE),0)</f>
        <v>27836.549080000001</v>
      </c>
      <c r="O186" s="64">
        <f>+IFERROR(VLOOKUP("HDV_DC_CD",Dulieu!$C$88:$Y$400,13,FALSE),0)</f>
        <v>12380.55791</v>
      </c>
      <c r="P186" s="64">
        <f>+IFERROR(VLOOKUP("HDV_DC_CD",Dulieu!$C$88:$Y$400,14,FALSE),0)</f>
        <v>23689.787617999998</v>
      </c>
      <c r="Q186" s="64">
        <f>+IFERROR(VLOOKUP("HDV_DC_CD",Dulieu!$C$88:$Y$400,15,FALSE),0)</f>
        <v>179420.357846</v>
      </c>
      <c r="R186" s="64">
        <f>+IFERROR(VLOOKUP("HDV_DC_CD",Dulieu!$C$88:$Y$400,16,FALSE),0)</f>
        <v>15972.295581</v>
      </c>
      <c r="S186" s="64">
        <f>+IFERROR(VLOOKUP("HDV_DC_CD",Dulieu!$C$88:$Y$400,17,FALSE),0)</f>
        <v>11001.881743</v>
      </c>
      <c r="T186" s="64">
        <f>+IFERROR(VLOOKUP("HDV_DC_CD",Dulieu!$C$88:$Y$400,18,FALSE),0)</f>
        <v>18827.185179</v>
      </c>
      <c r="U186" s="64">
        <f>+IFERROR(VLOOKUP("HDV_DC_CD",Dulieu!$C$88:$Y$400,19,FALSE),0)</f>
        <v>24715.635263</v>
      </c>
      <c r="V186" s="64">
        <f>+IFERROR(VLOOKUP("HDV_DC_CD",Dulieu!$C$88:$Y$400,20,FALSE),0)</f>
        <v>13061.484366999999</v>
      </c>
      <c r="W186" s="64">
        <f>+IFERROR(VLOOKUP("HDV_DC_CD",Dulieu!$C$88:$Y$400,21,FALSE),0)</f>
        <v>28246.437151999999</v>
      </c>
      <c r="X186" s="64">
        <f>+IFERROR(VLOOKUP("HDV_DC_CD",Dulieu!$C$88:$Y$400,22,FALSE),0)</f>
        <v>13673.397972999999</v>
      </c>
      <c r="Y186" s="64">
        <f>+IFERROR(VLOOKUP("HDV_DC_CD",Dulieu!$C$88:$Y$400,23,FALSE),0)</f>
        <v>13205.882894</v>
      </c>
    </row>
    <row r="201" spans="2:2" x14ac:dyDescent="0.3">
      <c r="B201" s="2"/>
    </row>
    <row r="202" spans="2:2" x14ac:dyDescent="0.3">
      <c r="B202" s="2"/>
    </row>
    <row r="203" spans="2:2" x14ac:dyDescent="0.3">
      <c r="B203" s="2"/>
    </row>
    <row r="228" spans="1:2" x14ac:dyDescent="0.3">
      <c r="A228" s="1"/>
      <c r="B228" s="1"/>
    </row>
    <row r="238" spans="1:2" x14ac:dyDescent="0.3">
      <c r="A238" s="1"/>
      <c r="B238" s="1"/>
    </row>
    <row r="251" spans="1:2" x14ac:dyDescent="0.3">
      <c r="A251" s="1"/>
      <c r="B251" s="1"/>
    </row>
  </sheetData>
  <mergeCells count="7">
    <mergeCell ref="O6:Y6"/>
    <mergeCell ref="A3:N3"/>
    <mergeCell ref="A4:N4"/>
    <mergeCell ref="A6:A7"/>
    <mergeCell ref="B6:B7"/>
    <mergeCell ref="C6:C7"/>
    <mergeCell ref="D6:N6"/>
  </mergeCells>
  <pageMargins left="0.43" right="0.27" top="0.32" bottom="0.32" header="0.31" footer="0.3"/>
  <pageSetup paperSize="9" scale="8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Dulieu</vt:lpstr>
      <vt:lpstr>TonghopBC</vt:lpstr>
      <vt:lpstr>Sheet2</vt:lpstr>
      <vt:lpstr>Sheet3</vt:lpstr>
      <vt:lpstr>Dulieu!Print_Area</vt:lpstr>
      <vt:lpstr>TonghopBC!Print_Area</vt:lpstr>
      <vt:lpstr>Dulieu!Print_Titles</vt:lpstr>
      <vt:lpstr>TonghopBC!Print_Titles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VBSP DQ</cp:lastModifiedBy>
  <cp:lastPrinted>2021-05-14T08:57:23Z</cp:lastPrinted>
  <dcterms:created xsi:type="dcterms:W3CDTF">2021-02-24T08:45:47Z</dcterms:created>
  <dcterms:modified xsi:type="dcterms:W3CDTF">2026-04-22T11:39:54Z</dcterms:modified>
</cp:coreProperties>
</file>